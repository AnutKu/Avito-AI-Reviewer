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aokorostelev/Desktop/Учеба/ВШЭ предметы/Юнит-экономика/ДЗ_To_do/"/>
    </mc:Choice>
  </mc:AlternateContent>
  <xr:revisionPtr revIDLastSave="0" documentId="13_ncr:1_{E0B4DDF3-6138-6C4B-91EB-E2E3AECE4E90}" xr6:coauthVersionLast="47" xr6:coauthVersionMax="47" xr10:uidLastSave="{00000000-0000-0000-0000-000000000000}"/>
  <bookViews>
    <workbookView xWindow="0" yWindow="760" windowWidth="34560" windowHeight="19980" xr2:uid="{00000000-000D-0000-FFFF-FFFF00000000}"/>
  </bookViews>
  <sheets>
    <sheet name="FinSummary" sheetId="1" r:id="rId1"/>
    <sheet name="PnL" sheetId="6" r:id="rId2"/>
    <sheet name="Команда и TtM" sheetId="2" r:id="rId3"/>
    <sheet name="CashFlow" sheetId="5" r:id="rId4"/>
    <sheet name="Cost assumptions" sheetId="4" r:id="rId5"/>
    <sheet name="Sensitivity" sheetId="7" r:id="rId6"/>
    <sheet name="Чекеры" sheetId="8" r:id="rId7"/>
    <sheet name="Графики" sheetId="9" r:id="rId8"/>
    <sheet name="Монетизация и юнит" sheetId="10" r:id="rId9"/>
    <sheet name="Гипотезы" sheetId="11" r:id="rId10"/>
    <sheet name="Параметры волн" sheetId="3" r:id="rId11"/>
    <sheet name="Baseline TOP-down" sheetId="12" r:id="rId12"/>
    <sheet name="Assumptions" sheetId="13" r:id="rId13"/>
    <sheet name="Текстовое пояснение" sheetId="14" r:id="rId14"/>
    <sheet name="Данные для ДЗ №1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8" l="1" a="1"/>
  <c r="D45" i="2"/>
  <c r="E24" i="13"/>
  <c r="C24" i="13"/>
  <c r="C20" i="13"/>
  <c r="C19" i="13"/>
  <c r="C14" i="13"/>
  <c r="C12" i="13"/>
  <c r="C4" i="13"/>
  <c r="BK43" i="12"/>
  <c r="BJ43" i="12"/>
  <c r="BI43" i="12"/>
  <c r="BH43" i="12"/>
  <c r="BG43" i="12"/>
  <c r="BF43" i="12"/>
  <c r="BE43" i="12"/>
  <c r="BD43" i="12"/>
  <c r="BC43" i="12"/>
  <c r="BB43" i="12"/>
  <c r="BA43" i="12"/>
  <c r="AZ43" i="12"/>
  <c r="AY43" i="12"/>
  <c r="AX43" i="12"/>
  <c r="AW43" i="12"/>
  <c r="AV43" i="12"/>
  <c r="AU43" i="12"/>
  <c r="AT43" i="12"/>
  <c r="AS43" i="12"/>
  <c r="AR43" i="12"/>
  <c r="AQ43" i="12"/>
  <c r="AP43" i="12"/>
  <c r="AO43" i="12"/>
  <c r="AN43" i="12"/>
  <c r="AM43" i="12"/>
  <c r="AL43" i="12"/>
  <c r="AK43" i="12"/>
  <c r="AJ43" i="12"/>
  <c r="AI43" i="12"/>
  <c r="AH43" i="12"/>
  <c r="AG43" i="12"/>
  <c r="AF43" i="12"/>
  <c r="AE43" i="12"/>
  <c r="AD43" i="12"/>
  <c r="AC43" i="12"/>
  <c r="AB43" i="12"/>
  <c r="AA43" i="12"/>
  <c r="Z43" i="12"/>
  <c r="Y43" i="12"/>
  <c r="X43" i="12"/>
  <c r="W43" i="12"/>
  <c r="V43" i="12"/>
  <c r="U43" i="12"/>
  <c r="T43" i="12"/>
  <c r="S43" i="12"/>
  <c r="R43" i="12"/>
  <c r="Q43" i="12"/>
  <c r="P43" i="12"/>
  <c r="O43" i="12"/>
  <c r="N43" i="12"/>
  <c r="M43" i="12"/>
  <c r="L43" i="12"/>
  <c r="K43" i="12"/>
  <c r="J43" i="12"/>
  <c r="I43" i="12"/>
  <c r="H43" i="12"/>
  <c r="G43" i="12"/>
  <c r="F43" i="12"/>
  <c r="E43" i="12"/>
  <c r="D43" i="12"/>
  <c r="BK42" i="12"/>
  <c r="BJ42" i="12"/>
  <c r="BI42" i="12"/>
  <c r="BH42" i="12"/>
  <c r="BG42" i="12"/>
  <c r="BF42" i="12"/>
  <c r="BE42" i="12"/>
  <c r="BD42" i="12"/>
  <c r="BC42" i="12"/>
  <c r="BB42" i="12"/>
  <c r="BA42" i="12"/>
  <c r="AZ42" i="12"/>
  <c r="AY42" i="12"/>
  <c r="AX42" i="12"/>
  <c r="AW42" i="12"/>
  <c r="AV42" i="12"/>
  <c r="AU42" i="12"/>
  <c r="AT42" i="12"/>
  <c r="AS42" i="12"/>
  <c r="AR42" i="12"/>
  <c r="AQ42" i="12"/>
  <c r="AP42" i="12"/>
  <c r="AO42" i="12"/>
  <c r="AN42" i="12"/>
  <c r="AM42" i="12"/>
  <c r="AL42" i="12"/>
  <c r="AK42" i="12"/>
  <c r="AJ42" i="12"/>
  <c r="AI42" i="12"/>
  <c r="AH42" i="12"/>
  <c r="AG42" i="12"/>
  <c r="AF42" i="12"/>
  <c r="AE42" i="12"/>
  <c r="AD42" i="12"/>
  <c r="AC42" i="12"/>
  <c r="AB42" i="12"/>
  <c r="AA42" i="12"/>
  <c r="Z42" i="12"/>
  <c r="Y42" i="12"/>
  <c r="X42" i="12"/>
  <c r="W42" i="12"/>
  <c r="V42" i="12"/>
  <c r="U42" i="12"/>
  <c r="T42" i="12"/>
  <c r="S42" i="12"/>
  <c r="R42" i="12"/>
  <c r="Q42" i="12"/>
  <c r="P42" i="12"/>
  <c r="O42" i="12"/>
  <c r="N42" i="12"/>
  <c r="M42" i="12"/>
  <c r="L42" i="12"/>
  <c r="K42" i="12"/>
  <c r="J42" i="12"/>
  <c r="I42" i="12"/>
  <c r="H42" i="12"/>
  <c r="G42" i="12"/>
  <c r="F42" i="12"/>
  <c r="E42" i="12"/>
  <c r="D42" i="12"/>
  <c r="BK41" i="12"/>
  <c r="BJ41" i="12"/>
  <c r="BI41" i="12"/>
  <c r="BH41" i="12"/>
  <c r="BG41" i="12"/>
  <c r="BF41" i="12"/>
  <c r="BE41" i="12"/>
  <c r="BD41" i="12"/>
  <c r="BC41" i="12"/>
  <c r="BB41" i="12"/>
  <c r="BA41" i="12"/>
  <c r="AZ41" i="12"/>
  <c r="AY41" i="12"/>
  <c r="AX41" i="12"/>
  <c r="AW41" i="12"/>
  <c r="AV41" i="12"/>
  <c r="AU41" i="12"/>
  <c r="AT41" i="12"/>
  <c r="AS41" i="12"/>
  <c r="AR41" i="12"/>
  <c r="AQ41" i="12"/>
  <c r="AP41" i="12"/>
  <c r="AO41" i="12"/>
  <c r="AN41" i="12"/>
  <c r="AM41" i="12"/>
  <c r="AL41" i="12"/>
  <c r="AK41" i="12"/>
  <c r="AJ41" i="12"/>
  <c r="AI41" i="12"/>
  <c r="AH41" i="12"/>
  <c r="AG41" i="12"/>
  <c r="AF41" i="12"/>
  <c r="AE41" i="12"/>
  <c r="AD41" i="12"/>
  <c r="AC41" i="12"/>
  <c r="AB41" i="12"/>
  <c r="AA41" i="12"/>
  <c r="Z41" i="12"/>
  <c r="Y41" i="12"/>
  <c r="X41" i="12"/>
  <c r="W41" i="12"/>
  <c r="V41" i="12"/>
  <c r="U41" i="12"/>
  <c r="T41" i="12"/>
  <c r="S41" i="12"/>
  <c r="R41" i="12"/>
  <c r="Q41" i="12"/>
  <c r="P41" i="12"/>
  <c r="O41" i="12"/>
  <c r="N41" i="12"/>
  <c r="M41" i="12"/>
  <c r="L41" i="12"/>
  <c r="K41" i="12"/>
  <c r="J41" i="12"/>
  <c r="I41" i="12"/>
  <c r="H41" i="12"/>
  <c r="G41" i="12"/>
  <c r="F41" i="12"/>
  <c r="E41" i="12"/>
  <c r="D41" i="12"/>
  <c r="BK35" i="12"/>
  <c r="BJ35" i="12"/>
  <c r="BI35" i="12"/>
  <c r="BH35" i="12"/>
  <c r="BG35" i="12"/>
  <c r="BF35" i="12"/>
  <c r="BE35" i="12"/>
  <c r="BD35" i="12"/>
  <c r="BC35" i="12"/>
  <c r="BB35" i="12"/>
  <c r="BA35" i="12"/>
  <c r="AZ35" i="12"/>
  <c r="AY35" i="12"/>
  <c r="AX35" i="12"/>
  <c r="AW35" i="12"/>
  <c r="AV35" i="12"/>
  <c r="AU35" i="12"/>
  <c r="AT35" i="12"/>
  <c r="AS35" i="12"/>
  <c r="AR35" i="12"/>
  <c r="AQ35" i="12"/>
  <c r="AP35" i="12"/>
  <c r="AO35" i="12"/>
  <c r="AN35" i="12"/>
  <c r="AM35" i="12"/>
  <c r="AL35" i="12"/>
  <c r="AK35" i="12"/>
  <c r="AJ35" i="12"/>
  <c r="AI35" i="12"/>
  <c r="AH35" i="12"/>
  <c r="AG35" i="12"/>
  <c r="AF35" i="12"/>
  <c r="AE35" i="12"/>
  <c r="AD35" i="12"/>
  <c r="AC35" i="12"/>
  <c r="AB35" i="12"/>
  <c r="AA35" i="12"/>
  <c r="Z35" i="12"/>
  <c r="Y35" i="12"/>
  <c r="X35" i="12"/>
  <c r="W35" i="12"/>
  <c r="V35" i="12"/>
  <c r="U35" i="12"/>
  <c r="T35" i="12"/>
  <c r="S35" i="12"/>
  <c r="R35" i="12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BK34" i="12"/>
  <c r="BJ34" i="12"/>
  <c r="BI34" i="12"/>
  <c r="BH34" i="12"/>
  <c r="BG34" i="12"/>
  <c r="BF34" i="12"/>
  <c r="BE34" i="12"/>
  <c r="BD34" i="12"/>
  <c r="BC34" i="12"/>
  <c r="BB34" i="12"/>
  <c r="BA34" i="12"/>
  <c r="AZ34" i="12"/>
  <c r="AY34" i="12"/>
  <c r="AX34" i="12"/>
  <c r="AW34" i="12"/>
  <c r="AV34" i="12"/>
  <c r="AU34" i="12"/>
  <c r="AT34" i="12"/>
  <c r="AS34" i="12"/>
  <c r="AR34" i="12"/>
  <c r="AQ34" i="12"/>
  <c r="AP34" i="12"/>
  <c r="AO34" i="12"/>
  <c r="AN34" i="12"/>
  <c r="AM34" i="12"/>
  <c r="AL34" i="12"/>
  <c r="AK34" i="12"/>
  <c r="AJ34" i="12"/>
  <c r="AI34" i="12"/>
  <c r="AH34" i="12"/>
  <c r="AG34" i="12"/>
  <c r="AF34" i="12"/>
  <c r="AE34" i="12"/>
  <c r="AD34" i="12"/>
  <c r="AC34" i="12"/>
  <c r="AB34" i="12"/>
  <c r="AA34" i="12"/>
  <c r="Z34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BK33" i="12"/>
  <c r="BJ33" i="12"/>
  <c r="BI33" i="12"/>
  <c r="BH33" i="12"/>
  <c r="BG33" i="12"/>
  <c r="BF33" i="12"/>
  <c r="BE33" i="12"/>
  <c r="BD33" i="12"/>
  <c r="BC33" i="12"/>
  <c r="BB33" i="12"/>
  <c r="BA33" i="12"/>
  <c r="AZ33" i="12"/>
  <c r="AY33" i="12"/>
  <c r="AX33" i="12"/>
  <c r="AW33" i="12"/>
  <c r="AV33" i="12"/>
  <c r="AU33" i="12"/>
  <c r="AT33" i="12"/>
  <c r="AS33" i="12"/>
  <c r="AR33" i="12"/>
  <c r="AQ33" i="12"/>
  <c r="AP33" i="12"/>
  <c r="AO33" i="12"/>
  <c r="AN33" i="12"/>
  <c r="AM33" i="12"/>
  <c r="AL33" i="12"/>
  <c r="AK33" i="12"/>
  <c r="AJ33" i="12"/>
  <c r="AI33" i="12"/>
  <c r="AH33" i="12"/>
  <c r="AG33" i="12"/>
  <c r="AF33" i="12"/>
  <c r="AE33" i="12"/>
  <c r="AD33" i="12"/>
  <c r="AC33" i="12"/>
  <c r="AB33" i="12"/>
  <c r="AA33" i="12"/>
  <c r="Z33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D23" i="12"/>
  <c r="D21" i="12"/>
  <c r="BK19" i="12"/>
  <c r="BJ19" i="12"/>
  <c r="BI19" i="12"/>
  <c r="BH19" i="12"/>
  <c r="BG19" i="12"/>
  <c r="BF19" i="12"/>
  <c r="BE19" i="12"/>
  <c r="BD19" i="12"/>
  <c r="BC19" i="12"/>
  <c r="BB19" i="12"/>
  <c r="BA19" i="12"/>
  <c r="AZ19" i="12"/>
  <c r="AY19" i="12"/>
  <c r="AX19" i="12"/>
  <c r="AW19" i="12"/>
  <c r="AV19" i="12"/>
  <c r="AU19" i="12"/>
  <c r="AT19" i="12"/>
  <c r="AS19" i="12"/>
  <c r="AR19" i="12"/>
  <c r="AQ19" i="12"/>
  <c r="AP19" i="12"/>
  <c r="AO19" i="12"/>
  <c r="AN19" i="12"/>
  <c r="AM19" i="12"/>
  <c r="AL19" i="12"/>
  <c r="AK19" i="12"/>
  <c r="AJ19" i="12"/>
  <c r="AI19" i="12"/>
  <c r="AH19" i="12"/>
  <c r="AG19" i="12"/>
  <c r="AF19" i="12"/>
  <c r="AE19" i="12"/>
  <c r="AD19" i="12"/>
  <c r="AC19" i="12"/>
  <c r="AB19" i="12"/>
  <c r="AA19" i="12"/>
  <c r="Z19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BK13" i="12"/>
  <c r="BJ13" i="12"/>
  <c r="BI13" i="12"/>
  <c r="BH13" i="12"/>
  <c r="BG13" i="12"/>
  <c r="BF13" i="12"/>
  <c r="BE13" i="12"/>
  <c r="BD13" i="12"/>
  <c r="BC13" i="12"/>
  <c r="BB13" i="12"/>
  <c r="BA13" i="12"/>
  <c r="AZ13" i="12"/>
  <c r="AY13" i="12"/>
  <c r="AX13" i="12"/>
  <c r="AW13" i="12"/>
  <c r="AV13" i="12"/>
  <c r="AU13" i="12"/>
  <c r="AT13" i="12"/>
  <c r="AS13" i="12"/>
  <c r="AR13" i="12"/>
  <c r="AQ13" i="12"/>
  <c r="AP13" i="12"/>
  <c r="AO13" i="12"/>
  <c r="AN13" i="12"/>
  <c r="AM13" i="12"/>
  <c r="AL13" i="12"/>
  <c r="AK13" i="12"/>
  <c r="AJ13" i="12"/>
  <c r="AI13" i="12"/>
  <c r="AH13" i="12"/>
  <c r="AG13" i="12"/>
  <c r="AF13" i="12"/>
  <c r="AE13" i="12"/>
  <c r="AD13" i="12"/>
  <c r="AC13" i="12"/>
  <c r="AB13" i="12"/>
  <c r="AA13" i="12"/>
  <c r="Z13" i="12"/>
  <c r="Y13" i="12"/>
  <c r="X13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G13" i="12"/>
  <c r="F13" i="12"/>
  <c r="E13" i="12"/>
  <c r="D13" i="12"/>
  <c r="D12" i="12"/>
  <c r="D8" i="12"/>
  <c r="P2" i="12"/>
  <c r="E2" i="12"/>
  <c r="G107" i="10"/>
  <c r="G105" i="10"/>
  <c r="C104" i="10"/>
  <c r="B104" i="10"/>
  <c r="B103" i="10"/>
  <c r="F102" i="10"/>
  <c r="K46" i="10"/>
  <c r="K45" i="10"/>
  <c r="K44" i="10"/>
  <c r="K43" i="10"/>
  <c r="K42" i="10"/>
  <c r="K41" i="10"/>
  <c r="K40" i="10"/>
  <c r="K39" i="10"/>
  <c r="K38" i="10"/>
  <c r="K37" i="10"/>
  <c r="K36" i="10"/>
  <c r="K35" i="10"/>
  <c r="D35" i="10"/>
  <c r="K34" i="10"/>
  <c r="K33" i="10"/>
  <c r="K32" i="10"/>
  <c r="D32" i="10"/>
  <c r="K31" i="10"/>
  <c r="K30" i="10"/>
  <c r="K29" i="10"/>
  <c r="K28" i="10"/>
  <c r="C28" i="10"/>
  <c r="F13" i="10"/>
  <c r="D8" i="10"/>
  <c r="B8" i="10"/>
  <c r="D22" i="8"/>
  <c r="D21" i="8"/>
  <c r="C8" i="8"/>
  <c r="B23" i="7"/>
  <c r="B20" i="7"/>
  <c r="B19" i="7"/>
  <c r="B18" i="7"/>
  <c r="F17" i="7"/>
  <c r="D17" i="7"/>
  <c r="B17" i="7"/>
  <c r="B16" i="7"/>
  <c r="B15" i="7"/>
  <c r="B14" i="7"/>
  <c r="BK65" i="6"/>
  <c r="BJ65" i="6"/>
  <c r="BI65" i="6"/>
  <c r="BH65" i="6"/>
  <c r="BG65" i="6"/>
  <c r="BF65" i="6"/>
  <c r="BE65" i="6"/>
  <c r="BD65" i="6"/>
  <c r="BC65" i="6"/>
  <c r="BB65" i="6"/>
  <c r="BA65" i="6"/>
  <c r="AZ65" i="6"/>
  <c r="AY65" i="6"/>
  <c r="AX65" i="6"/>
  <c r="AW65" i="6"/>
  <c r="AV65" i="6"/>
  <c r="AU65" i="6"/>
  <c r="AT65" i="6"/>
  <c r="AS65" i="6"/>
  <c r="AR65" i="6"/>
  <c r="AQ65" i="6"/>
  <c r="AP65" i="6"/>
  <c r="AO65" i="6"/>
  <c r="AN65" i="6"/>
  <c r="AM65" i="6"/>
  <c r="AL65" i="6"/>
  <c r="AK65" i="6"/>
  <c r="AJ65" i="6"/>
  <c r="AI65" i="6"/>
  <c r="AH65" i="6"/>
  <c r="AG65" i="6"/>
  <c r="AF65" i="6"/>
  <c r="AE65" i="6"/>
  <c r="AD65" i="6"/>
  <c r="AC65" i="6"/>
  <c r="AB65" i="6"/>
  <c r="AA65" i="6"/>
  <c r="Z65" i="6"/>
  <c r="Y65" i="6"/>
  <c r="X65" i="6"/>
  <c r="W65" i="6"/>
  <c r="V65" i="6"/>
  <c r="U65" i="6"/>
  <c r="T65" i="6"/>
  <c r="S65" i="6"/>
  <c r="R65" i="6"/>
  <c r="Q65" i="6"/>
  <c r="P65" i="6"/>
  <c r="O65" i="6"/>
  <c r="N65" i="6"/>
  <c r="M65" i="6"/>
  <c r="L65" i="6"/>
  <c r="K65" i="6"/>
  <c r="J65" i="6"/>
  <c r="I65" i="6"/>
  <c r="H65" i="6"/>
  <c r="G65" i="6"/>
  <c r="F65" i="6"/>
  <c r="E65" i="6"/>
  <c r="D65" i="6"/>
  <c r="BK62" i="6"/>
  <c r="BJ62" i="6"/>
  <c r="BI62" i="6"/>
  <c r="BH62" i="6"/>
  <c r="BG62" i="6"/>
  <c r="BF62" i="6"/>
  <c r="BE62" i="6"/>
  <c r="BD62" i="6"/>
  <c r="BC62" i="6"/>
  <c r="BB62" i="6"/>
  <c r="BA62" i="6"/>
  <c r="AZ62" i="6"/>
  <c r="AY62" i="6"/>
  <c r="AX62" i="6"/>
  <c r="AW62" i="6"/>
  <c r="AV62" i="6"/>
  <c r="AU62" i="6"/>
  <c r="AT62" i="6"/>
  <c r="AS62" i="6"/>
  <c r="AR62" i="6"/>
  <c r="AQ62" i="6"/>
  <c r="AP62" i="6"/>
  <c r="AO62" i="6"/>
  <c r="AN62" i="6"/>
  <c r="AM62" i="6"/>
  <c r="AL62" i="6"/>
  <c r="AK62" i="6"/>
  <c r="AJ62" i="6"/>
  <c r="AI62" i="6"/>
  <c r="AH62" i="6"/>
  <c r="AG62" i="6"/>
  <c r="AF62" i="6"/>
  <c r="AE62" i="6"/>
  <c r="AD62" i="6"/>
  <c r="AC62" i="6"/>
  <c r="AB62" i="6"/>
  <c r="AA62" i="6"/>
  <c r="Z62" i="6"/>
  <c r="Y62" i="6"/>
  <c r="X62" i="6"/>
  <c r="W62" i="6"/>
  <c r="V62" i="6"/>
  <c r="U62" i="6"/>
  <c r="T62" i="6"/>
  <c r="S62" i="6"/>
  <c r="R62" i="6"/>
  <c r="Q62" i="6"/>
  <c r="P62" i="6"/>
  <c r="O62" i="6"/>
  <c r="N62" i="6"/>
  <c r="M62" i="6"/>
  <c r="L62" i="6"/>
  <c r="K62" i="6"/>
  <c r="J62" i="6"/>
  <c r="I62" i="6"/>
  <c r="H62" i="6"/>
  <c r="G62" i="6"/>
  <c r="F62" i="6"/>
  <c r="E62" i="6"/>
  <c r="D62" i="6"/>
  <c r="BP46" i="6"/>
  <c r="BO46" i="6"/>
  <c r="BN46" i="6"/>
  <c r="BM46" i="6"/>
  <c r="BL46" i="6"/>
  <c r="BP43" i="6"/>
  <c r="BO43" i="6"/>
  <c r="BN43" i="6"/>
  <c r="BM43" i="6"/>
  <c r="BL43" i="6"/>
  <c r="J42" i="6"/>
  <c r="I42" i="6"/>
  <c r="H42" i="6"/>
  <c r="G42" i="6"/>
  <c r="F42" i="6"/>
  <c r="E42" i="6"/>
  <c r="D42" i="6"/>
  <c r="BP27" i="6"/>
  <c r="BO27" i="6"/>
  <c r="BN27" i="6"/>
  <c r="BM27" i="6"/>
  <c r="BL27" i="6"/>
  <c r="BP24" i="6"/>
  <c r="BO24" i="6"/>
  <c r="BN24" i="6"/>
  <c r="BM24" i="6"/>
  <c r="BL24" i="6"/>
  <c r="BI22" i="6"/>
  <c r="BH22" i="6"/>
  <c r="BG22" i="6"/>
  <c r="BF22" i="6"/>
  <c r="BE22" i="6"/>
  <c r="BD22" i="6"/>
  <c r="BC22" i="6"/>
  <c r="BB22" i="6"/>
  <c r="BA22" i="6"/>
  <c r="AZ22" i="6"/>
  <c r="AY22" i="6"/>
  <c r="AX22" i="6"/>
  <c r="AW22" i="6"/>
  <c r="AV22" i="6"/>
  <c r="AU22" i="6"/>
  <c r="AT22" i="6"/>
  <c r="AS22" i="6"/>
  <c r="AR22" i="6"/>
  <c r="AQ22" i="6"/>
  <c r="AP22" i="6"/>
  <c r="AO22" i="6"/>
  <c r="AN22" i="6"/>
  <c r="AM22" i="6"/>
  <c r="AL22" i="6"/>
  <c r="AK22" i="6"/>
  <c r="AJ22" i="6"/>
  <c r="AI22" i="6"/>
  <c r="AH22" i="6"/>
  <c r="AG22" i="6"/>
  <c r="AF22" i="6"/>
  <c r="AE22" i="6"/>
  <c r="AD22" i="6"/>
  <c r="AC22" i="6"/>
  <c r="AB22" i="6"/>
  <c r="AA22" i="6"/>
  <c r="Z22" i="6"/>
  <c r="Y22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BP26" i="5"/>
  <c r="BO26" i="5"/>
  <c r="BN26" i="5"/>
  <c r="BM26" i="5"/>
  <c r="BL26" i="5"/>
  <c r="L22" i="5"/>
  <c r="K22" i="5"/>
  <c r="J22" i="5"/>
  <c r="I22" i="5"/>
  <c r="H22" i="5"/>
  <c r="G22" i="5"/>
  <c r="F22" i="5"/>
  <c r="B9" i="5"/>
  <c r="B8" i="5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C31" i="4"/>
  <c r="BO30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C29" i="4"/>
  <c r="I52" i="1"/>
  <c r="H52" i="1"/>
  <c r="G52" i="1"/>
  <c r="F52" i="1"/>
  <c r="E52" i="1"/>
  <c r="I49" i="1"/>
  <c r="H49" i="1"/>
  <c r="G49" i="1"/>
  <c r="F49" i="1"/>
  <c r="E49" i="1"/>
  <c r="I35" i="1"/>
  <c r="H35" i="1"/>
  <c r="G35" i="1"/>
  <c r="F35" i="1"/>
  <c r="E35" i="1"/>
  <c r="I32" i="1"/>
  <c r="H32" i="1"/>
  <c r="G32" i="1"/>
  <c r="F32" i="1"/>
  <c r="E32" i="1"/>
  <c r="D16" i="1"/>
  <c r="D15" i="1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BP39" i="2"/>
  <c r="BO39" i="2"/>
  <c r="BN39" i="2"/>
  <c r="BM39" i="2"/>
  <c r="BL39" i="2"/>
  <c r="BP38" i="2"/>
  <c r="BO38" i="2"/>
  <c r="BN38" i="2"/>
  <c r="BM38" i="2"/>
  <c r="BL38" i="2"/>
  <c r="BP37" i="2"/>
  <c r="BO37" i="2"/>
  <c r="BN37" i="2"/>
  <c r="BM37" i="2"/>
  <c r="BL37" i="2"/>
  <c r="BP36" i="2"/>
  <c r="BO36" i="2"/>
  <c r="BN36" i="2"/>
  <c r="BM36" i="2"/>
  <c r="BL36" i="2"/>
  <c r="BP35" i="2"/>
  <c r="BO35" i="2"/>
  <c r="BN35" i="2"/>
  <c r="BM35" i="2"/>
  <c r="BL35" i="2"/>
  <c r="BP34" i="2"/>
  <c r="BO34" i="2"/>
  <c r="BN34" i="2"/>
  <c r="BM34" i="2"/>
  <c r="BL34" i="2"/>
  <c r="BP33" i="2"/>
  <c r="BO33" i="2"/>
  <c r="BN33" i="2"/>
  <c r="BM33" i="2"/>
  <c r="BL33" i="2"/>
  <c r="BP32" i="2"/>
  <c r="BO32" i="2"/>
  <c r="BN32" i="2"/>
  <c r="BM32" i="2"/>
  <c r="BL32" i="2"/>
  <c r="B25" i="2"/>
  <c r="E13" i="2"/>
  <c r="E12" i="2"/>
  <c r="E11" i="2"/>
  <c r="E10" i="2"/>
  <c r="E9" i="2"/>
  <c r="E8" i="2"/>
  <c r="E7" i="2"/>
  <c r="E6" i="2"/>
  <c r="D31" i="8" l="1"/>
  <c r="E31" i="8" s="1"/>
  <c r="C21" i="13"/>
  <c r="C22" i="13" s="1"/>
  <c r="BK48" i="12"/>
  <c r="BJ48" i="12"/>
  <c r="BI48" i="12"/>
  <c r="BH48" i="12"/>
  <c r="BG48" i="12"/>
  <c r="BF48" i="12"/>
  <c r="BE48" i="12"/>
  <c r="BD48" i="12"/>
  <c r="BC48" i="12"/>
  <c r="BB48" i="12"/>
  <c r="BA48" i="12"/>
  <c r="AZ48" i="12"/>
  <c r="AY48" i="12"/>
  <c r="AX48" i="12"/>
  <c r="AW48" i="12"/>
  <c r="AV48" i="12"/>
  <c r="AU48" i="12"/>
  <c r="AT48" i="12"/>
  <c r="AS48" i="12"/>
  <c r="AR48" i="12"/>
  <c r="AQ48" i="12"/>
  <c r="AP48" i="12"/>
  <c r="AO48" i="12"/>
  <c r="AN48" i="12"/>
  <c r="AM48" i="12"/>
  <c r="AL48" i="12"/>
  <c r="AK48" i="12"/>
  <c r="AJ48" i="12"/>
  <c r="AI48" i="12"/>
  <c r="AH48" i="12"/>
  <c r="AG48" i="12"/>
  <c r="AF48" i="12"/>
  <c r="AE48" i="12"/>
  <c r="AD48" i="12"/>
  <c r="AC48" i="12"/>
  <c r="AB48" i="12"/>
  <c r="AA48" i="12"/>
  <c r="Z48" i="12"/>
  <c r="Y48" i="12"/>
  <c r="X48" i="12"/>
  <c r="W48" i="12"/>
  <c r="V48" i="12"/>
  <c r="U48" i="12"/>
  <c r="T48" i="12"/>
  <c r="S48" i="12"/>
  <c r="R48" i="12"/>
  <c r="Q48" i="12"/>
  <c r="P48" i="12"/>
  <c r="O48" i="12"/>
  <c r="N48" i="12"/>
  <c r="M48" i="12"/>
  <c r="L48" i="12"/>
  <c r="K48" i="12"/>
  <c r="J48" i="12"/>
  <c r="I48" i="12"/>
  <c r="H48" i="12"/>
  <c r="G48" i="12"/>
  <c r="F48" i="12"/>
  <c r="E48" i="12"/>
  <c r="D48" i="12"/>
  <c r="V42" i="6"/>
  <c r="X22" i="5" s="1"/>
  <c r="Q42" i="6"/>
  <c r="S22" i="5" s="1"/>
  <c r="N42" i="6"/>
  <c r="P22" i="5" s="1"/>
  <c r="E23" i="12"/>
  <c r="D22" i="12"/>
  <c r="E21" i="12"/>
  <c r="F21" i="12" s="1"/>
  <c r="G21" i="12" s="1"/>
  <c r="H21" i="12" s="1"/>
  <c r="I21" i="12" s="1"/>
  <c r="J21" i="12" s="1"/>
  <c r="K21" i="12" s="1"/>
  <c r="L21" i="12" s="1"/>
  <c r="M21" i="12" s="1"/>
  <c r="N21" i="12" s="1"/>
  <c r="O21" i="12" s="1"/>
  <c r="P21" i="12" s="1"/>
  <c r="Q21" i="12" s="1"/>
  <c r="R21" i="12" s="1"/>
  <c r="S21" i="12" s="1"/>
  <c r="T21" i="12" s="1"/>
  <c r="U21" i="12" s="1"/>
  <c r="V21" i="12" s="1"/>
  <c r="W21" i="12" s="1"/>
  <c r="X21" i="12" s="1"/>
  <c r="Y21" i="12" s="1"/>
  <c r="Z21" i="12" s="1"/>
  <c r="AA21" i="12" s="1"/>
  <c r="AB21" i="12" s="1"/>
  <c r="AC21" i="12" s="1"/>
  <c r="AD21" i="12" s="1"/>
  <c r="AE21" i="12" s="1"/>
  <c r="AF21" i="12" s="1"/>
  <c r="AG21" i="12" s="1"/>
  <c r="AH21" i="12" s="1"/>
  <c r="AI21" i="12" s="1"/>
  <c r="AJ21" i="12" s="1"/>
  <c r="AK21" i="12" s="1"/>
  <c r="AL21" i="12" s="1"/>
  <c r="AM21" i="12" s="1"/>
  <c r="AN21" i="12" s="1"/>
  <c r="AO21" i="12" s="1"/>
  <c r="AP21" i="12" s="1"/>
  <c r="AQ21" i="12" s="1"/>
  <c r="AR21" i="12" s="1"/>
  <c r="AS21" i="12" s="1"/>
  <c r="AT21" i="12" s="1"/>
  <c r="AU21" i="12" s="1"/>
  <c r="AV21" i="12" s="1"/>
  <c r="AW21" i="12" s="1"/>
  <c r="AX21" i="12" s="1"/>
  <c r="AY21" i="12" s="1"/>
  <c r="AZ21" i="12" s="1"/>
  <c r="BA21" i="12" s="1"/>
  <c r="BB21" i="12" s="1"/>
  <c r="BC21" i="12" s="1"/>
  <c r="BD21" i="12" s="1"/>
  <c r="BE21" i="12" s="1"/>
  <c r="BF21" i="12" s="1"/>
  <c r="BG21" i="12" s="1"/>
  <c r="BH21" i="12" s="1"/>
  <c r="BI21" i="12" s="1"/>
  <c r="BJ21" i="12" s="1"/>
  <c r="BK21" i="12" s="1"/>
  <c r="BK20" i="12"/>
  <c r="BJ20" i="12"/>
  <c r="BI20" i="12"/>
  <c r="BH20" i="12"/>
  <c r="BG20" i="12"/>
  <c r="BF20" i="12"/>
  <c r="BE20" i="12"/>
  <c r="BD20" i="12"/>
  <c r="BC20" i="12"/>
  <c r="BB20" i="12"/>
  <c r="BA20" i="12"/>
  <c r="AZ20" i="12"/>
  <c r="AY20" i="12"/>
  <c r="AX20" i="12"/>
  <c r="AW20" i="12"/>
  <c r="AV20" i="12"/>
  <c r="AU20" i="12"/>
  <c r="AT20" i="12"/>
  <c r="AS20" i="12"/>
  <c r="AR20" i="12"/>
  <c r="AQ20" i="12"/>
  <c r="AP20" i="12"/>
  <c r="AO20" i="12"/>
  <c r="AN20" i="12"/>
  <c r="AM20" i="12"/>
  <c r="AL20" i="12"/>
  <c r="AK20" i="12"/>
  <c r="AJ20" i="12"/>
  <c r="AI20" i="12"/>
  <c r="AH20" i="12"/>
  <c r="AG20" i="12"/>
  <c r="AF20" i="12"/>
  <c r="AE20" i="12"/>
  <c r="AD20" i="12"/>
  <c r="AC20" i="12"/>
  <c r="AB20" i="12"/>
  <c r="AA20" i="12"/>
  <c r="Z20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E12" i="12"/>
  <c r="E21" i="8"/>
  <c r="W42" i="6"/>
  <c r="Y22" i="5" s="1"/>
  <c r="O42" i="6"/>
  <c r="Q22" i="5" s="1"/>
  <c r="D10" i="12"/>
  <c r="D11" i="12" s="1"/>
  <c r="AB2" i="12"/>
  <c r="Q2" i="12"/>
  <c r="R2" i="12" s="1"/>
  <c r="S2" i="12" s="1"/>
  <c r="T2" i="12" s="1"/>
  <c r="U2" i="12" s="1"/>
  <c r="V2" i="12" s="1"/>
  <c r="W2" i="12" s="1"/>
  <c r="X2" i="12" s="1"/>
  <c r="Y2" i="12" s="1"/>
  <c r="Z2" i="12" s="1"/>
  <c r="AA2" i="12" s="1"/>
  <c r="F2" i="12"/>
  <c r="F104" i="10"/>
  <c r="F103" i="10"/>
  <c r="H102" i="10"/>
  <c r="L46" i="10"/>
  <c r="L45" i="10"/>
  <c r="L44" i="10"/>
  <c r="L43" i="10"/>
  <c r="L42" i="10"/>
  <c r="L41" i="10"/>
  <c r="L40" i="10"/>
  <c r="L39" i="10"/>
  <c r="L38" i="10"/>
  <c r="L37" i="10"/>
  <c r="L36" i="10"/>
  <c r="L35" i="10"/>
  <c r="L34" i="10"/>
  <c r="L33" i="10"/>
  <c r="L32" i="10"/>
  <c r="C32" i="10"/>
  <c r="L31" i="10"/>
  <c r="L30" i="10"/>
  <c r="L29" i="10"/>
  <c r="L28" i="10"/>
  <c r="F8" i="10"/>
  <c r="C27" i="10" s="1"/>
  <c r="C30" i="10" s="1"/>
  <c r="D26" i="8"/>
  <c r="E26" i="8" s="1"/>
  <c r="E22" i="8"/>
  <c r="G17" i="7"/>
  <c r="U42" i="6"/>
  <c r="W22" i="5" s="1"/>
  <c r="BP65" i="6"/>
  <c r="I69" i="1" s="1"/>
  <c r="BO65" i="6"/>
  <c r="H69" i="1" s="1"/>
  <c r="BN65" i="6"/>
  <c r="G69" i="1" s="1"/>
  <c r="BM65" i="6"/>
  <c r="F69" i="1" s="1"/>
  <c r="BL65" i="6"/>
  <c r="E69" i="1" s="1"/>
  <c r="BP62" i="6"/>
  <c r="I66" i="1" s="1"/>
  <c r="BO62" i="6"/>
  <c r="H66" i="1" s="1"/>
  <c r="BK44" i="6"/>
  <c r="BI44" i="6"/>
  <c r="BK23" i="5" s="1"/>
  <c r="BG44" i="6"/>
  <c r="BI23" i="5" s="1"/>
  <c r="BF44" i="6"/>
  <c r="BH23" i="5" s="1"/>
  <c r="BD44" i="6"/>
  <c r="BF23" i="5" s="1"/>
  <c r="BB44" i="6"/>
  <c r="BD23" i="5" s="1"/>
  <c r="AZ44" i="6"/>
  <c r="AX44" i="6"/>
  <c r="AZ23" i="5" s="1"/>
  <c r="AV44" i="6"/>
  <c r="AX23" i="5" s="1"/>
  <c r="AT44" i="6"/>
  <c r="AV23" i="5" s="1"/>
  <c r="AR44" i="6"/>
  <c r="AT23" i="5" s="1"/>
  <c r="AP44" i="6"/>
  <c r="AR23" i="5" s="1"/>
  <c r="AN44" i="6"/>
  <c r="AM44" i="6"/>
  <c r="AO23" i="5" s="1"/>
  <c r="AL44" i="6"/>
  <c r="AN23" i="5" s="1"/>
  <c r="AK44" i="6"/>
  <c r="AM23" i="5" s="1"/>
  <c r="AG44" i="6"/>
  <c r="AI23" i="5" s="1"/>
  <c r="AF44" i="6"/>
  <c r="AH23" i="5" s="1"/>
  <c r="AE44" i="6"/>
  <c r="AG23" i="5" s="1"/>
  <c r="AC44" i="6"/>
  <c r="AE23" i="5" s="1"/>
  <c r="AA44" i="6"/>
  <c r="AC23" i="5" s="1"/>
  <c r="X44" i="6"/>
  <c r="Z23" i="5" s="1"/>
  <c r="W44" i="6"/>
  <c r="Y23" i="5" s="1"/>
  <c r="V44" i="6"/>
  <c r="X23" i="5" s="1"/>
  <c r="T44" i="6"/>
  <c r="V23" i="5" s="1"/>
  <c r="R44" i="6"/>
  <c r="T23" i="5" s="1"/>
  <c r="P44" i="6"/>
  <c r="N44" i="6"/>
  <c r="P23" i="5" s="1"/>
  <c r="I44" i="6"/>
  <c r="K23" i="5" s="1"/>
  <c r="H44" i="6"/>
  <c r="J23" i="5" s="1"/>
  <c r="G44" i="6"/>
  <c r="I23" i="5" s="1"/>
  <c r="F44" i="6"/>
  <c r="H23" i="5" s="1"/>
  <c r="E44" i="6"/>
  <c r="G23" i="5" s="1"/>
  <c r="BK42" i="6"/>
  <c r="BJ42" i="6"/>
  <c r="BI42" i="6"/>
  <c r="BK22" i="5" s="1"/>
  <c r="BG42" i="6"/>
  <c r="BI22" i="5" s="1"/>
  <c r="BE42" i="6"/>
  <c r="BG22" i="5" s="1"/>
  <c r="BC42" i="6"/>
  <c r="BE22" i="5" s="1"/>
  <c r="BA42" i="6"/>
  <c r="BC22" i="5" s="1"/>
  <c r="AY42" i="6"/>
  <c r="BA22" i="5" s="1"/>
  <c r="AW42" i="6"/>
  <c r="AY22" i="5" s="1"/>
  <c r="AU42" i="6"/>
  <c r="AW22" i="5" s="1"/>
  <c r="AT42" i="6"/>
  <c r="AV22" i="5" s="1"/>
  <c r="AR42" i="6"/>
  <c r="AT22" i="5" s="1"/>
  <c r="AO42" i="6"/>
  <c r="AQ22" i="5" s="1"/>
  <c r="AJ42" i="6"/>
  <c r="AL22" i="5" s="1"/>
  <c r="AI42" i="6"/>
  <c r="AK22" i="5" s="1"/>
  <c r="AH42" i="6"/>
  <c r="AJ22" i="5" s="1"/>
  <c r="AG42" i="6"/>
  <c r="AI22" i="5" s="1"/>
  <c r="AE42" i="6"/>
  <c r="AG22" i="5" s="1"/>
  <c r="X42" i="6"/>
  <c r="Z22" i="5" s="1"/>
  <c r="T42" i="6"/>
  <c r="V22" i="5" s="1"/>
  <c r="R42" i="6"/>
  <c r="T22" i="5" s="1"/>
  <c r="P42" i="6"/>
  <c r="L42" i="6"/>
  <c r="N22" i="5" s="1"/>
  <c r="BN62" i="6"/>
  <c r="G66" i="1" s="1"/>
  <c r="BM62" i="6"/>
  <c r="F66" i="1" s="1"/>
  <c r="BL62" i="6"/>
  <c r="E66" i="1" s="1"/>
  <c r="BJ44" i="6"/>
  <c r="BH44" i="6"/>
  <c r="BJ23" i="5" s="1"/>
  <c r="BE44" i="6"/>
  <c r="BG23" i="5" s="1"/>
  <c r="BC44" i="6"/>
  <c r="BE23" i="5" s="1"/>
  <c r="BA44" i="6"/>
  <c r="BC23" i="5" s="1"/>
  <c r="AY44" i="6"/>
  <c r="BA23" i="5" s="1"/>
  <c r="AW44" i="6"/>
  <c r="AY23" i="5" s="1"/>
  <c r="AU44" i="6"/>
  <c r="AW23" i="5" s="1"/>
  <c r="AS44" i="6"/>
  <c r="AU23" i="5" s="1"/>
  <c r="AQ44" i="6"/>
  <c r="AS23" i="5" s="1"/>
  <c r="AO44" i="6"/>
  <c r="AQ23" i="5" s="1"/>
  <c r="AJ44" i="6"/>
  <c r="AL23" i="5" s="1"/>
  <c r="AI44" i="6"/>
  <c r="AK23" i="5" s="1"/>
  <c r="AH44" i="6"/>
  <c r="AJ23" i="5" s="1"/>
  <c r="AD44" i="6"/>
  <c r="AF23" i="5" s="1"/>
  <c r="AB44" i="6"/>
  <c r="Z44" i="6"/>
  <c r="AB23" i="5" s="1"/>
  <c r="Y44" i="6"/>
  <c r="AA23" i="5" s="1"/>
  <c r="U44" i="6"/>
  <c r="W23" i="5" s="1"/>
  <c r="S44" i="6"/>
  <c r="U23" i="5" s="1"/>
  <c r="Q44" i="6"/>
  <c r="S23" i="5" s="1"/>
  <c r="O44" i="6"/>
  <c r="Q23" i="5" s="1"/>
  <c r="M44" i="6"/>
  <c r="O23" i="5" s="1"/>
  <c r="L44" i="6"/>
  <c r="N23" i="5" s="1"/>
  <c r="J44" i="6"/>
  <c r="L23" i="5" s="1"/>
  <c r="D44" i="6"/>
  <c r="BH42" i="6"/>
  <c r="BJ22" i="5" s="1"/>
  <c r="BF42" i="6"/>
  <c r="BH22" i="5" s="1"/>
  <c r="BD42" i="6"/>
  <c r="BF22" i="5" s="1"/>
  <c r="BB42" i="6"/>
  <c r="BD22" i="5" s="1"/>
  <c r="AZ42" i="6"/>
  <c r="AX42" i="6"/>
  <c r="AZ22" i="5" s="1"/>
  <c r="AV42" i="6"/>
  <c r="AX22" i="5" s="1"/>
  <c r="AS42" i="6"/>
  <c r="AU22" i="5" s="1"/>
  <c r="AQ42" i="6"/>
  <c r="AS22" i="5" s="1"/>
  <c r="AP42" i="6"/>
  <c r="AR22" i="5" s="1"/>
  <c r="AN42" i="6"/>
  <c r="AM42" i="6"/>
  <c r="AO22" i="5" s="1"/>
  <c r="AL42" i="6"/>
  <c r="AN22" i="5" s="1"/>
  <c r="AK42" i="6"/>
  <c r="AM22" i="5" s="1"/>
  <c r="AF42" i="6"/>
  <c r="AH22" i="5" s="1"/>
  <c r="AD42" i="6"/>
  <c r="AF22" i="5" s="1"/>
  <c r="AC42" i="6"/>
  <c r="AE22" i="5" s="1"/>
  <c r="AB42" i="6"/>
  <c r="AA42" i="6"/>
  <c r="AC22" i="5" s="1"/>
  <c r="Z42" i="6"/>
  <c r="AB22" i="5" s="1"/>
  <c r="Y42" i="6"/>
  <c r="AA22" i="5" s="1"/>
  <c r="S42" i="6"/>
  <c r="U22" i="5" s="1"/>
  <c r="M42" i="6"/>
  <c r="O22" i="5" s="1"/>
  <c r="K44" i="6"/>
  <c r="M23" i="5" s="1"/>
  <c r="K42" i="6"/>
  <c r="M22" i="5" s="1"/>
  <c r="BI26" i="6"/>
  <c r="BH26" i="6"/>
  <c r="BG26" i="6"/>
  <c r="BF26" i="6"/>
  <c r="BE26" i="6"/>
  <c r="BD26" i="6"/>
  <c r="BC26" i="6"/>
  <c r="BB26" i="6"/>
  <c r="BA26" i="6"/>
  <c r="AZ26" i="6"/>
  <c r="AY26" i="6"/>
  <c r="AX26" i="6"/>
  <c r="AW26" i="6"/>
  <c r="AV26" i="6"/>
  <c r="AU26" i="6"/>
  <c r="AT26" i="6"/>
  <c r="AS26" i="6"/>
  <c r="AR26" i="6"/>
  <c r="AQ26" i="6"/>
  <c r="AP26" i="6"/>
  <c r="AO26" i="6"/>
  <c r="AN26" i="6"/>
  <c r="AM26" i="6"/>
  <c r="AL26" i="6"/>
  <c r="AK26" i="6"/>
  <c r="AJ26" i="6"/>
  <c r="AI26" i="6"/>
  <c r="AH26" i="6"/>
  <c r="AG26" i="6"/>
  <c r="AF26" i="6"/>
  <c r="AE26" i="6"/>
  <c r="AD26" i="6"/>
  <c r="AC26" i="6"/>
  <c r="AB26" i="6"/>
  <c r="AA26" i="6"/>
  <c r="Z26" i="6"/>
  <c r="Y26" i="6"/>
  <c r="X26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BK25" i="6"/>
  <c r="BK63" i="6" s="1"/>
  <c r="BJ25" i="6"/>
  <c r="BJ63" i="6" s="1"/>
  <c r="BI25" i="6"/>
  <c r="BI63" i="6" s="1"/>
  <c r="BH25" i="6"/>
  <c r="BH63" i="6" s="1"/>
  <c r="BG25" i="6"/>
  <c r="BG63" i="6" s="1"/>
  <c r="BF25" i="6"/>
  <c r="BF63" i="6" s="1"/>
  <c r="BE25" i="6"/>
  <c r="BE63" i="6" s="1"/>
  <c r="BD25" i="6"/>
  <c r="BD63" i="6" s="1"/>
  <c r="BC25" i="6"/>
  <c r="BC63" i="6" s="1"/>
  <c r="BB25" i="6"/>
  <c r="BB63" i="6" s="1"/>
  <c r="BA25" i="6"/>
  <c r="BA63" i="6" s="1"/>
  <c r="AZ25" i="6"/>
  <c r="AY25" i="6"/>
  <c r="AY63" i="6" s="1"/>
  <c r="AX25" i="6"/>
  <c r="AX63" i="6" s="1"/>
  <c r="AW25" i="6"/>
  <c r="AW63" i="6" s="1"/>
  <c r="AV25" i="6"/>
  <c r="AV63" i="6" s="1"/>
  <c r="AU25" i="6"/>
  <c r="AU63" i="6" s="1"/>
  <c r="AT25" i="6"/>
  <c r="AT63" i="6" s="1"/>
  <c r="AS25" i="6"/>
  <c r="AS63" i="6" s="1"/>
  <c r="AR25" i="6"/>
  <c r="AR63" i="6" s="1"/>
  <c r="AQ25" i="6"/>
  <c r="AQ63" i="6" s="1"/>
  <c r="AP25" i="6"/>
  <c r="AP63" i="6" s="1"/>
  <c r="AO25" i="6"/>
  <c r="AN25" i="6"/>
  <c r="AM25" i="6"/>
  <c r="AL25" i="6"/>
  <c r="AK25" i="6"/>
  <c r="AJ25" i="6"/>
  <c r="AI25" i="6"/>
  <c r="AH25" i="6"/>
  <c r="AG25" i="6"/>
  <c r="AF25" i="6"/>
  <c r="AE25" i="6"/>
  <c r="AD25" i="6"/>
  <c r="AC25" i="6"/>
  <c r="AB25" i="6"/>
  <c r="AA25" i="6"/>
  <c r="Z25" i="6"/>
  <c r="Y25" i="6"/>
  <c r="X25" i="6"/>
  <c r="W25" i="6"/>
  <c r="W63" i="6" s="1"/>
  <c r="V25" i="6"/>
  <c r="V63" i="6" s="1"/>
  <c r="U25" i="6"/>
  <c r="T25" i="6"/>
  <c r="T63" i="6" s="1"/>
  <c r="S25" i="6"/>
  <c r="R25" i="6"/>
  <c r="R63" i="6" s="1"/>
  <c r="Q25" i="6"/>
  <c r="P25" i="6"/>
  <c r="O25" i="6"/>
  <c r="N25" i="6"/>
  <c r="N63" i="6" s="1"/>
  <c r="M25" i="6"/>
  <c r="L25" i="6"/>
  <c r="K25" i="6"/>
  <c r="J25" i="6"/>
  <c r="I25" i="6"/>
  <c r="I63" i="6" s="1"/>
  <c r="H25" i="6"/>
  <c r="H63" i="6" s="1"/>
  <c r="G25" i="6"/>
  <c r="G63" i="6" s="1"/>
  <c r="F25" i="6"/>
  <c r="F63" i="6" s="1"/>
  <c r="E25" i="6"/>
  <c r="E63" i="6" s="1"/>
  <c r="D25" i="6"/>
  <c r="BO22" i="6"/>
  <c r="BN22" i="6"/>
  <c r="BM22" i="6"/>
  <c r="BL22" i="6"/>
  <c r="BK22" i="6"/>
  <c r="BJ22" i="6"/>
  <c r="BL22" i="5"/>
  <c r="BP30" i="4"/>
  <c r="BN51" i="2"/>
  <c r="BP43" i="4"/>
  <c r="BO43" i="4"/>
  <c r="BN43" i="4"/>
  <c r="BM43" i="4"/>
  <c r="BL43" i="4"/>
  <c r="BP42" i="4"/>
  <c r="BO42" i="4"/>
  <c r="BN42" i="4"/>
  <c r="BM42" i="4"/>
  <c r="BL42" i="4"/>
  <c r="BO33" i="4"/>
  <c r="BN33" i="4"/>
  <c r="BM33" i="4"/>
  <c r="BL33" i="4"/>
  <c r="BK33" i="4"/>
  <c r="BK26" i="6" s="1"/>
  <c r="BJ33" i="4"/>
  <c r="BJ26" i="6" s="1"/>
  <c r="BP32" i="4"/>
  <c r="BO32" i="4"/>
  <c r="BN32" i="4"/>
  <c r="BM32" i="4"/>
  <c r="BL32" i="4"/>
  <c r="BO51" i="2"/>
  <c r="BL51" i="2"/>
  <c r="BP51" i="2"/>
  <c r="BM51" i="2"/>
  <c r="BP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BN50" i="2" s="1"/>
  <c r="AA50" i="2"/>
  <c r="Z50" i="2"/>
  <c r="Y50" i="2"/>
  <c r="X50" i="2"/>
  <c r="W50" i="2"/>
  <c r="V50" i="2"/>
  <c r="U50" i="2"/>
  <c r="T50" i="2"/>
  <c r="S50" i="2"/>
  <c r="R50" i="2"/>
  <c r="Q50" i="2"/>
  <c r="P50" i="2"/>
  <c r="BM50" i="2" s="1"/>
  <c r="O50" i="2"/>
  <c r="N50" i="2"/>
  <c r="M50" i="2"/>
  <c r="L50" i="2"/>
  <c r="K50" i="2"/>
  <c r="J50" i="2"/>
  <c r="I50" i="2"/>
  <c r="H50" i="2"/>
  <c r="G50" i="2"/>
  <c r="F50" i="2"/>
  <c r="E50" i="2"/>
  <c r="D50" i="2"/>
  <c r="BL50" i="2" s="1"/>
  <c r="BK49" i="2"/>
  <c r="BJ49" i="2"/>
  <c r="BI49" i="2"/>
  <c r="BH49" i="2"/>
  <c r="BG49" i="2"/>
  <c r="BF49" i="2"/>
  <c r="BE49" i="2"/>
  <c r="BD49" i="2"/>
  <c r="BC49" i="2"/>
  <c r="BB49" i="2"/>
  <c r="BA49" i="2"/>
  <c r="AZ49" i="2"/>
  <c r="BP49" i="2" s="1"/>
  <c r="AY49" i="2"/>
  <c r="AX49" i="2"/>
  <c r="AW49" i="2"/>
  <c r="AV49" i="2"/>
  <c r="AU49" i="2"/>
  <c r="AT49" i="2"/>
  <c r="AS49" i="2"/>
  <c r="AR49" i="2"/>
  <c r="AQ49" i="2"/>
  <c r="AP49" i="2"/>
  <c r="AO49" i="2"/>
  <c r="AN49" i="2"/>
  <c r="BO49" i="2" s="1"/>
  <c r="AM49" i="2"/>
  <c r="AL49" i="2"/>
  <c r="AK49" i="2"/>
  <c r="AJ49" i="2"/>
  <c r="AI49" i="2"/>
  <c r="AH49" i="2"/>
  <c r="AG49" i="2"/>
  <c r="AF49" i="2"/>
  <c r="AE49" i="2"/>
  <c r="AD49" i="2"/>
  <c r="AC49" i="2"/>
  <c r="AB49" i="2"/>
  <c r="BN49" i="2" s="1"/>
  <c r="AA49" i="2"/>
  <c r="Z49" i="2"/>
  <c r="Y49" i="2"/>
  <c r="X49" i="2"/>
  <c r="W49" i="2"/>
  <c r="V49" i="2"/>
  <c r="U49" i="2"/>
  <c r="T49" i="2"/>
  <c r="S49" i="2"/>
  <c r="R49" i="2"/>
  <c r="Q49" i="2"/>
  <c r="P49" i="2"/>
  <c r="BM49" i="2" s="1"/>
  <c r="O49" i="2"/>
  <c r="N49" i="2"/>
  <c r="M49" i="2"/>
  <c r="L49" i="2"/>
  <c r="K49" i="2"/>
  <c r="J49" i="2"/>
  <c r="I49" i="2"/>
  <c r="H49" i="2"/>
  <c r="G49" i="2"/>
  <c r="F49" i="2"/>
  <c r="E49" i="2"/>
  <c r="D49" i="2"/>
  <c r="BL49" i="2" s="1"/>
  <c r="BK48" i="2"/>
  <c r="BJ48" i="2"/>
  <c r="BI48" i="2"/>
  <c r="BH48" i="2"/>
  <c r="BG48" i="2"/>
  <c r="BF48" i="2"/>
  <c r="BE48" i="2"/>
  <c r="BD48" i="2"/>
  <c r="BC48" i="2"/>
  <c r="BB48" i="2"/>
  <c r="BA48" i="2"/>
  <c r="AZ48" i="2"/>
  <c r="BP48" i="2" s="1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BN48" i="2" s="1"/>
  <c r="AA48" i="2"/>
  <c r="Z48" i="2"/>
  <c r="Y48" i="2"/>
  <c r="X48" i="2"/>
  <c r="W48" i="2"/>
  <c r="V48" i="2"/>
  <c r="U48" i="2"/>
  <c r="T48" i="2"/>
  <c r="S48" i="2"/>
  <c r="R48" i="2"/>
  <c r="Q48" i="2"/>
  <c r="P48" i="2"/>
  <c r="BM48" i="2" s="1"/>
  <c r="O48" i="2"/>
  <c r="N48" i="2"/>
  <c r="M48" i="2"/>
  <c r="L48" i="2"/>
  <c r="K48" i="2"/>
  <c r="J48" i="2"/>
  <c r="I48" i="2"/>
  <c r="H48" i="2"/>
  <c r="G48" i="2"/>
  <c r="F48" i="2"/>
  <c r="E48" i="2"/>
  <c r="D48" i="2"/>
  <c r="BL48" i="2" s="1"/>
  <c r="BK47" i="2"/>
  <c r="BJ47" i="2"/>
  <c r="BI47" i="2"/>
  <c r="BH47" i="2"/>
  <c r="BG47" i="2"/>
  <c r="BF47" i="2"/>
  <c r="BE47" i="2"/>
  <c r="BD47" i="2"/>
  <c r="BC47" i="2"/>
  <c r="BB47" i="2"/>
  <c r="BA47" i="2"/>
  <c r="AZ47" i="2"/>
  <c r="BP47" i="2" s="1"/>
  <c r="AY47" i="2"/>
  <c r="AX47" i="2"/>
  <c r="AW47" i="2"/>
  <c r="AV47" i="2"/>
  <c r="AU47" i="2"/>
  <c r="AT47" i="2"/>
  <c r="AS47" i="2"/>
  <c r="AR47" i="2"/>
  <c r="AQ47" i="2"/>
  <c r="AP47" i="2"/>
  <c r="AO47" i="2"/>
  <c r="AN47" i="2"/>
  <c r="BO47" i="2" s="1"/>
  <c r="AM47" i="2"/>
  <c r="AL47" i="2"/>
  <c r="AK47" i="2"/>
  <c r="AJ47" i="2"/>
  <c r="AI47" i="2"/>
  <c r="AH47" i="2"/>
  <c r="AG47" i="2"/>
  <c r="AF47" i="2"/>
  <c r="AE47" i="2"/>
  <c r="AD47" i="2"/>
  <c r="AC47" i="2"/>
  <c r="AB47" i="2"/>
  <c r="BN47" i="2" s="1"/>
  <c r="AA47" i="2"/>
  <c r="Z47" i="2"/>
  <c r="Y47" i="2"/>
  <c r="X47" i="2"/>
  <c r="W47" i="2"/>
  <c r="V47" i="2"/>
  <c r="U47" i="2"/>
  <c r="T47" i="2"/>
  <c r="S47" i="2"/>
  <c r="R47" i="2"/>
  <c r="Q47" i="2"/>
  <c r="P47" i="2"/>
  <c r="BM47" i="2" s="1"/>
  <c r="O47" i="2"/>
  <c r="N47" i="2"/>
  <c r="M47" i="2"/>
  <c r="L47" i="2"/>
  <c r="K47" i="2"/>
  <c r="J47" i="2"/>
  <c r="I47" i="2"/>
  <c r="H47" i="2"/>
  <c r="G47" i="2"/>
  <c r="F47" i="2"/>
  <c r="E47" i="2"/>
  <c r="D47" i="2"/>
  <c r="BL47" i="2" s="1"/>
  <c r="BK46" i="2"/>
  <c r="BJ46" i="2"/>
  <c r="BI46" i="2"/>
  <c r="BH46" i="2"/>
  <c r="BG46" i="2"/>
  <c r="BF46" i="2"/>
  <c r="BE46" i="2"/>
  <c r="BD46" i="2"/>
  <c r="BC46" i="2"/>
  <c r="BB46" i="2"/>
  <c r="BA46" i="2"/>
  <c r="AZ46" i="2"/>
  <c r="BP46" i="2" s="1"/>
  <c r="AY46" i="2"/>
  <c r="AX46" i="2"/>
  <c r="AW46" i="2"/>
  <c r="AV46" i="2"/>
  <c r="AU46" i="2"/>
  <c r="AT46" i="2"/>
  <c r="AS46" i="2"/>
  <c r="AR46" i="2"/>
  <c r="AQ46" i="2"/>
  <c r="AP46" i="2"/>
  <c r="AO46" i="2"/>
  <c r="AN46" i="2"/>
  <c r="BO46" i="2" s="1"/>
  <c r="AM46" i="2"/>
  <c r="AL46" i="2"/>
  <c r="AK46" i="2"/>
  <c r="AJ46" i="2"/>
  <c r="AI46" i="2"/>
  <c r="AH46" i="2"/>
  <c r="AG46" i="2"/>
  <c r="AF46" i="2"/>
  <c r="AE46" i="2"/>
  <c r="AD46" i="2"/>
  <c r="AC46" i="2"/>
  <c r="AB46" i="2"/>
  <c r="BN46" i="2" s="1"/>
  <c r="AA46" i="2"/>
  <c r="Z46" i="2"/>
  <c r="Y46" i="2"/>
  <c r="X46" i="2"/>
  <c r="W46" i="2"/>
  <c r="V46" i="2"/>
  <c r="U46" i="2"/>
  <c r="T46" i="2"/>
  <c r="S46" i="2"/>
  <c r="R46" i="2"/>
  <c r="Q46" i="2"/>
  <c r="P46" i="2"/>
  <c r="BM46" i="2" s="1"/>
  <c r="O46" i="2"/>
  <c r="N46" i="2"/>
  <c r="M46" i="2"/>
  <c r="L46" i="2"/>
  <c r="K46" i="2"/>
  <c r="J46" i="2"/>
  <c r="I46" i="2"/>
  <c r="H46" i="2"/>
  <c r="G46" i="2"/>
  <c r="F46" i="2"/>
  <c r="E46" i="2"/>
  <c r="D46" i="2"/>
  <c r="BL46" i="2" s="1"/>
  <c r="BK45" i="2"/>
  <c r="BJ45" i="2"/>
  <c r="BI45" i="2"/>
  <c r="BH45" i="2"/>
  <c r="BG45" i="2"/>
  <c r="BF45" i="2"/>
  <c r="BE45" i="2"/>
  <c r="BD45" i="2"/>
  <c r="BC45" i="2"/>
  <c r="BB45" i="2"/>
  <c r="BA45" i="2"/>
  <c r="AZ45" i="2"/>
  <c r="BP45" i="2" s="1"/>
  <c r="AY45" i="2"/>
  <c r="AX45" i="2"/>
  <c r="AW45" i="2"/>
  <c r="AV45" i="2"/>
  <c r="AU45" i="2"/>
  <c r="AT45" i="2"/>
  <c r="AS45" i="2"/>
  <c r="AR45" i="2"/>
  <c r="AQ45" i="2"/>
  <c r="AP45" i="2"/>
  <c r="AO45" i="2"/>
  <c r="AN45" i="2"/>
  <c r="BO45" i="2" s="1"/>
  <c r="AM45" i="2"/>
  <c r="AL45" i="2"/>
  <c r="AK45" i="2"/>
  <c r="AJ45" i="2"/>
  <c r="AI45" i="2"/>
  <c r="AH45" i="2"/>
  <c r="AG45" i="2"/>
  <c r="AF45" i="2"/>
  <c r="AE45" i="2"/>
  <c r="AD45" i="2"/>
  <c r="AC45" i="2"/>
  <c r="AB45" i="2"/>
  <c r="BN45" i="2" s="1"/>
  <c r="AA45" i="2"/>
  <c r="Z45" i="2"/>
  <c r="Y45" i="2"/>
  <c r="X45" i="2"/>
  <c r="W45" i="2"/>
  <c r="V45" i="2"/>
  <c r="U45" i="2"/>
  <c r="T45" i="2"/>
  <c r="S45" i="2"/>
  <c r="R45" i="2"/>
  <c r="Q45" i="2"/>
  <c r="P45" i="2"/>
  <c r="BM45" i="2" s="1"/>
  <c r="O45" i="2"/>
  <c r="N45" i="2"/>
  <c r="M45" i="2"/>
  <c r="L45" i="2"/>
  <c r="K45" i="2"/>
  <c r="J45" i="2"/>
  <c r="I45" i="2"/>
  <c r="H45" i="2"/>
  <c r="G45" i="2"/>
  <c r="F45" i="2"/>
  <c r="E45" i="2"/>
  <c r="BL45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S52" i="2" s="1"/>
  <c r="AR44" i="2"/>
  <c r="AR52" i="2" s="1"/>
  <c r="AQ44" i="2"/>
  <c r="AQ52" i="2" s="1"/>
  <c r="AP44" i="2"/>
  <c r="AP52" i="2" s="1"/>
  <c r="AO44" i="2"/>
  <c r="AO52" i="2" s="1"/>
  <c r="AN44" i="2"/>
  <c r="AM44" i="2"/>
  <c r="AM52" i="2" s="1"/>
  <c r="AL44" i="2"/>
  <c r="AL52" i="2" s="1"/>
  <c r="AK44" i="2"/>
  <c r="AK52" i="2" s="1"/>
  <c r="AJ44" i="2"/>
  <c r="AJ52" i="2" s="1"/>
  <c r="AI44" i="2"/>
  <c r="AI52" i="2" s="1"/>
  <c r="AH44" i="2"/>
  <c r="AH52" i="2" s="1"/>
  <c r="AG44" i="2"/>
  <c r="AG52" i="2" s="1"/>
  <c r="AF44" i="2"/>
  <c r="AF52" i="2" s="1"/>
  <c r="AE44" i="2"/>
  <c r="AE52" i="2" s="1"/>
  <c r="AD44" i="2"/>
  <c r="AD52" i="2" s="1"/>
  <c r="AC44" i="2"/>
  <c r="AC52" i="2" s="1"/>
  <c r="AB44" i="2"/>
  <c r="AA44" i="2"/>
  <c r="AA52" i="2" s="1"/>
  <c r="Z44" i="2"/>
  <c r="Z52" i="2" s="1"/>
  <c r="Y44" i="2"/>
  <c r="Y52" i="2" s="1"/>
  <c r="X44" i="2"/>
  <c r="X52" i="2" s="1"/>
  <c r="W44" i="2"/>
  <c r="W52" i="2" s="1"/>
  <c r="V44" i="2"/>
  <c r="V52" i="2" s="1"/>
  <c r="U44" i="2"/>
  <c r="U52" i="2" s="1"/>
  <c r="T44" i="2"/>
  <c r="T52" i="2" s="1"/>
  <c r="S44" i="2"/>
  <c r="S52" i="2" s="1"/>
  <c r="R44" i="2"/>
  <c r="R52" i="2" s="1"/>
  <c r="Q44" i="2"/>
  <c r="Q52" i="2" s="1"/>
  <c r="P44" i="2"/>
  <c r="O44" i="2"/>
  <c r="O52" i="2" s="1"/>
  <c r="N44" i="2"/>
  <c r="N52" i="2" s="1"/>
  <c r="M44" i="2"/>
  <c r="M52" i="2" s="1"/>
  <c r="L44" i="2"/>
  <c r="L52" i="2" s="1"/>
  <c r="K44" i="2"/>
  <c r="K52" i="2" s="1"/>
  <c r="J44" i="2"/>
  <c r="J52" i="2" s="1"/>
  <c r="I44" i="2"/>
  <c r="I52" i="2" s="1"/>
  <c r="H44" i="2"/>
  <c r="H52" i="2" s="1"/>
  <c r="G44" i="2"/>
  <c r="G52" i="2" s="1"/>
  <c r="F44" i="2"/>
  <c r="F52" i="2" s="1"/>
  <c r="E44" i="2"/>
  <c r="E52" i="2" s="1"/>
  <c r="D44" i="2"/>
  <c r="BP40" i="2"/>
  <c r="B21" i="7" s="1"/>
  <c r="BO40" i="2"/>
  <c r="BN40" i="2"/>
  <c r="BM40" i="2"/>
  <c r="BL40" i="2"/>
  <c r="B39" i="2"/>
  <c r="B38" i="2"/>
  <c r="B37" i="2"/>
  <c r="B36" i="2"/>
  <c r="B35" i="2"/>
  <c r="B34" i="2"/>
  <c r="B33" i="2"/>
  <c r="B32" i="2"/>
  <c r="F13" i="2"/>
  <c r="F12" i="2"/>
  <c r="F11" i="2"/>
  <c r="F10" i="2"/>
  <c r="F9" i="2"/>
  <c r="F8" i="2"/>
  <c r="F7" i="2"/>
  <c r="F6" i="2"/>
  <c r="D9" i="12" l="1"/>
  <c r="E8" i="12" s="1"/>
  <c r="E9" i="12"/>
  <c r="F9" i="12"/>
  <c r="G9" i="12"/>
  <c r="H9" i="12"/>
  <c r="I9" i="12"/>
  <c r="J9" i="12"/>
  <c r="K9" i="12"/>
  <c r="L9" i="12"/>
  <c r="M9" i="12"/>
  <c r="N9" i="12"/>
  <c r="O9" i="12"/>
  <c r="P9" i="12"/>
  <c r="Q9" i="12"/>
  <c r="R9" i="12"/>
  <c r="S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AJ9" i="12"/>
  <c r="AK9" i="12"/>
  <c r="AL9" i="12"/>
  <c r="AM9" i="12"/>
  <c r="AN9" i="12"/>
  <c r="AO9" i="12"/>
  <c r="AP9" i="12"/>
  <c r="AQ9" i="12"/>
  <c r="AR9" i="12"/>
  <c r="AS9" i="12"/>
  <c r="AT9" i="12"/>
  <c r="AU9" i="12"/>
  <c r="AV9" i="12"/>
  <c r="AW9" i="12"/>
  <c r="AX9" i="12"/>
  <c r="AY9" i="12"/>
  <c r="AZ9" i="12"/>
  <c r="BA9" i="12"/>
  <c r="BB9" i="12"/>
  <c r="BC9" i="12"/>
  <c r="BD9" i="12"/>
  <c r="BE9" i="12"/>
  <c r="BF9" i="12"/>
  <c r="BG9" i="12"/>
  <c r="BH9" i="12"/>
  <c r="BI9" i="12"/>
  <c r="BJ9" i="12"/>
  <c r="BK9" i="12"/>
  <c r="D49" i="12"/>
  <c r="F12" i="12"/>
  <c r="E22" i="12"/>
  <c r="E49" i="12" s="1"/>
  <c r="E52" i="12" s="1"/>
  <c r="AC2" i="12"/>
  <c r="AD2" i="12" s="1"/>
  <c r="AE2" i="12" s="1"/>
  <c r="AF2" i="12" s="1"/>
  <c r="AG2" i="12" s="1"/>
  <c r="AH2" i="12" s="1"/>
  <c r="AI2" i="12" s="1"/>
  <c r="AJ2" i="12" s="1"/>
  <c r="AK2" i="12" s="1"/>
  <c r="AL2" i="12" s="1"/>
  <c r="AM2" i="12" s="1"/>
  <c r="AN2" i="12"/>
  <c r="G2" i="12"/>
  <c r="H104" i="10"/>
  <c r="D38" i="8"/>
  <c r="E38" i="8" s="1"/>
  <c r="H103" i="10"/>
  <c r="D29" i="8"/>
  <c r="E29" i="8" s="1"/>
  <c r="M30" i="10"/>
  <c r="M31" i="10"/>
  <c r="B32" i="10"/>
  <c r="E32" i="10" s="1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28" i="10"/>
  <c r="M29" i="10"/>
  <c r="BP44" i="6"/>
  <c r="I50" i="1" s="1"/>
  <c r="BB23" i="5"/>
  <c r="BP23" i="5" s="1"/>
  <c r="AP23" i="5"/>
  <c r="BO23" i="5" s="1"/>
  <c r="BO44" i="6"/>
  <c r="H50" i="1" s="1"/>
  <c r="BM44" i="6"/>
  <c r="F50" i="1" s="1"/>
  <c r="R23" i="5"/>
  <c r="BM23" i="5" s="1"/>
  <c r="BM42" i="6"/>
  <c r="F48" i="1" s="1"/>
  <c r="R22" i="5"/>
  <c r="BM22" i="5" s="1"/>
  <c r="BN44" i="6"/>
  <c r="G50" i="1" s="1"/>
  <c r="AD23" i="5"/>
  <c r="BN23" i="5" s="1"/>
  <c r="BL44" i="6"/>
  <c r="E50" i="1" s="1"/>
  <c r="F23" i="5"/>
  <c r="BL23" i="5" s="1"/>
  <c r="BB22" i="5"/>
  <c r="BP22" i="5" s="1"/>
  <c r="BP42" i="6"/>
  <c r="BO42" i="6"/>
  <c r="H48" i="1" s="1"/>
  <c r="AP22" i="5"/>
  <c r="BO22" i="5" s="1"/>
  <c r="BN42" i="6"/>
  <c r="G48" i="1" s="1"/>
  <c r="AD22" i="5"/>
  <c r="BN22" i="5" s="1"/>
  <c r="BP26" i="6"/>
  <c r="BO26" i="6"/>
  <c r="BN26" i="6"/>
  <c r="BM26" i="6"/>
  <c r="BL26" i="6"/>
  <c r="BP25" i="6"/>
  <c r="AZ63" i="6"/>
  <c r="BO25" i="6"/>
  <c r="AN63" i="6"/>
  <c r="BN25" i="6"/>
  <c r="AB63" i="6"/>
  <c r="BM25" i="6"/>
  <c r="P63" i="6"/>
  <c r="BL25" i="6"/>
  <c r="D63" i="6"/>
  <c r="H30" i="1"/>
  <c r="G30" i="1"/>
  <c r="F30" i="1"/>
  <c r="E30" i="1"/>
  <c r="BP44" i="2"/>
  <c r="AZ52" i="2"/>
  <c r="AS53" i="2"/>
  <c r="AS41" i="4"/>
  <c r="AR53" i="2"/>
  <c r="AR41" i="4"/>
  <c r="AQ53" i="2"/>
  <c r="AQ41" i="4"/>
  <c r="AP53" i="2"/>
  <c r="AP41" i="4"/>
  <c r="AO53" i="2"/>
  <c r="AO41" i="4"/>
  <c r="BO44" i="2"/>
  <c r="AN52" i="2"/>
  <c r="AM53" i="2"/>
  <c r="AM41" i="4"/>
  <c r="AL53" i="2"/>
  <c r="AL41" i="4"/>
  <c r="AK53" i="2"/>
  <c r="AK41" i="4"/>
  <c r="AJ53" i="2"/>
  <c r="AJ41" i="4"/>
  <c r="AI53" i="2"/>
  <c r="AI41" i="4"/>
  <c r="AH53" i="2"/>
  <c r="AH41" i="4"/>
  <c r="AG53" i="2"/>
  <c r="AG41" i="4"/>
  <c r="AF53" i="2"/>
  <c r="AF41" i="4"/>
  <c r="AE53" i="2"/>
  <c r="AE41" i="4"/>
  <c r="AD53" i="2"/>
  <c r="AD41" i="4"/>
  <c r="AC53" i="2"/>
  <c r="AC41" i="4"/>
  <c r="BN44" i="2"/>
  <c r="AB52" i="2"/>
  <c r="AA53" i="2"/>
  <c r="AA41" i="4"/>
  <c r="Z53" i="2"/>
  <c r="Z41" i="4"/>
  <c r="Y53" i="2"/>
  <c r="Y41" i="4"/>
  <c r="X53" i="2"/>
  <c r="X41" i="4"/>
  <c r="W53" i="2"/>
  <c r="W41" i="4"/>
  <c r="V53" i="2"/>
  <c r="V41" i="4"/>
  <c r="U53" i="2"/>
  <c r="U41" i="4"/>
  <c r="T53" i="2"/>
  <c r="T41" i="4"/>
  <c r="S53" i="2"/>
  <c r="S41" i="4"/>
  <c r="R53" i="2"/>
  <c r="R41" i="4"/>
  <c r="Q53" i="2"/>
  <c r="Q41" i="4"/>
  <c r="BM44" i="2"/>
  <c r="P52" i="2"/>
  <c r="O53" i="2"/>
  <c r="O41" i="4"/>
  <c r="N53" i="2"/>
  <c r="N41" i="4"/>
  <c r="M41" i="4"/>
  <c r="M53" i="2"/>
  <c r="L53" i="2"/>
  <c r="L41" i="4"/>
  <c r="K53" i="2"/>
  <c r="K41" i="4"/>
  <c r="J53" i="2"/>
  <c r="J41" i="4"/>
  <c r="I41" i="4"/>
  <c r="I53" i="2"/>
  <c r="H53" i="2"/>
  <c r="H41" i="4"/>
  <c r="G53" i="2"/>
  <c r="G41" i="4"/>
  <c r="F53" i="2"/>
  <c r="F41" i="4"/>
  <c r="E41" i="4"/>
  <c r="E53" i="2"/>
  <c r="BL44" i="2"/>
  <c r="D52" i="2"/>
  <c r="E24" i="12"/>
  <c r="D24" i="12"/>
  <c r="F105" i="10"/>
  <c r="BL42" i="6"/>
  <c r="E48" i="1" s="1"/>
  <c r="BP33" i="4"/>
  <c r="AO63" i="6"/>
  <c r="AM63" i="6"/>
  <c r="AL63" i="6"/>
  <c r="AK63" i="6"/>
  <c r="AJ63" i="6"/>
  <c r="AI63" i="6"/>
  <c r="AH63" i="6"/>
  <c r="AG63" i="6"/>
  <c r="AF63" i="6"/>
  <c r="AE63" i="6"/>
  <c r="AD63" i="6"/>
  <c r="AC63" i="6"/>
  <c r="AA63" i="6"/>
  <c r="Z63" i="6"/>
  <c r="Y63" i="6"/>
  <c r="X63" i="6"/>
  <c r="U63" i="6"/>
  <c r="S63" i="6"/>
  <c r="Q63" i="6"/>
  <c r="O63" i="6"/>
  <c r="M63" i="6"/>
  <c r="L63" i="6"/>
  <c r="K63" i="6"/>
  <c r="J63" i="6"/>
  <c r="BP22" i="6"/>
  <c r="BO50" i="2"/>
  <c r="BO48" i="2"/>
  <c r="BK52" i="2"/>
  <c r="BJ52" i="2"/>
  <c r="BI52" i="2"/>
  <c r="BH52" i="2"/>
  <c r="BG52" i="2"/>
  <c r="BE52" i="2"/>
  <c r="BD52" i="2"/>
  <c r="BC52" i="2"/>
  <c r="BB52" i="2"/>
  <c r="BA52" i="2"/>
  <c r="AY52" i="2"/>
  <c r="AX52" i="2"/>
  <c r="AW52" i="2"/>
  <c r="AV52" i="2"/>
  <c r="AU52" i="2"/>
  <c r="AT52" i="2"/>
  <c r="BF52" i="2"/>
  <c r="G12" i="12" l="1"/>
  <c r="F22" i="12"/>
  <c r="AO2" i="12"/>
  <c r="AP2" i="12" s="1"/>
  <c r="AQ2" i="12" s="1"/>
  <c r="AR2" i="12" s="1"/>
  <c r="AS2" i="12" s="1"/>
  <c r="AT2" i="12" s="1"/>
  <c r="AU2" i="12" s="1"/>
  <c r="AV2" i="12" s="1"/>
  <c r="AW2" i="12" s="1"/>
  <c r="AX2" i="12" s="1"/>
  <c r="AY2" i="12" s="1"/>
  <c r="AZ2" i="12"/>
  <c r="BA2" i="12" s="1"/>
  <c r="BB2" i="12" s="1"/>
  <c r="BC2" i="12" s="1"/>
  <c r="BD2" i="12" s="1"/>
  <c r="BE2" i="12" s="1"/>
  <c r="BF2" i="12" s="1"/>
  <c r="BG2" i="12" s="1"/>
  <c r="BH2" i="12" s="1"/>
  <c r="BI2" i="12" s="1"/>
  <c r="BJ2" i="12" s="1"/>
  <c r="BK2" i="12" s="1"/>
  <c r="H2" i="12"/>
  <c r="B35" i="10"/>
  <c r="E35" i="10" s="1"/>
  <c r="F107" i="10"/>
  <c r="H107" i="10" s="1"/>
  <c r="D30" i="8"/>
  <c r="E30" i="8" s="1"/>
  <c r="B8" i="7"/>
  <c r="I48" i="1"/>
  <c r="I34" i="1"/>
  <c r="H34" i="1"/>
  <c r="G34" i="1"/>
  <c r="F34" i="1"/>
  <c r="E34" i="1"/>
  <c r="BP63" i="6"/>
  <c r="I33" i="1"/>
  <c r="BO63" i="6"/>
  <c r="H67" i="1" s="1"/>
  <c r="H33" i="1"/>
  <c r="BN63" i="6"/>
  <c r="G67" i="1" s="1"/>
  <c r="G33" i="1"/>
  <c r="BM63" i="6"/>
  <c r="F67" i="1" s="1"/>
  <c r="F33" i="1"/>
  <c r="BL63" i="6"/>
  <c r="E67" i="1" s="1"/>
  <c r="E33" i="1"/>
  <c r="BP52" i="2"/>
  <c r="BP53" i="2" s="1"/>
  <c r="AZ53" i="2"/>
  <c r="AZ41" i="4"/>
  <c r="AS44" i="4"/>
  <c r="AS45" i="6" s="1"/>
  <c r="AS41" i="6"/>
  <c r="AR44" i="4"/>
  <c r="AR45" i="6" s="1"/>
  <c r="AR41" i="6"/>
  <c r="AQ44" i="4"/>
  <c r="AQ45" i="6" s="1"/>
  <c r="AQ41" i="6"/>
  <c r="AP44" i="4"/>
  <c r="AP45" i="6" s="1"/>
  <c r="AP41" i="6"/>
  <c r="AO44" i="4"/>
  <c r="AO45" i="6" s="1"/>
  <c r="AO41" i="6"/>
  <c r="BO52" i="2"/>
  <c r="BO53" i="2" s="1"/>
  <c r="AN53" i="2"/>
  <c r="AN41" i="4"/>
  <c r="AM44" i="4"/>
  <c r="AM45" i="6" s="1"/>
  <c r="AM41" i="6"/>
  <c r="AL44" i="4"/>
  <c r="AL45" i="6" s="1"/>
  <c r="AL41" i="6"/>
  <c r="AK44" i="4"/>
  <c r="AK45" i="6" s="1"/>
  <c r="AK41" i="6"/>
  <c r="AJ44" i="4"/>
  <c r="AJ45" i="6" s="1"/>
  <c r="AJ41" i="6"/>
  <c r="AI44" i="4"/>
  <c r="AI45" i="6" s="1"/>
  <c r="AI41" i="6"/>
  <c r="AH44" i="4"/>
  <c r="AH45" i="6" s="1"/>
  <c r="AH41" i="6"/>
  <c r="AG44" i="4"/>
  <c r="AG45" i="6" s="1"/>
  <c r="AG41" i="6"/>
  <c r="AF44" i="4"/>
  <c r="AF45" i="6" s="1"/>
  <c r="AF41" i="6"/>
  <c r="AE44" i="4"/>
  <c r="AE45" i="6" s="1"/>
  <c r="AE41" i="6"/>
  <c r="AD44" i="4"/>
  <c r="AD45" i="6" s="1"/>
  <c r="AD41" i="6"/>
  <c r="AC44" i="4"/>
  <c r="AC45" i="6" s="1"/>
  <c r="AC41" i="6"/>
  <c r="BN52" i="2"/>
  <c r="BN53" i="2" s="1"/>
  <c r="AB53" i="2"/>
  <c r="AB41" i="4"/>
  <c r="AA44" i="4"/>
  <c r="AA45" i="6" s="1"/>
  <c r="AA41" i="6"/>
  <c r="Z44" i="4"/>
  <c r="Z45" i="6" s="1"/>
  <c r="Z41" i="6"/>
  <c r="Y44" i="4"/>
  <c r="Y45" i="6" s="1"/>
  <c r="Y41" i="6"/>
  <c r="X44" i="4"/>
  <c r="X45" i="6" s="1"/>
  <c r="X41" i="6"/>
  <c r="W44" i="4"/>
  <c r="W45" i="6" s="1"/>
  <c r="W41" i="6"/>
  <c r="V44" i="4"/>
  <c r="V45" i="6" s="1"/>
  <c r="V41" i="6"/>
  <c r="U44" i="4"/>
  <c r="U45" i="6" s="1"/>
  <c r="U41" i="6"/>
  <c r="T44" i="4"/>
  <c r="T45" i="6" s="1"/>
  <c r="T41" i="6"/>
  <c r="S44" i="4"/>
  <c r="S45" i="6" s="1"/>
  <c r="S41" i="6"/>
  <c r="R44" i="4"/>
  <c r="R45" i="6" s="1"/>
  <c r="R41" i="6"/>
  <c r="Q44" i="4"/>
  <c r="Q45" i="6" s="1"/>
  <c r="Q41" i="6"/>
  <c r="BM52" i="2"/>
  <c r="BM53" i="2" s="1"/>
  <c r="P53" i="2"/>
  <c r="P41" i="4"/>
  <c r="O44" i="4"/>
  <c r="O45" i="6" s="1"/>
  <c r="O41" i="6"/>
  <c r="N44" i="4"/>
  <c r="N45" i="6" s="1"/>
  <c r="N41" i="6"/>
  <c r="M44" i="4"/>
  <c r="M45" i="6" s="1"/>
  <c r="M41" i="6"/>
  <c r="L44" i="4"/>
  <c r="L45" i="6" s="1"/>
  <c r="L41" i="6"/>
  <c r="K44" i="4"/>
  <c r="K45" i="6" s="1"/>
  <c r="K41" i="6"/>
  <c r="J44" i="4"/>
  <c r="J45" i="6" s="1"/>
  <c r="J41" i="6"/>
  <c r="I44" i="4"/>
  <c r="I45" i="6" s="1"/>
  <c r="I41" i="6"/>
  <c r="H44" i="4"/>
  <c r="H45" i="6" s="1"/>
  <c r="H41" i="6"/>
  <c r="G44" i="4"/>
  <c r="G45" i="6" s="1"/>
  <c r="G41" i="6"/>
  <c r="F44" i="4"/>
  <c r="F45" i="6" s="1"/>
  <c r="F41" i="6"/>
  <c r="E44" i="4"/>
  <c r="E45" i="6" s="1"/>
  <c r="E41" i="6"/>
  <c r="BL52" i="2"/>
  <c r="BL53" i="2" s="1"/>
  <c r="D53" i="2"/>
  <c r="D41" i="4"/>
  <c r="E28" i="4"/>
  <c r="E27" i="12"/>
  <c r="D28" i="4"/>
  <c r="D27" i="12"/>
  <c r="D39" i="8"/>
  <c r="E39" i="8" s="1"/>
  <c r="H105" i="10"/>
  <c r="I30" i="1"/>
  <c r="BK41" i="4"/>
  <c r="BK53" i="2"/>
  <c r="BJ41" i="4"/>
  <c r="BJ53" i="2"/>
  <c r="BI41" i="4"/>
  <c r="BI53" i="2"/>
  <c r="BH41" i="4"/>
  <c r="BH53" i="2"/>
  <c r="BG41" i="4"/>
  <c r="BG53" i="2"/>
  <c r="BE41" i="4"/>
  <c r="BE53" i="2"/>
  <c r="BD41" i="4"/>
  <c r="BD53" i="2"/>
  <c r="BC41" i="4"/>
  <c r="BC53" i="2"/>
  <c r="BB41" i="4"/>
  <c r="BB53" i="2"/>
  <c r="BA41" i="4"/>
  <c r="BA53" i="2"/>
  <c r="AY41" i="4"/>
  <c r="AY53" i="2"/>
  <c r="AX41" i="4"/>
  <c r="AX53" i="2"/>
  <c r="AW41" i="4"/>
  <c r="AW53" i="2"/>
  <c r="AV41" i="4"/>
  <c r="AV53" i="2"/>
  <c r="AU41" i="4"/>
  <c r="AU53" i="2"/>
  <c r="AT41" i="4"/>
  <c r="AT53" i="2"/>
  <c r="BF41" i="4"/>
  <c r="BF53" i="2"/>
  <c r="D52" i="12"/>
  <c r="E58" i="12"/>
  <c r="F8" i="12"/>
  <c r="E10" i="12"/>
  <c r="E11" i="12" s="1"/>
  <c r="H12" i="12" l="1"/>
  <c r="G22" i="12"/>
  <c r="F24" i="12"/>
  <c r="F49" i="12"/>
  <c r="F52" i="12" s="1"/>
  <c r="F58" i="12" s="1"/>
  <c r="I2" i="12"/>
  <c r="B20" i="9"/>
  <c r="I67" i="1"/>
  <c r="BP41" i="4"/>
  <c r="AZ44" i="4"/>
  <c r="AZ41" i="6"/>
  <c r="AS64" i="6"/>
  <c r="AU24" i="5"/>
  <c r="AS60" i="6"/>
  <c r="AS21" i="5"/>
  <c r="AR64" i="6"/>
  <c r="AT24" i="5"/>
  <c r="AR60" i="6"/>
  <c r="AR21" i="5"/>
  <c r="AQ64" i="6"/>
  <c r="AS24" i="5"/>
  <c r="AQ60" i="6"/>
  <c r="AQ21" i="5"/>
  <c r="AP64" i="6"/>
  <c r="AR24" i="5"/>
  <c r="AP60" i="6"/>
  <c r="AP21" i="5"/>
  <c r="AO64" i="6"/>
  <c r="AQ24" i="5"/>
  <c r="AO60" i="6"/>
  <c r="AO21" i="5"/>
  <c r="BO41" i="4"/>
  <c r="AN44" i="4"/>
  <c r="AN41" i="6"/>
  <c r="AM64" i="6"/>
  <c r="AO24" i="5"/>
  <c r="AM60" i="6"/>
  <c r="AM21" i="5"/>
  <c r="AL64" i="6"/>
  <c r="AN24" i="5"/>
  <c r="AL60" i="6"/>
  <c r="AL21" i="5"/>
  <c r="AK64" i="6"/>
  <c r="AM24" i="5"/>
  <c r="AK60" i="6"/>
  <c r="AK21" i="5"/>
  <c r="AJ64" i="6"/>
  <c r="AL24" i="5"/>
  <c r="AJ60" i="6"/>
  <c r="AJ21" i="5"/>
  <c r="AI64" i="6"/>
  <c r="AK24" i="5"/>
  <c r="AI60" i="6"/>
  <c r="AI21" i="5"/>
  <c r="AH64" i="6"/>
  <c r="AJ24" i="5"/>
  <c r="AH60" i="6"/>
  <c r="AH21" i="5"/>
  <c r="AG64" i="6"/>
  <c r="AI24" i="5"/>
  <c r="AG60" i="6"/>
  <c r="AG21" i="5"/>
  <c r="AF64" i="6"/>
  <c r="AH24" i="5"/>
  <c r="AF60" i="6"/>
  <c r="AF21" i="5"/>
  <c r="AE64" i="6"/>
  <c r="AG24" i="5"/>
  <c r="AE60" i="6"/>
  <c r="AE21" i="5"/>
  <c r="AD64" i="6"/>
  <c r="AF24" i="5"/>
  <c r="AD60" i="6"/>
  <c r="AD21" i="5"/>
  <c r="AC64" i="6"/>
  <c r="AE24" i="5"/>
  <c r="AC60" i="6"/>
  <c r="AC21" i="5"/>
  <c r="BN41" i="4"/>
  <c r="AB44" i="4"/>
  <c r="AB41" i="6"/>
  <c r="AA64" i="6"/>
  <c r="AC24" i="5"/>
  <c r="AA60" i="6"/>
  <c r="AA21" i="5"/>
  <c r="Z64" i="6"/>
  <c r="AB24" i="5"/>
  <c r="Z60" i="6"/>
  <c r="Z21" i="5"/>
  <c r="Y64" i="6"/>
  <c r="AA24" i="5"/>
  <c r="Y60" i="6"/>
  <c r="Y21" i="5"/>
  <c r="X64" i="6"/>
  <c r="Z24" i="5"/>
  <c r="X60" i="6"/>
  <c r="X21" i="5"/>
  <c r="W64" i="6"/>
  <c r="Y24" i="5"/>
  <c r="W60" i="6"/>
  <c r="W21" i="5"/>
  <c r="V64" i="6"/>
  <c r="X24" i="5"/>
  <c r="V60" i="6"/>
  <c r="V21" i="5"/>
  <c r="U64" i="6"/>
  <c r="W24" i="5"/>
  <c r="U60" i="6"/>
  <c r="U21" i="5"/>
  <c r="T64" i="6"/>
  <c r="V24" i="5"/>
  <c r="T60" i="6"/>
  <c r="T21" i="5"/>
  <c r="S64" i="6"/>
  <c r="U24" i="5"/>
  <c r="S60" i="6"/>
  <c r="S21" i="5"/>
  <c r="R64" i="6"/>
  <c r="T24" i="5"/>
  <c r="R60" i="6"/>
  <c r="R21" i="5"/>
  <c r="Q64" i="6"/>
  <c r="S24" i="5"/>
  <c r="Q60" i="6"/>
  <c r="Q21" i="5"/>
  <c r="BM41" i="4"/>
  <c r="P44" i="4"/>
  <c r="P41" i="6"/>
  <c r="O64" i="6"/>
  <c r="Q24" i="5"/>
  <c r="O60" i="6"/>
  <c r="O21" i="5"/>
  <c r="N64" i="6"/>
  <c r="P24" i="5"/>
  <c r="N60" i="6"/>
  <c r="N21" i="5"/>
  <c r="M64" i="6"/>
  <c r="O24" i="5"/>
  <c r="M60" i="6"/>
  <c r="M21" i="5"/>
  <c r="L64" i="6"/>
  <c r="N24" i="5"/>
  <c r="L60" i="6"/>
  <c r="L21" i="5"/>
  <c r="K64" i="6"/>
  <c r="M24" i="5"/>
  <c r="K60" i="6"/>
  <c r="K21" i="5"/>
  <c r="J64" i="6"/>
  <c r="L24" i="5"/>
  <c r="J60" i="6"/>
  <c r="J21" i="5"/>
  <c r="I64" i="6"/>
  <c r="K24" i="5"/>
  <c r="I60" i="6"/>
  <c r="I21" i="5"/>
  <c r="H64" i="6"/>
  <c r="J24" i="5"/>
  <c r="H60" i="6"/>
  <c r="H21" i="5"/>
  <c r="G64" i="6"/>
  <c r="I24" i="5"/>
  <c r="G60" i="6"/>
  <c r="G21" i="5"/>
  <c r="F64" i="6"/>
  <c r="H24" i="5"/>
  <c r="F60" i="6"/>
  <c r="F21" i="5"/>
  <c r="E64" i="6"/>
  <c r="G24" i="5"/>
  <c r="E60" i="6"/>
  <c r="E21" i="5"/>
  <c r="E27" i="5" s="1"/>
  <c r="BL41" i="4"/>
  <c r="D44" i="4"/>
  <c r="D41" i="6"/>
  <c r="E29" i="4"/>
  <c r="E31" i="4"/>
  <c r="E23" i="6" s="1"/>
  <c r="E61" i="6" s="1"/>
  <c r="E39" i="4"/>
  <c r="E20" i="6"/>
  <c r="D29" i="4"/>
  <c r="D39" i="4"/>
  <c r="D31" i="4"/>
  <c r="D20" i="6"/>
  <c r="BK44" i="4"/>
  <c r="BK45" i="6" s="1"/>
  <c r="BK64" i="6" s="1"/>
  <c r="BK41" i="6"/>
  <c r="BJ44" i="4"/>
  <c r="BJ45" i="6" s="1"/>
  <c r="BJ64" i="6" s="1"/>
  <c r="BJ41" i="6"/>
  <c r="BI44" i="4"/>
  <c r="BI45" i="6" s="1"/>
  <c r="BI41" i="6"/>
  <c r="BH44" i="4"/>
  <c r="BH45" i="6" s="1"/>
  <c r="BH41" i="6"/>
  <c r="BG44" i="4"/>
  <c r="BG45" i="6" s="1"/>
  <c r="BG41" i="6"/>
  <c r="BE44" i="4"/>
  <c r="BE45" i="6" s="1"/>
  <c r="BE41" i="6"/>
  <c r="BD44" i="4"/>
  <c r="BD45" i="6" s="1"/>
  <c r="BD41" i="6"/>
  <c r="BC44" i="4"/>
  <c r="BC45" i="6" s="1"/>
  <c r="BC41" i="6"/>
  <c r="BB44" i="4"/>
  <c r="BB45" i="6" s="1"/>
  <c r="BB41" i="6"/>
  <c r="BA44" i="4"/>
  <c r="BA45" i="6" s="1"/>
  <c r="BA41" i="6"/>
  <c r="AY44" i="4"/>
  <c r="AY45" i="6" s="1"/>
  <c r="AY41" i="6"/>
  <c r="AX44" i="4"/>
  <c r="AX45" i="6" s="1"/>
  <c r="AX41" i="6"/>
  <c r="AW44" i="4"/>
  <c r="AW45" i="6" s="1"/>
  <c r="AW41" i="6"/>
  <c r="AV44" i="4"/>
  <c r="AV45" i="6" s="1"/>
  <c r="AV41" i="6"/>
  <c r="AU44" i="4"/>
  <c r="AU45" i="6" s="1"/>
  <c r="AU41" i="6"/>
  <c r="AT44" i="4"/>
  <c r="AT45" i="6" s="1"/>
  <c r="AT41" i="6"/>
  <c r="BF44" i="4"/>
  <c r="BF45" i="6" s="1"/>
  <c r="BF41" i="6"/>
  <c r="D58" i="12"/>
  <c r="F10" i="12"/>
  <c r="F11" i="12" s="1"/>
  <c r="G8" i="12"/>
  <c r="I12" i="12" l="1"/>
  <c r="H22" i="12"/>
  <c r="G24" i="12"/>
  <c r="G49" i="12"/>
  <c r="G52" i="12" s="1"/>
  <c r="G58" i="12" s="1"/>
  <c r="F27" i="12"/>
  <c r="F28" i="4"/>
  <c r="J2" i="12"/>
  <c r="BP44" i="4"/>
  <c r="AZ45" i="6"/>
  <c r="AZ60" i="6"/>
  <c r="AZ21" i="5"/>
  <c r="BP41" i="6"/>
  <c r="BO44" i="4"/>
  <c r="AN45" i="6"/>
  <c r="AN60" i="6"/>
  <c r="BO41" i="6"/>
  <c r="AN21" i="5"/>
  <c r="BO21" i="5" s="1"/>
  <c r="BN44" i="4"/>
  <c r="AB45" i="6"/>
  <c r="AB60" i="6"/>
  <c r="BN41" i="6"/>
  <c r="AB21" i="5"/>
  <c r="BN21" i="5" s="1"/>
  <c r="BM44" i="4"/>
  <c r="P45" i="6"/>
  <c r="P60" i="6"/>
  <c r="P21" i="5"/>
  <c r="BM21" i="5" s="1"/>
  <c r="BM41" i="6"/>
  <c r="BL44" i="4"/>
  <c r="D45" i="6"/>
  <c r="D60" i="6"/>
  <c r="BL41" i="6"/>
  <c r="D21" i="5"/>
  <c r="E34" i="4"/>
  <c r="E21" i="6"/>
  <c r="E40" i="4"/>
  <c r="E39" i="6"/>
  <c r="E28" i="6"/>
  <c r="E32" i="6"/>
  <c r="E58" i="6"/>
  <c r="D34" i="4"/>
  <c r="D21" i="6"/>
  <c r="D40" i="4"/>
  <c r="D39" i="6"/>
  <c r="D23" i="6"/>
  <c r="D32" i="6"/>
  <c r="D58" i="6"/>
  <c r="BK60" i="6"/>
  <c r="BK21" i="5"/>
  <c r="BJ60" i="6"/>
  <c r="BJ21" i="5"/>
  <c r="BI64" i="6"/>
  <c r="BK24" i="5"/>
  <c r="BI60" i="6"/>
  <c r="BI21" i="5"/>
  <c r="BH64" i="6"/>
  <c r="BJ24" i="5"/>
  <c r="BH60" i="6"/>
  <c r="BH21" i="5"/>
  <c r="BG64" i="6"/>
  <c r="BI24" i="5"/>
  <c r="BG60" i="6"/>
  <c r="BG21" i="5"/>
  <c r="BE64" i="6"/>
  <c r="BG24" i="5"/>
  <c r="BE60" i="6"/>
  <c r="BE21" i="5"/>
  <c r="BD64" i="6"/>
  <c r="BF24" i="5"/>
  <c r="BD60" i="6"/>
  <c r="BD21" i="5"/>
  <c r="BC64" i="6"/>
  <c r="BE24" i="5"/>
  <c r="BC60" i="6"/>
  <c r="BC21" i="5"/>
  <c r="BB64" i="6"/>
  <c r="BD24" i="5"/>
  <c r="BB60" i="6"/>
  <c r="BB21" i="5"/>
  <c r="BA64" i="6"/>
  <c r="BC24" i="5"/>
  <c r="BA60" i="6"/>
  <c r="BA21" i="5"/>
  <c r="AY64" i="6"/>
  <c r="BA24" i="5"/>
  <c r="AY60" i="6"/>
  <c r="AY21" i="5"/>
  <c r="AX64" i="6"/>
  <c r="AZ24" i="5"/>
  <c r="AX60" i="6"/>
  <c r="AX21" i="5"/>
  <c r="AW64" i="6"/>
  <c r="AY24" i="5"/>
  <c r="AW60" i="6"/>
  <c r="AW21" i="5"/>
  <c r="AV64" i="6"/>
  <c r="AX24" i="5"/>
  <c r="AV60" i="6"/>
  <c r="AV21" i="5"/>
  <c r="AU64" i="6"/>
  <c r="AW24" i="5"/>
  <c r="AU60" i="6"/>
  <c r="AU21" i="5"/>
  <c r="AT64" i="6"/>
  <c r="AV24" i="5"/>
  <c r="AT60" i="6"/>
  <c r="AT21" i="5"/>
  <c r="BF64" i="6"/>
  <c r="BH24" i="5"/>
  <c r="BF60" i="6"/>
  <c r="BF21" i="5"/>
  <c r="H8" i="12"/>
  <c r="G10" i="12"/>
  <c r="G11" i="12" s="1"/>
  <c r="J12" i="12" l="1"/>
  <c r="I22" i="12"/>
  <c r="H24" i="12"/>
  <c r="H49" i="12"/>
  <c r="H52" i="12" s="1"/>
  <c r="H58" i="12" s="1"/>
  <c r="G27" i="12"/>
  <c r="G28" i="4"/>
  <c r="F29" i="4"/>
  <c r="F39" i="4"/>
  <c r="F31" i="4"/>
  <c r="F20" i="6"/>
  <c r="K2" i="12"/>
  <c r="AZ64" i="6"/>
  <c r="BP45" i="6"/>
  <c r="BB24" i="5"/>
  <c r="BP24" i="5" s="1"/>
  <c r="BP60" i="6"/>
  <c r="B7" i="7"/>
  <c r="I47" i="1"/>
  <c r="I79" i="1"/>
  <c r="AN64" i="6"/>
  <c r="BO45" i="6"/>
  <c r="AP24" i="5"/>
  <c r="BO24" i="5" s="1"/>
  <c r="BO60" i="6"/>
  <c r="H64" i="1" s="1"/>
  <c r="H47" i="1"/>
  <c r="H79" i="1"/>
  <c r="AB64" i="6"/>
  <c r="BN45" i="6"/>
  <c r="AD24" i="5"/>
  <c r="BN24" i="5" s="1"/>
  <c r="BN60" i="6"/>
  <c r="G64" i="1" s="1"/>
  <c r="G47" i="1"/>
  <c r="G79" i="1"/>
  <c r="P64" i="6"/>
  <c r="BM45" i="6"/>
  <c r="R24" i="5"/>
  <c r="BM24" i="5" s="1"/>
  <c r="BM60" i="6"/>
  <c r="F64" i="1" s="1"/>
  <c r="F47" i="1"/>
  <c r="F79" i="1"/>
  <c r="D64" i="6"/>
  <c r="BL45" i="6"/>
  <c r="F24" i="5"/>
  <c r="BL24" i="5" s="1"/>
  <c r="BL60" i="6"/>
  <c r="E64" i="1" s="1"/>
  <c r="E47" i="1"/>
  <c r="E79" i="1"/>
  <c r="BL21" i="5"/>
  <c r="D27" i="5"/>
  <c r="E33" i="6"/>
  <c r="E45" i="4"/>
  <c r="E40" i="6"/>
  <c r="E15" i="5"/>
  <c r="E47" i="6"/>
  <c r="E51" i="6"/>
  <c r="E30" i="6"/>
  <c r="E29" i="6"/>
  <c r="E31" i="6"/>
  <c r="E66" i="6"/>
  <c r="E67" i="6" s="1"/>
  <c r="E70" i="6"/>
  <c r="E34" i="6"/>
  <c r="D33" i="6"/>
  <c r="D59" i="6"/>
  <c r="D45" i="4"/>
  <c r="D40" i="6"/>
  <c r="D51" i="6"/>
  <c r="D47" i="6"/>
  <c r="D15" i="5"/>
  <c r="D61" i="6"/>
  <c r="D70" i="6"/>
  <c r="I8" i="12"/>
  <c r="H10" i="12"/>
  <c r="H11" i="12" s="1"/>
  <c r="BP21" i="5"/>
  <c r="D28" i="6"/>
  <c r="K12" i="12" l="1"/>
  <c r="J22" i="12"/>
  <c r="I24" i="12"/>
  <c r="I49" i="12"/>
  <c r="I52" i="12" s="1"/>
  <c r="H27" i="12"/>
  <c r="H28" i="4"/>
  <c r="G29" i="4"/>
  <c r="G31" i="4"/>
  <c r="G23" i="6" s="1"/>
  <c r="G61" i="6" s="1"/>
  <c r="G39" i="4"/>
  <c r="G20" i="6"/>
  <c r="F34" i="4"/>
  <c r="F21" i="6"/>
  <c r="F40" i="4"/>
  <c r="F39" i="6"/>
  <c r="F23" i="6"/>
  <c r="F28" i="6"/>
  <c r="F32" i="6"/>
  <c r="F58" i="6"/>
  <c r="L2" i="12"/>
  <c r="BP64" i="6"/>
  <c r="I51" i="1"/>
  <c r="I64" i="1"/>
  <c r="B18" i="9"/>
  <c r="D14" i="7"/>
  <c r="G14" i="7" s="1"/>
  <c r="F14" i="7"/>
  <c r="F21" i="7"/>
  <c r="D21" i="7"/>
  <c r="G21" i="7" s="1"/>
  <c r="BO64" i="6"/>
  <c r="H68" i="1" s="1"/>
  <c r="H51" i="1"/>
  <c r="BN64" i="6"/>
  <c r="G68" i="1" s="1"/>
  <c r="G51" i="1"/>
  <c r="BM64" i="6"/>
  <c r="F68" i="1" s="1"/>
  <c r="F51" i="1"/>
  <c r="BL64" i="6"/>
  <c r="E68" i="1" s="1"/>
  <c r="E51" i="1"/>
  <c r="G20" i="5"/>
  <c r="E52" i="6"/>
  <c r="E16" i="5"/>
  <c r="E17" i="5"/>
  <c r="E29" i="5" s="1"/>
  <c r="E48" i="6"/>
  <c r="E49" i="6"/>
  <c r="E68" i="6" s="1"/>
  <c r="D52" i="6"/>
  <c r="F20" i="5"/>
  <c r="D49" i="6"/>
  <c r="D48" i="6"/>
  <c r="D50" i="6"/>
  <c r="D16" i="5"/>
  <c r="J8" i="12"/>
  <c r="I10" i="12"/>
  <c r="I11" i="12" s="1"/>
  <c r="D66" i="6"/>
  <c r="D67" i="6" s="1"/>
  <c r="D30" i="6"/>
  <c r="D31" i="6"/>
  <c r="D29" i="6"/>
  <c r="E59" i="6"/>
  <c r="D34" i="6"/>
  <c r="L12" i="12" l="1"/>
  <c r="K22" i="12"/>
  <c r="J24" i="12"/>
  <c r="J49" i="12"/>
  <c r="J52" i="12" s="1"/>
  <c r="J58" i="12" s="1"/>
  <c r="I27" i="12"/>
  <c r="I28" i="4"/>
  <c r="I58" i="12"/>
  <c r="H29" i="4"/>
  <c r="H31" i="4"/>
  <c r="H23" i="6" s="1"/>
  <c r="H61" i="6" s="1"/>
  <c r="H39" i="4"/>
  <c r="H20" i="6"/>
  <c r="G34" i="4"/>
  <c r="G21" i="6"/>
  <c r="G40" i="4"/>
  <c r="G39" i="6"/>
  <c r="G28" i="6"/>
  <c r="G32" i="6"/>
  <c r="G58" i="6"/>
  <c r="F33" i="6"/>
  <c r="F45" i="4"/>
  <c r="F40" i="6"/>
  <c r="F15" i="5"/>
  <c r="F51" i="6"/>
  <c r="F47" i="6"/>
  <c r="F61" i="6"/>
  <c r="F29" i="6"/>
  <c r="F30" i="6"/>
  <c r="F66" i="6"/>
  <c r="F67" i="6" s="1"/>
  <c r="F34" i="6"/>
  <c r="F70" i="6"/>
  <c r="BS20" i="12"/>
  <c r="M2" i="12"/>
  <c r="N2" i="12" s="1"/>
  <c r="O2" i="12" s="1"/>
  <c r="I68" i="1"/>
  <c r="B21" i="9"/>
  <c r="E53" i="6"/>
  <c r="E71" i="6"/>
  <c r="D53" i="6"/>
  <c r="D54" i="6" s="1"/>
  <c r="D71" i="6"/>
  <c r="F27" i="5"/>
  <c r="D55" i="6"/>
  <c r="K8" i="12"/>
  <c r="J10" i="12"/>
  <c r="J11" i="12" s="1"/>
  <c r="D68" i="6"/>
  <c r="D69" i="6"/>
  <c r="D35" i="6"/>
  <c r="E50" i="6"/>
  <c r="E35" i="6"/>
  <c r="D17" i="5"/>
  <c r="M12" i="12" l="1"/>
  <c r="L22" i="12"/>
  <c r="K24" i="12"/>
  <c r="K49" i="12"/>
  <c r="K52" i="12" s="1"/>
  <c r="J27" i="12"/>
  <c r="J28" i="4"/>
  <c r="I29" i="4"/>
  <c r="I31" i="4"/>
  <c r="I23" i="6" s="1"/>
  <c r="I39" i="4"/>
  <c r="I20" i="6"/>
  <c r="H34" i="4"/>
  <c r="H21" i="6"/>
  <c r="H40" i="4"/>
  <c r="H39" i="6"/>
  <c r="H32" i="6"/>
  <c r="H58" i="6"/>
  <c r="G33" i="6"/>
  <c r="G45" i="4"/>
  <c r="G40" i="6"/>
  <c r="G15" i="5"/>
  <c r="G47" i="6"/>
  <c r="G51" i="6"/>
  <c r="G29" i="6"/>
  <c r="G30" i="6"/>
  <c r="G31" i="6"/>
  <c r="F52" i="6"/>
  <c r="H20" i="5"/>
  <c r="F16" i="5"/>
  <c r="F17" i="5"/>
  <c r="F29" i="5" s="1"/>
  <c r="F48" i="6"/>
  <c r="F49" i="6"/>
  <c r="F50" i="6"/>
  <c r="F35" i="6"/>
  <c r="BO48" i="12"/>
  <c r="BS48" i="12"/>
  <c r="BQ48" i="12"/>
  <c r="BQ20" i="12"/>
  <c r="BU20" i="12"/>
  <c r="BU48" i="12"/>
  <c r="BO20" i="12"/>
  <c r="BQ26" i="12"/>
  <c r="BQ19" i="12"/>
  <c r="BM48" i="12"/>
  <c r="BW48" i="12" s="1"/>
  <c r="BU26" i="12"/>
  <c r="BO26" i="12"/>
  <c r="BS26" i="12"/>
  <c r="BS19" i="12"/>
  <c r="BM19" i="12"/>
  <c r="BM20" i="12"/>
  <c r="BW20" i="12" s="1"/>
  <c r="BU19" i="12"/>
  <c r="BO19" i="12"/>
  <c r="BM26" i="12"/>
  <c r="BW26" i="12" s="1"/>
  <c r="E72" i="6"/>
  <c r="E54" i="6"/>
  <c r="L8" i="12"/>
  <c r="K10" i="12"/>
  <c r="K11" i="12" s="1"/>
  <c r="E69" i="6"/>
  <c r="E36" i="6"/>
  <c r="D29" i="5"/>
  <c r="F31" i="6"/>
  <c r="F59" i="6"/>
  <c r="D36" i="6"/>
  <c r="D74" i="6" s="1"/>
  <c r="D72" i="6"/>
  <c r="D73" i="6"/>
  <c r="N12" i="12" l="1"/>
  <c r="M22" i="12"/>
  <c r="L24" i="12"/>
  <c r="L49" i="12"/>
  <c r="L52" i="12" s="1"/>
  <c r="L58" i="12" s="1"/>
  <c r="K27" i="12"/>
  <c r="K28" i="4"/>
  <c r="K58" i="12"/>
  <c r="J29" i="4"/>
  <c r="J31" i="4"/>
  <c r="J23" i="6" s="1"/>
  <c r="J61" i="6" s="1"/>
  <c r="J39" i="4"/>
  <c r="J20" i="6"/>
  <c r="I34" i="4"/>
  <c r="I21" i="6"/>
  <c r="I61" i="6"/>
  <c r="I40" i="4"/>
  <c r="I39" i="6"/>
  <c r="I28" i="6"/>
  <c r="I32" i="6"/>
  <c r="I58" i="6"/>
  <c r="H59" i="6"/>
  <c r="H33" i="6"/>
  <c r="H45" i="4"/>
  <c r="H40" i="6"/>
  <c r="H51" i="6"/>
  <c r="H47" i="6"/>
  <c r="H15" i="5"/>
  <c r="H70" i="6"/>
  <c r="G52" i="6"/>
  <c r="I20" i="5"/>
  <c r="I27" i="5" s="1"/>
  <c r="G16" i="5"/>
  <c r="G48" i="6"/>
  <c r="G49" i="6"/>
  <c r="G50" i="6"/>
  <c r="F71" i="6"/>
  <c r="F53" i="6"/>
  <c r="H27" i="5"/>
  <c r="F68" i="6"/>
  <c r="G25" i="5"/>
  <c r="M8" i="12"/>
  <c r="L10" i="12"/>
  <c r="L11" i="12" s="1"/>
  <c r="D30" i="5"/>
  <c r="F69" i="6"/>
  <c r="F36" i="6"/>
  <c r="H28" i="6"/>
  <c r="G59" i="6"/>
  <c r="G66" i="6"/>
  <c r="G67" i="6" s="1"/>
  <c r="G70" i="6"/>
  <c r="G34" i="6"/>
  <c r="BW19" i="12"/>
  <c r="E55" i="6"/>
  <c r="E74" i="6" s="1"/>
  <c r="E73" i="6"/>
  <c r="O12" i="12" l="1"/>
  <c r="N22" i="12"/>
  <c r="M24" i="12"/>
  <c r="M49" i="12"/>
  <c r="M52" i="12" s="1"/>
  <c r="L27" i="12"/>
  <c r="L28" i="4"/>
  <c r="K29" i="4"/>
  <c r="K31" i="4"/>
  <c r="K23" i="6" s="1"/>
  <c r="K39" i="4"/>
  <c r="K20" i="6"/>
  <c r="J34" i="4"/>
  <c r="J21" i="6"/>
  <c r="J40" i="4"/>
  <c r="J39" i="6"/>
  <c r="J28" i="6"/>
  <c r="J58" i="6"/>
  <c r="J32" i="6"/>
  <c r="I59" i="6"/>
  <c r="I33" i="6"/>
  <c r="I45" i="4"/>
  <c r="I40" i="6"/>
  <c r="I47" i="6"/>
  <c r="I51" i="6"/>
  <c r="I15" i="5"/>
  <c r="I29" i="6"/>
  <c r="I30" i="6"/>
  <c r="I31" i="6"/>
  <c r="I66" i="6"/>
  <c r="I67" i="6" s="1"/>
  <c r="I70" i="6"/>
  <c r="I34" i="6"/>
  <c r="J20" i="5"/>
  <c r="H52" i="6"/>
  <c r="H49" i="6"/>
  <c r="H48" i="6"/>
  <c r="H50" i="6"/>
  <c r="H16" i="5"/>
  <c r="G53" i="6"/>
  <c r="G54" i="6" s="1"/>
  <c r="G55" i="6" s="1"/>
  <c r="G71" i="6"/>
  <c r="G68" i="6"/>
  <c r="F72" i="6"/>
  <c r="F54" i="6"/>
  <c r="G27" i="5"/>
  <c r="N8" i="12"/>
  <c r="M10" i="12"/>
  <c r="M11" i="12" s="1"/>
  <c r="E30" i="5"/>
  <c r="B13" i="9"/>
  <c r="H66" i="6"/>
  <c r="H67" i="6" s="1"/>
  <c r="H30" i="6"/>
  <c r="H29" i="6"/>
  <c r="G72" i="6"/>
  <c r="G35" i="6"/>
  <c r="H34" i="6"/>
  <c r="G17" i="5"/>
  <c r="G69" i="6"/>
  <c r="BM12" i="12" l="1"/>
  <c r="P12" i="12"/>
  <c r="O22" i="12"/>
  <c r="N24" i="12"/>
  <c r="N49" i="12"/>
  <c r="N52" i="12" s="1"/>
  <c r="N58" i="12" s="1"/>
  <c r="M27" i="12"/>
  <c r="M28" i="4"/>
  <c r="M58" i="12"/>
  <c r="L29" i="4"/>
  <c r="L31" i="4"/>
  <c r="L23" i="6" s="1"/>
  <c r="L61" i="6" s="1"/>
  <c r="L39" i="4"/>
  <c r="L20" i="6"/>
  <c r="K34" i="4"/>
  <c r="K21" i="6"/>
  <c r="K61" i="6"/>
  <c r="K40" i="4"/>
  <c r="K39" i="6"/>
  <c r="K28" i="6"/>
  <c r="K32" i="6"/>
  <c r="K58" i="6"/>
  <c r="J33" i="6"/>
  <c r="J45" i="4"/>
  <c r="J40" i="6"/>
  <c r="J47" i="6"/>
  <c r="J51" i="6"/>
  <c r="J15" i="5"/>
  <c r="J29" i="6"/>
  <c r="J30" i="6"/>
  <c r="J31" i="6"/>
  <c r="J34" i="6"/>
  <c r="I52" i="6"/>
  <c r="K20" i="5"/>
  <c r="I48" i="6"/>
  <c r="I49" i="6"/>
  <c r="I16" i="5"/>
  <c r="I17" i="5"/>
  <c r="I29" i="5" s="1"/>
  <c r="I35" i="6"/>
  <c r="H53" i="6"/>
  <c r="H54" i="6" s="1"/>
  <c r="H55" i="6" s="1"/>
  <c r="H71" i="6"/>
  <c r="F55" i="6"/>
  <c r="F74" i="6" s="1"/>
  <c r="F73" i="6"/>
  <c r="O8" i="12"/>
  <c r="N10" i="12"/>
  <c r="N11" i="12" s="1"/>
  <c r="F30" i="5"/>
  <c r="C13" i="9"/>
  <c r="H68" i="6"/>
  <c r="G36" i="6"/>
  <c r="G74" i="6" s="1"/>
  <c r="G73" i="6"/>
  <c r="H35" i="6"/>
  <c r="G29" i="5"/>
  <c r="H17" i="5"/>
  <c r="H29" i="5" s="1"/>
  <c r="H31" i="6"/>
  <c r="Q12" i="12" l="1"/>
  <c r="P22" i="12"/>
  <c r="BM22" i="12"/>
  <c r="BW22" i="12" s="1"/>
  <c r="O24" i="12"/>
  <c r="O49" i="12"/>
  <c r="O52" i="12" s="1"/>
  <c r="N27" i="12"/>
  <c r="N28" i="4"/>
  <c r="M29" i="4"/>
  <c r="M31" i="4"/>
  <c r="M23" i="6" s="1"/>
  <c r="M39" i="4"/>
  <c r="M20" i="6"/>
  <c r="L34" i="4"/>
  <c r="L21" i="6"/>
  <c r="L40" i="4"/>
  <c r="L39" i="6"/>
  <c r="L28" i="6"/>
  <c r="L32" i="6"/>
  <c r="L58" i="6"/>
  <c r="K33" i="6"/>
  <c r="K45" i="4"/>
  <c r="K40" i="6"/>
  <c r="K51" i="6"/>
  <c r="K47" i="6"/>
  <c r="K15" i="5"/>
  <c r="K29" i="6"/>
  <c r="K66" i="6"/>
  <c r="K67" i="6" s="1"/>
  <c r="K30" i="6"/>
  <c r="K31" i="6"/>
  <c r="K34" i="6"/>
  <c r="K70" i="6"/>
  <c r="L20" i="5"/>
  <c r="L27" i="5" s="1"/>
  <c r="J52" i="6"/>
  <c r="J48" i="6"/>
  <c r="J49" i="6"/>
  <c r="J50" i="6"/>
  <c r="J16" i="5"/>
  <c r="J17" i="5"/>
  <c r="J69" i="6"/>
  <c r="J35" i="6"/>
  <c r="I53" i="6"/>
  <c r="I71" i="6"/>
  <c r="K27" i="5"/>
  <c r="I68" i="6"/>
  <c r="P8" i="12"/>
  <c r="O10" i="12"/>
  <c r="O11" i="12" s="1"/>
  <c r="G30" i="5"/>
  <c r="D13" i="9"/>
  <c r="H69" i="6"/>
  <c r="H36" i="6"/>
  <c r="H74" i="6" s="1"/>
  <c r="J59" i="6"/>
  <c r="J66" i="6"/>
  <c r="J67" i="6" s="1"/>
  <c r="J70" i="6"/>
  <c r="I50" i="6"/>
  <c r="I36" i="6"/>
  <c r="H73" i="6"/>
  <c r="H72" i="6"/>
  <c r="J25" i="5"/>
  <c r="BM8" i="12"/>
  <c r="R12" i="12" l="1"/>
  <c r="Q22" i="12"/>
  <c r="P24" i="12"/>
  <c r="P49" i="12"/>
  <c r="P52" i="12" s="1"/>
  <c r="O28" i="4"/>
  <c r="O27" i="12"/>
  <c r="BM52" i="12"/>
  <c r="O58" i="12"/>
  <c r="BM58" i="12" s="1"/>
  <c r="BL28" i="4"/>
  <c r="N29" i="4"/>
  <c r="N31" i="4"/>
  <c r="N23" i="6" s="1"/>
  <c r="N61" i="6" s="1"/>
  <c r="N39" i="4"/>
  <c r="N20" i="6"/>
  <c r="M34" i="4"/>
  <c r="M21" i="6"/>
  <c r="M61" i="6"/>
  <c r="M40" i="4"/>
  <c r="M39" i="6"/>
  <c r="M28" i="6"/>
  <c r="M58" i="6"/>
  <c r="M32" i="6"/>
  <c r="L33" i="6"/>
  <c r="L45" i="4"/>
  <c r="L40" i="6"/>
  <c r="L51" i="6"/>
  <c r="L15" i="5"/>
  <c r="L30" i="6"/>
  <c r="L29" i="6"/>
  <c r="L34" i="6"/>
  <c r="L70" i="6"/>
  <c r="M20" i="5"/>
  <c r="K52" i="6"/>
  <c r="K48" i="6"/>
  <c r="K49" i="6"/>
  <c r="K16" i="5"/>
  <c r="K17" i="5"/>
  <c r="K29" i="5" s="1"/>
  <c r="K35" i="6"/>
  <c r="J53" i="6"/>
  <c r="J71" i="6"/>
  <c r="J68" i="6"/>
  <c r="I72" i="6"/>
  <c r="I54" i="6"/>
  <c r="I73" i="6" s="1"/>
  <c r="Q8" i="12"/>
  <c r="P10" i="12"/>
  <c r="P11" i="12" s="1"/>
  <c r="H30" i="5"/>
  <c r="E13" i="9"/>
  <c r="I69" i="6"/>
  <c r="I55" i="6"/>
  <c r="I74" i="6" s="1"/>
  <c r="J27" i="5"/>
  <c r="K59" i="6"/>
  <c r="J36" i="6"/>
  <c r="BM24" i="12"/>
  <c r="S12" i="12" l="1"/>
  <c r="R22" i="12"/>
  <c r="Q24" i="12"/>
  <c r="Q49" i="12"/>
  <c r="Q52" i="12" s="1"/>
  <c r="Q58" i="12" s="1"/>
  <c r="P28" i="4"/>
  <c r="P27" i="12"/>
  <c r="P58" i="12"/>
  <c r="O29" i="4"/>
  <c r="O31" i="4"/>
  <c r="O39" i="4"/>
  <c r="O20" i="6"/>
  <c r="N34" i="4"/>
  <c r="N21" i="6"/>
  <c r="N40" i="4"/>
  <c r="N39" i="6"/>
  <c r="N28" i="6"/>
  <c r="N32" i="6"/>
  <c r="N58" i="6"/>
  <c r="M33" i="6"/>
  <c r="M45" i="4"/>
  <c r="M40" i="6"/>
  <c r="M47" i="6"/>
  <c r="M51" i="6"/>
  <c r="M15" i="5"/>
  <c r="M30" i="6"/>
  <c r="M29" i="6"/>
  <c r="N20" i="5"/>
  <c r="N27" i="5" s="1"/>
  <c r="L52" i="6"/>
  <c r="L16" i="5"/>
  <c r="L17" i="5"/>
  <c r="L29" i="5" s="1"/>
  <c r="L35" i="6"/>
  <c r="K53" i="6"/>
  <c r="K71" i="6"/>
  <c r="J72" i="6"/>
  <c r="J54" i="6"/>
  <c r="R8" i="12"/>
  <c r="Q10" i="12"/>
  <c r="Q11" i="12" s="1"/>
  <c r="I30" i="5"/>
  <c r="F13" i="9"/>
  <c r="J29" i="5"/>
  <c r="L31" i="6"/>
  <c r="K50" i="6"/>
  <c r="L59" i="6"/>
  <c r="L47" i="6"/>
  <c r="K68" i="6"/>
  <c r="K36" i="6"/>
  <c r="BL39" i="4"/>
  <c r="T12" i="12" l="1"/>
  <c r="S22" i="12"/>
  <c r="R24" i="12"/>
  <c r="R49" i="12"/>
  <c r="R52" i="12" s="1"/>
  <c r="R58" i="12" s="1"/>
  <c r="Q28" i="4"/>
  <c r="Q27" i="12"/>
  <c r="P29" i="4"/>
  <c r="P31" i="4"/>
  <c r="P39" i="4"/>
  <c r="P20" i="6"/>
  <c r="BL29" i="4"/>
  <c r="O34" i="4"/>
  <c r="BL34" i="4" s="1"/>
  <c r="O21" i="6"/>
  <c r="BL31" i="4"/>
  <c r="O23" i="6"/>
  <c r="O40" i="4"/>
  <c r="O39" i="6"/>
  <c r="BL20" i="6"/>
  <c r="O28" i="6"/>
  <c r="O32" i="6"/>
  <c r="O58" i="6"/>
  <c r="BL21" i="6"/>
  <c r="N33" i="6"/>
  <c r="N45" i="4"/>
  <c r="N40" i="6"/>
  <c r="N47" i="6"/>
  <c r="N51" i="6"/>
  <c r="N15" i="5"/>
  <c r="N29" i="6"/>
  <c r="N30" i="6"/>
  <c r="O20" i="5"/>
  <c r="M52" i="6"/>
  <c r="M48" i="6"/>
  <c r="M49" i="6"/>
  <c r="M16" i="5"/>
  <c r="L53" i="6"/>
  <c r="L71" i="6"/>
  <c r="K72" i="6"/>
  <c r="K54" i="6"/>
  <c r="K73" i="6" s="1"/>
  <c r="J73" i="6"/>
  <c r="J55" i="6"/>
  <c r="J74" i="6" s="1"/>
  <c r="S8" i="12"/>
  <c r="R10" i="12"/>
  <c r="R11" i="12" s="1"/>
  <c r="J30" i="5"/>
  <c r="G13" i="9"/>
  <c r="L36" i="6"/>
  <c r="K69" i="6"/>
  <c r="L66" i="6"/>
  <c r="L67" i="6" s="1"/>
  <c r="L48" i="6"/>
  <c r="L49" i="6"/>
  <c r="M59" i="6"/>
  <c r="M31" i="6"/>
  <c r="M66" i="6"/>
  <c r="M67" i="6" s="1"/>
  <c r="M70" i="6"/>
  <c r="M34" i="6"/>
  <c r="U12" i="12" l="1"/>
  <c r="T22" i="12"/>
  <c r="S24" i="12"/>
  <c r="S49" i="12"/>
  <c r="S52" i="12" s="1"/>
  <c r="S58" i="12" s="1"/>
  <c r="R28" i="4"/>
  <c r="R27" i="12"/>
  <c r="Q29" i="4"/>
  <c r="Q31" i="4"/>
  <c r="Q23" i="6" s="1"/>
  <c r="Q61" i="6" s="1"/>
  <c r="Q39" i="4"/>
  <c r="Q20" i="6"/>
  <c r="P34" i="4"/>
  <c r="P21" i="6"/>
  <c r="P23" i="6"/>
  <c r="P40" i="4"/>
  <c r="P39" i="6"/>
  <c r="P28" i="6"/>
  <c r="P32" i="6"/>
  <c r="P58" i="6"/>
  <c r="O33" i="6"/>
  <c r="O59" i="6"/>
  <c r="BL23" i="6"/>
  <c r="O61" i="6"/>
  <c r="BL40" i="4"/>
  <c r="O45" i="4"/>
  <c r="BL45" i="4" s="1"/>
  <c r="O40" i="6"/>
  <c r="BL39" i="6"/>
  <c r="O51" i="6"/>
  <c r="O47" i="6"/>
  <c r="O15" i="5"/>
  <c r="B5" i="9"/>
  <c r="D6" i="8"/>
  <c r="E6" i="8" s="1"/>
  <c r="E28" i="1"/>
  <c r="BL28" i="6"/>
  <c r="O29" i="6"/>
  <c r="O31" i="6"/>
  <c r="O30" i="6"/>
  <c r="BL32" i="6"/>
  <c r="E29" i="1"/>
  <c r="P20" i="5"/>
  <c r="N52" i="6"/>
  <c r="N48" i="6"/>
  <c r="N49" i="6"/>
  <c r="N50" i="6"/>
  <c r="N16" i="5"/>
  <c r="BL20" i="5"/>
  <c r="O27" i="5"/>
  <c r="M53" i="6"/>
  <c r="M54" i="6" s="1"/>
  <c r="M71" i="6"/>
  <c r="L72" i="6"/>
  <c r="L54" i="6"/>
  <c r="L73" i="6" s="1"/>
  <c r="T8" i="12"/>
  <c r="S10" i="12"/>
  <c r="S11" i="12" s="1"/>
  <c r="K30" i="5"/>
  <c r="H13" i="9"/>
  <c r="M25" i="5"/>
  <c r="L68" i="6"/>
  <c r="M69" i="6"/>
  <c r="M72" i="6"/>
  <c r="M35" i="6"/>
  <c r="M73" i="6" s="1"/>
  <c r="N31" i="6"/>
  <c r="N66" i="6"/>
  <c r="N67" i="6" s="1"/>
  <c r="N34" i="6"/>
  <c r="N70" i="6"/>
  <c r="M50" i="6"/>
  <c r="M17" i="5"/>
  <c r="BL30" i="6"/>
  <c r="M68" i="6"/>
  <c r="N59" i="6"/>
  <c r="K55" i="6"/>
  <c r="K74" i="6" s="1"/>
  <c r="L50" i="6"/>
  <c r="BL40" i="6"/>
  <c r="E46" i="1" s="1"/>
  <c r="V12" i="12" l="1"/>
  <c r="U22" i="12"/>
  <c r="T24" i="12"/>
  <c r="T49" i="12"/>
  <c r="T52" i="12" s="1"/>
  <c r="S28" i="4"/>
  <c r="S27" i="12"/>
  <c r="R29" i="4"/>
  <c r="R31" i="4"/>
  <c r="R39" i="4"/>
  <c r="R20" i="6"/>
  <c r="Q34" i="4"/>
  <c r="Q21" i="6"/>
  <c r="Q40" i="4"/>
  <c r="Q39" i="6"/>
  <c r="Q28" i="6"/>
  <c r="Q32" i="6"/>
  <c r="Q58" i="6"/>
  <c r="P33" i="6"/>
  <c r="P61" i="6"/>
  <c r="P45" i="4"/>
  <c r="P40" i="6"/>
  <c r="P47" i="6"/>
  <c r="P51" i="6"/>
  <c r="P15" i="5"/>
  <c r="P29" i="6"/>
  <c r="P30" i="6"/>
  <c r="P66" i="6"/>
  <c r="P67" i="6" s="1"/>
  <c r="P31" i="6"/>
  <c r="P70" i="6"/>
  <c r="P34" i="6"/>
  <c r="O71" i="6"/>
  <c r="BL33" i="6"/>
  <c r="E31" i="1"/>
  <c r="BL61" i="6"/>
  <c r="E65" i="1" s="1"/>
  <c r="O52" i="6"/>
  <c r="BL52" i="6" s="1"/>
  <c r="Q20" i="5"/>
  <c r="Q27" i="5" s="1"/>
  <c r="E45" i="1"/>
  <c r="C5" i="9"/>
  <c r="BL51" i="6"/>
  <c r="BL70" i="6" s="1"/>
  <c r="E88" i="1" s="1"/>
  <c r="O53" i="6"/>
  <c r="O48" i="6"/>
  <c r="O49" i="6"/>
  <c r="O50" i="6"/>
  <c r="BL15" i="5"/>
  <c r="O16" i="5"/>
  <c r="BL16" i="5" s="1"/>
  <c r="BL66" i="6"/>
  <c r="D23" i="8"/>
  <c r="E23" i="8" s="1"/>
  <c r="E5" i="9"/>
  <c r="E36" i="1"/>
  <c r="E38" i="1"/>
  <c r="BL29" i="6"/>
  <c r="O69" i="6"/>
  <c r="N53" i="6"/>
  <c r="N54" i="6" s="1"/>
  <c r="N55" i="6" s="1"/>
  <c r="N71" i="6"/>
  <c r="P25" i="5"/>
  <c r="N68" i="6"/>
  <c r="U8" i="12"/>
  <c r="T10" i="12"/>
  <c r="T11" i="12" s="1"/>
  <c r="L30" i="5"/>
  <c r="I13" i="9"/>
  <c r="M27" i="5"/>
  <c r="BL27" i="5" s="1"/>
  <c r="BL25" i="5"/>
  <c r="N69" i="6"/>
  <c r="N35" i="6"/>
  <c r="E37" i="1"/>
  <c r="BL50" i="6"/>
  <c r="L69" i="6"/>
  <c r="L55" i="6"/>
  <c r="L74" i="6" s="1"/>
  <c r="M36" i="6"/>
  <c r="M74" i="6" s="1"/>
  <c r="BL58" i="6"/>
  <c r="D7" i="8"/>
  <c r="E7" i="8" s="1"/>
  <c r="O66" i="6"/>
  <c r="O67" i="6" s="1"/>
  <c r="O34" i="6"/>
  <c r="O70" i="6"/>
  <c r="BL59" i="6"/>
  <c r="E63" i="1" s="1"/>
  <c r="N17" i="5"/>
  <c r="N29" i="5" s="1"/>
  <c r="M55" i="6"/>
  <c r="BL31" i="6"/>
  <c r="BL47" i="6"/>
  <c r="W12" i="12" l="1"/>
  <c r="V22" i="12"/>
  <c r="U24" i="12"/>
  <c r="U49" i="12"/>
  <c r="U52" i="12" s="1"/>
  <c r="U58" i="12" s="1"/>
  <c r="T28" i="4"/>
  <c r="T27" i="12"/>
  <c r="T58" i="12"/>
  <c r="S29" i="4"/>
  <c r="S31" i="4"/>
  <c r="S23" i="6" s="1"/>
  <c r="S61" i="6" s="1"/>
  <c r="S39" i="4"/>
  <c r="S20" i="6"/>
  <c r="R34" i="4"/>
  <c r="R21" i="6"/>
  <c r="R23" i="6"/>
  <c r="R40" i="4"/>
  <c r="R39" i="6"/>
  <c r="R32" i="6"/>
  <c r="Q33" i="6"/>
  <c r="Q45" i="4"/>
  <c r="Q40" i="6"/>
  <c r="Q51" i="6"/>
  <c r="Q15" i="5"/>
  <c r="Q29" i="6"/>
  <c r="Q30" i="6"/>
  <c r="Q34" i="6"/>
  <c r="Q70" i="6"/>
  <c r="R20" i="5"/>
  <c r="P52" i="6"/>
  <c r="P48" i="6"/>
  <c r="P49" i="6"/>
  <c r="P50" i="6"/>
  <c r="P16" i="5"/>
  <c r="P68" i="6"/>
  <c r="P69" i="6"/>
  <c r="P35" i="6"/>
  <c r="BL53" i="6"/>
  <c r="BL54" i="6" s="1"/>
  <c r="O54" i="6"/>
  <c r="O55" i="6" s="1"/>
  <c r="O68" i="6"/>
  <c r="BL49" i="6"/>
  <c r="BL67" i="6"/>
  <c r="G5" i="9"/>
  <c r="E70" i="1"/>
  <c r="E72" i="1"/>
  <c r="V8" i="12"/>
  <c r="U10" i="12"/>
  <c r="U11" i="12" s="1"/>
  <c r="J13" i="9"/>
  <c r="E62" i="1"/>
  <c r="D5" i="9"/>
  <c r="D13" i="8"/>
  <c r="E13" i="8" s="1"/>
  <c r="BL34" i="6"/>
  <c r="O35" i="6"/>
  <c r="O72" i="6"/>
  <c r="BL69" i="6"/>
  <c r="BL48" i="6"/>
  <c r="F5" i="9"/>
  <c r="D9" i="8"/>
  <c r="E9" i="8" s="1"/>
  <c r="E53" i="1"/>
  <c r="E55" i="1"/>
  <c r="P59" i="6"/>
  <c r="BL71" i="6"/>
  <c r="E89" i="1" s="1"/>
  <c r="O17" i="5"/>
  <c r="N36" i="6"/>
  <c r="N74" i="6" s="1"/>
  <c r="N72" i="6"/>
  <c r="N73" i="6"/>
  <c r="M29" i="5"/>
  <c r="P27" i="5"/>
  <c r="X12" i="12" l="1"/>
  <c r="W22" i="12"/>
  <c r="V24" i="12"/>
  <c r="V49" i="12"/>
  <c r="V52" i="12" s="1"/>
  <c r="U28" i="4"/>
  <c r="U27" i="12"/>
  <c r="T29" i="4"/>
  <c r="T31" i="4"/>
  <c r="T39" i="4"/>
  <c r="T20" i="6"/>
  <c r="S34" i="4"/>
  <c r="S21" i="6"/>
  <c r="S40" i="4"/>
  <c r="S39" i="6"/>
  <c r="S28" i="6"/>
  <c r="S32" i="6"/>
  <c r="S58" i="6"/>
  <c r="R33" i="6"/>
  <c r="R59" i="6"/>
  <c r="R61" i="6"/>
  <c r="R45" i="4"/>
  <c r="R40" i="6"/>
  <c r="R47" i="6"/>
  <c r="R51" i="6"/>
  <c r="R15" i="5"/>
  <c r="R70" i="6"/>
  <c r="S20" i="5"/>
  <c r="Q52" i="6"/>
  <c r="Q16" i="5"/>
  <c r="Q17" i="5"/>
  <c r="Q29" i="5" s="1"/>
  <c r="Q35" i="6"/>
  <c r="R27" i="5"/>
  <c r="P53" i="6"/>
  <c r="P71" i="6"/>
  <c r="BL55" i="6"/>
  <c r="E56" i="1"/>
  <c r="BL68" i="6"/>
  <c r="E71" i="1" s="1"/>
  <c r="E54" i="1"/>
  <c r="W8" i="12"/>
  <c r="V10" i="12"/>
  <c r="V11" i="12" s="1"/>
  <c r="BL35" i="6"/>
  <c r="BL72" i="6"/>
  <c r="E87" i="1" s="1"/>
  <c r="O36" i="6"/>
  <c r="O74" i="6" s="1"/>
  <c r="O73" i="6"/>
  <c r="BL17" i="5"/>
  <c r="O29" i="5"/>
  <c r="R28" i="6"/>
  <c r="R58" i="6"/>
  <c r="Q59" i="6"/>
  <c r="Q31" i="6"/>
  <c r="Q47" i="6"/>
  <c r="P17" i="5"/>
  <c r="P36" i="6"/>
  <c r="M30" i="5"/>
  <c r="Y12" i="12" l="1"/>
  <c r="X22" i="12"/>
  <c r="W24" i="12"/>
  <c r="W49" i="12"/>
  <c r="W52" i="12" s="1"/>
  <c r="W58" i="12" s="1"/>
  <c r="V28" i="4"/>
  <c r="V27" i="12"/>
  <c r="V58" i="12"/>
  <c r="U29" i="4"/>
  <c r="U31" i="4"/>
  <c r="U23" i="6" s="1"/>
  <c r="U61" i="6" s="1"/>
  <c r="U39" i="4"/>
  <c r="U20" i="6"/>
  <c r="T34" i="4"/>
  <c r="T21" i="6"/>
  <c r="T23" i="6"/>
  <c r="T40" i="4"/>
  <c r="T39" i="6"/>
  <c r="T28" i="6"/>
  <c r="T32" i="6"/>
  <c r="T58" i="6"/>
  <c r="S33" i="6"/>
  <c r="S59" i="6"/>
  <c r="S45" i="4"/>
  <c r="S40" i="6"/>
  <c r="S47" i="6"/>
  <c r="S51" i="6"/>
  <c r="S15" i="5"/>
  <c r="S29" i="6"/>
  <c r="S30" i="6"/>
  <c r="S31" i="6"/>
  <c r="S66" i="6"/>
  <c r="S67" i="6" s="1"/>
  <c r="S34" i="6"/>
  <c r="S70" i="6"/>
  <c r="T20" i="5"/>
  <c r="R52" i="6"/>
  <c r="R48" i="6"/>
  <c r="R49" i="6"/>
  <c r="R16" i="5"/>
  <c r="R17" i="5"/>
  <c r="R29" i="5" s="1"/>
  <c r="Q53" i="6"/>
  <c r="Q71" i="6"/>
  <c r="P72" i="6"/>
  <c r="P54" i="6"/>
  <c r="H5" i="9"/>
  <c r="E57" i="1"/>
  <c r="X8" i="12"/>
  <c r="W10" i="12"/>
  <c r="W11" i="12" s="1"/>
  <c r="BL36" i="6"/>
  <c r="BL73" i="6"/>
  <c r="E73" i="1" s="1"/>
  <c r="E39" i="1"/>
  <c r="R30" i="6"/>
  <c r="R66" i="6"/>
  <c r="R67" i="6" s="1"/>
  <c r="R29" i="6"/>
  <c r="Q36" i="6"/>
  <c r="Q66" i="6"/>
  <c r="Q67" i="6" s="1"/>
  <c r="Q49" i="6"/>
  <c r="Q50" i="6"/>
  <c r="Q48" i="6"/>
  <c r="P29" i="5"/>
  <c r="K13" i="9"/>
  <c r="N30" i="5"/>
  <c r="R34" i="6"/>
  <c r="BL29" i="5"/>
  <c r="Z12" i="12" l="1"/>
  <c r="Y22" i="12"/>
  <c r="X24" i="12"/>
  <c r="X49" i="12"/>
  <c r="X52" i="12" s="1"/>
  <c r="W28" i="4"/>
  <c r="W27" i="12"/>
  <c r="V29" i="4"/>
  <c r="V31" i="4"/>
  <c r="V39" i="4"/>
  <c r="V20" i="6"/>
  <c r="U34" i="4"/>
  <c r="U21" i="6"/>
  <c r="U40" i="4"/>
  <c r="U39" i="6"/>
  <c r="U28" i="6"/>
  <c r="U32" i="6"/>
  <c r="U58" i="6"/>
  <c r="T33" i="6"/>
  <c r="T61" i="6"/>
  <c r="T45" i="4"/>
  <c r="T40" i="6"/>
  <c r="T51" i="6"/>
  <c r="T15" i="5"/>
  <c r="T30" i="6"/>
  <c r="T29" i="6"/>
  <c r="T31" i="6"/>
  <c r="U20" i="5"/>
  <c r="U27" i="5" s="1"/>
  <c r="S52" i="6"/>
  <c r="S48" i="6"/>
  <c r="S49" i="6"/>
  <c r="S50" i="6"/>
  <c r="S16" i="5"/>
  <c r="S17" i="5"/>
  <c r="S69" i="6"/>
  <c r="S35" i="6"/>
  <c r="T27" i="5"/>
  <c r="R71" i="6"/>
  <c r="R53" i="6"/>
  <c r="R54" i="6" s="1"/>
  <c r="Q72" i="6"/>
  <c r="Q54" i="6"/>
  <c r="Q73" i="6" s="1"/>
  <c r="P55" i="6"/>
  <c r="P74" i="6" s="1"/>
  <c r="P73" i="6"/>
  <c r="Y8" i="12"/>
  <c r="X10" i="12"/>
  <c r="X11" i="12" s="1"/>
  <c r="E40" i="1"/>
  <c r="BL74" i="6"/>
  <c r="E74" i="1" s="1"/>
  <c r="R68" i="6"/>
  <c r="S25" i="5"/>
  <c r="Q68" i="6"/>
  <c r="O30" i="5"/>
  <c r="L13" i="9"/>
  <c r="R35" i="6"/>
  <c r="R31" i="6"/>
  <c r="R50" i="6"/>
  <c r="Q69" i="6"/>
  <c r="AA12" i="12" l="1"/>
  <c r="Z22" i="12"/>
  <c r="Y24" i="12"/>
  <c r="Y49" i="12"/>
  <c r="Y52" i="12" s="1"/>
  <c r="Y58" i="12" s="1"/>
  <c r="X28" i="4"/>
  <c r="X27" i="12"/>
  <c r="X58" i="12"/>
  <c r="W29" i="4"/>
  <c r="W31" i="4"/>
  <c r="W23" i="6" s="1"/>
  <c r="W61" i="6" s="1"/>
  <c r="W39" i="4"/>
  <c r="W20" i="6"/>
  <c r="V34" i="4"/>
  <c r="V21" i="6"/>
  <c r="V23" i="6"/>
  <c r="V40" i="4"/>
  <c r="V39" i="6"/>
  <c r="V32" i="6"/>
  <c r="V58" i="6"/>
  <c r="V28" i="6"/>
  <c r="U33" i="6"/>
  <c r="U45" i="4"/>
  <c r="U40" i="6"/>
  <c r="U47" i="6"/>
  <c r="U51" i="6"/>
  <c r="U15" i="5"/>
  <c r="U30" i="6"/>
  <c r="U66" i="6"/>
  <c r="U67" i="6" s="1"/>
  <c r="U31" i="6"/>
  <c r="U29" i="6"/>
  <c r="U70" i="6"/>
  <c r="V20" i="5"/>
  <c r="T52" i="6"/>
  <c r="T16" i="5"/>
  <c r="S53" i="6"/>
  <c r="S71" i="6"/>
  <c r="S68" i="6"/>
  <c r="Z8" i="12"/>
  <c r="Y10" i="12"/>
  <c r="Y11" i="12" s="1"/>
  <c r="S27" i="5"/>
  <c r="P30" i="5"/>
  <c r="BL30" i="5"/>
  <c r="M13" i="9"/>
  <c r="R69" i="6"/>
  <c r="R36" i="6"/>
  <c r="R74" i="6" s="1"/>
  <c r="T47" i="6"/>
  <c r="T34" i="6"/>
  <c r="T70" i="6"/>
  <c r="S36" i="6"/>
  <c r="T59" i="6"/>
  <c r="Q55" i="6"/>
  <c r="Q74" i="6" s="1"/>
  <c r="R72" i="6"/>
  <c r="R73" i="6"/>
  <c r="R55" i="6"/>
  <c r="AB12" i="12" l="1"/>
  <c r="AA22" i="12"/>
  <c r="Z24" i="12"/>
  <c r="Z49" i="12"/>
  <c r="Z52" i="12" s="1"/>
  <c r="Y28" i="4"/>
  <c r="Y27" i="12"/>
  <c r="X29" i="4"/>
  <c r="X31" i="4"/>
  <c r="X39" i="4"/>
  <c r="X20" i="6"/>
  <c r="W34" i="4"/>
  <c r="W21" i="6"/>
  <c r="W40" i="4"/>
  <c r="W39" i="6"/>
  <c r="W28" i="6"/>
  <c r="W32" i="6"/>
  <c r="W58" i="6"/>
  <c r="V33" i="6"/>
  <c r="V61" i="6"/>
  <c r="V45" i="4"/>
  <c r="V40" i="6"/>
  <c r="V47" i="6"/>
  <c r="V51" i="6"/>
  <c r="V15" i="5"/>
  <c r="V70" i="6"/>
  <c r="V34" i="6"/>
  <c r="V30" i="6"/>
  <c r="V29" i="6"/>
  <c r="U52" i="6"/>
  <c r="W20" i="5"/>
  <c r="W27" i="5" s="1"/>
  <c r="U48" i="6"/>
  <c r="U49" i="6"/>
  <c r="U68" i="6" s="1"/>
  <c r="U50" i="6"/>
  <c r="U16" i="5"/>
  <c r="U69" i="6"/>
  <c r="T53" i="6"/>
  <c r="T54" i="6" s="1"/>
  <c r="T71" i="6"/>
  <c r="S72" i="6"/>
  <c r="S54" i="6"/>
  <c r="AA8" i="12"/>
  <c r="Z10" i="12"/>
  <c r="Z11" i="12" s="1"/>
  <c r="Q30" i="5"/>
  <c r="N13" i="9"/>
  <c r="T49" i="6"/>
  <c r="T48" i="6"/>
  <c r="T66" i="6"/>
  <c r="T67" i="6" s="1"/>
  <c r="T72" i="6"/>
  <c r="T35" i="6"/>
  <c r="U59" i="6"/>
  <c r="T17" i="5"/>
  <c r="U34" i="6"/>
  <c r="S29" i="5"/>
  <c r="BO12" i="12"/>
  <c r="AC12" i="12" l="1"/>
  <c r="AB22" i="12"/>
  <c r="AA24" i="12"/>
  <c r="AA49" i="12"/>
  <c r="AA52" i="12" s="1"/>
  <c r="AA58" i="12" s="1"/>
  <c r="BO24" i="12"/>
  <c r="Z28" i="4"/>
  <c r="Z27" i="12"/>
  <c r="Z58" i="12"/>
  <c r="Y29" i="4"/>
  <c r="Y31" i="4"/>
  <c r="Y23" i="6" s="1"/>
  <c r="Y61" i="6" s="1"/>
  <c r="Y39" i="4"/>
  <c r="Y20" i="6"/>
  <c r="X34" i="4"/>
  <c r="X21" i="6"/>
  <c r="X23" i="6"/>
  <c r="X40" i="4"/>
  <c r="X39" i="6"/>
  <c r="X28" i="6"/>
  <c r="X32" i="6"/>
  <c r="X58" i="6"/>
  <c r="W33" i="6"/>
  <c r="W45" i="4"/>
  <c r="W40" i="6"/>
  <c r="W51" i="6"/>
  <c r="W47" i="6"/>
  <c r="W15" i="5"/>
  <c r="W29" i="6"/>
  <c r="W30" i="6"/>
  <c r="W66" i="6"/>
  <c r="W67" i="6" s="1"/>
  <c r="W70" i="6"/>
  <c r="X20" i="5"/>
  <c r="V52" i="6"/>
  <c r="V49" i="6"/>
  <c r="V48" i="6"/>
  <c r="V50" i="6"/>
  <c r="V16" i="5"/>
  <c r="V17" i="5"/>
  <c r="V35" i="6"/>
  <c r="U71" i="6"/>
  <c r="U53" i="6"/>
  <c r="U54" i="6" s="1"/>
  <c r="U55" i="6" s="1"/>
  <c r="S73" i="6"/>
  <c r="S55" i="6"/>
  <c r="S74" i="6" s="1"/>
  <c r="BO8" i="12"/>
  <c r="AB8" i="12"/>
  <c r="AA10" i="12"/>
  <c r="AA11" i="12" s="1"/>
  <c r="R30" i="5"/>
  <c r="O13" i="9"/>
  <c r="V25" i="5"/>
  <c r="T68" i="6"/>
  <c r="T36" i="6"/>
  <c r="T73" i="6"/>
  <c r="T29" i="5"/>
  <c r="U35" i="6"/>
  <c r="V59" i="6"/>
  <c r="V31" i="6"/>
  <c r="V66" i="6"/>
  <c r="V67" i="6" s="1"/>
  <c r="T50" i="6"/>
  <c r="U17" i="5"/>
  <c r="U29" i="5" s="1"/>
  <c r="C34" i="5"/>
  <c r="B23" i="9" s="1"/>
  <c r="AD12" i="12" l="1"/>
  <c r="AC22" i="12"/>
  <c r="AB24" i="12"/>
  <c r="AB49" i="12"/>
  <c r="AB52" i="12" s="1"/>
  <c r="AA28" i="4"/>
  <c r="AA27" i="12"/>
  <c r="Z29" i="4"/>
  <c r="Z31" i="4"/>
  <c r="Z39" i="4"/>
  <c r="Z20" i="6"/>
  <c r="Y34" i="4"/>
  <c r="Y21" i="6"/>
  <c r="Y40" i="4"/>
  <c r="Y39" i="6"/>
  <c r="Y32" i="6"/>
  <c r="Y58" i="6"/>
  <c r="X33" i="6"/>
  <c r="X61" i="6"/>
  <c r="X45" i="4"/>
  <c r="X40" i="6"/>
  <c r="X51" i="6"/>
  <c r="X15" i="5"/>
  <c r="X29" i="6"/>
  <c r="X30" i="6"/>
  <c r="Y20" i="5"/>
  <c r="W52" i="6"/>
  <c r="W48" i="6"/>
  <c r="W49" i="6"/>
  <c r="W16" i="5"/>
  <c r="W17" i="5"/>
  <c r="W29" i="5" s="1"/>
  <c r="X27" i="5"/>
  <c r="V53" i="6"/>
  <c r="V71" i="6"/>
  <c r="V68" i="6"/>
  <c r="AC8" i="12"/>
  <c r="AB10" i="12"/>
  <c r="AB11" i="12" s="1"/>
  <c r="S30" i="5"/>
  <c r="P13" i="9"/>
  <c r="V27" i="5"/>
  <c r="U36" i="6"/>
  <c r="U74" i="6" s="1"/>
  <c r="U73" i="6"/>
  <c r="V36" i="6"/>
  <c r="V69" i="6"/>
  <c r="T55" i="6"/>
  <c r="T74" i="6" s="1"/>
  <c r="T69" i="6"/>
  <c r="BO52" i="12"/>
  <c r="BO58" i="12"/>
  <c r="W59" i="6"/>
  <c r="W31" i="6"/>
  <c r="W34" i="6"/>
  <c r="U72" i="6"/>
  <c r="BM28" i="4"/>
  <c r="AE12" i="12" l="1"/>
  <c r="AD22" i="12"/>
  <c r="AC24" i="12"/>
  <c r="AC49" i="12"/>
  <c r="AC52" i="12" s="1"/>
  <c r="AC58" i="12" s="1"/>
  <c r="AB28" i="4"/>
  <c r="AB27" i="12"/>
  <c r="AB58" i="12"/>
  <c r="AA29" i="4"/>
  <c r="AA31" i="4"/>
  <c r="AA23" i="6" s="1"/>
  <c r="AA61" i="6" s="1"/>
  <c r="AA39" i="4"/>
  <c r="AA20" i="6"/>
  <c r="BM29" i="4"/>
  <c r="Z34" i="4"/>
  <c r="Z21" i="6"/>
  <c r="BM31" i="4"/>
  <c r="Z23" i="6"/>
  <c r="Z40" i="4"/>
  <c r="Z39" i="6"/>
  <c r="Z58" i="6"/>
  <c r="Z32" i="6"/>
  <c r="Y33" i="6"/>
  <c r="Y45" i="4"/>
  <c r="Y40" i="6"/>
  <c r="Y51" i="6"/>
  <c r="Y47" i="6"/>
  <c r="Y15" i="5"/>
  <c r="Y34" i="6"/>
  <c r="Y70" i="6"/>
  <c r="Z20" i="5"/>
  <c r="X52" i="6"/>
  <c r="X16" i="5"/>
  <c r="X17" i="5"/>
  <c r="W71" i="6"/>
  <c r="W53" i="6"/>
  <c r="W54" i="6" s="1"/>
  <c r="W68" i="6"/>
  <c r="V72" i="6"/>
  <c r="V54" i="6"/>
  <c r="AD8" i="12"/>
  <c r="AC10" i="12"/>
  <c r="AC11" i="12" s="1"/>
  <c r="T30" i="5"/>
  <c r="Q13" i="9"/>
  <c r="V29" i="5"/>
  <c r="W69" i="6"/>
  <c r="W72" i="6"/>
  <c r="W35" i="6"/>
  <c r="W73" i="6" s="1"/>
  <c r="Y28" i="6"/>
  <c r="X59" i="6"/>
  <c r="X47" i="6"/>
  <c r="X31" i="6"/>
  <c r="X34" i="6"/>
  <c r="X70" i="6"/>
  <c r="W50" i="6"/>
  <c r="AF12" i="12" l="1"/>
  <c r="AE22" i="12"/>
  <c r="AD24" i="12"/>
  <c r="AD49" i="12"/>
  <c r="AD52" i="12" s="1"/>
  <c r="AC28" i="4"/>
  <c r="AC27" i="12"/>
  <c r="AB29" i="4"/>
  <c r="AB31" i="4"/>
  <c r="AB39" i="4"/>
  <c r="AB20" i="6"/>
  <c r="AA34" i="4"/>
  <c r="BM34" i="4" s="1"/>
  <c r="AA21" i="6"/>
  <c r="BM39" i="4"/>
  <c r="AA40" i="4"/>
  <c r="AA39" i="6"/>
  <c r="AA32" i="6"/>
  <c r="AA58" i="6"/>
  <c r="Z33" i="6"/>
  <c r="BM23" i="6"/>
  <c r="Z61" i="6"/>
  <c r="Z45" i="4"/>
  <c r="Z40" i="6"/>
  <c r="BM39" i="6"/>
  <c r="Z51" i="6"/>
  <c r="Z15" i="5"/>
  <c r="AA20" i="5"/>
  <c r="AA27" i="5" s="1"/>
  <c r="Y52" i="6"/>
  <c r="Y48" i="6"/>
  <c r="Y49" i="6"/>
  <c r="Y50" i="6"/>
  <c r="Y16" i="5"/>
  <c r="Y17" i="5"/>
  <c r="Y35" i="6"/>
  <c r="BM20" i="5"/>
  <c r="Z27" i="5"/>
  <c r="X71" i="6"/>
  <c r="X53" i="6"/>
  <c r="X54" i="6" s="1"/>
  <c r="X29" i="5"/>
  <c r="V73" i="6"/>
  <c r="V55" i="6"/>
  <c r="V74" i="6" s="1"/>
  <c r="AE8" i="12"/>
  <c r="AD10" i="12"/>
  <c r="AD11" i="12" s="1"/>
  <c r="U30" i="5"/>
  <c r="R13" i="9"/>
  <c r="Y30" i="6"/>
  <c r="Y66" i="6"/>
  <c r="Y67" i="6" s="1"/>
  <c r="Y29" i="6"/>
  <c r="X49" i="6"/>
  <c r="X48" i="6"/>
  <c r="X66" i="6"/>
  <c r="X67" i="6" s="1"/>
  <c r="X72" i="6"/>
  <c r="X35" i="6"/>
  <c r="X73" i="6" s="1"/>
  <c r="W55" i="6"/>
  <c r="BM20" i="6"/>
  <c r="Z28" i="6"/>
  <c r="Y59" i="6"/>
  <c r="W36" i="6"/>
  <c r="W74" i="6" s="1"/>
  <c r="AG12" i="12" l="1"/>
  <c r="AF22" i="12"/>
  <c r="AE24" i="12"/>
  <c r="AE49" i="12"/>
  <c r="AE52" i="12" s="1"/>
  <c r="AE58" i="12" s="1"/>
  <c r="AD28" i="4"/>
  <c r="AD27" i="12"/>
  <c r="AD58" i="12"/>
  <c r="AC29" i="4"/>
  <c r="AC31" i="4"/>
  <c r="AC23" i="6" s="1"/>
  <c r="AC61" i="6" s="1"/>
  <c r="AC39" i="4"/>
  <c r="AC20" i="6"/>
  <c r="AB34" i="4"/>
  <c r="AB21" i="6"/>
  <c r="AB23" i="6"/>
  <c r="AB40" i="4"/>
  <c r="AB39" i="6"/>
  <c r="AB32" i="6"/>
  <c r="AB28" i="6"/>
  <c r="AB58" i="6"/>
  <c r="AA33" i="6"/>
  <c r="AA45" i="4"/>
  <c r="BM45" i="4" s="1"/>
  <c r="AA40" i="6"/>
  <c r="AA51" i="6"/>
  <c r="AA47" i="6"/>
  <c r="AA15" i="5"/>
  <c r="AA70" i="6"/>
  <c r="BM32" i="6"/>
  <c r="AA34" i="6"/>
  <c r="F31" i="1"/>
  <c r="BM61" i="6"/>
  <c r="F65" i="1" s="1"/>
  <c r="BM40" i="6"/>
  <c r="F46" i="1" s="1"/>
  <c r="Z52" i="6"/>
  <c r="AB20" i="5"/>
  <c r="F45" i="1"/>
  <c r="C6" i="9"/>
  <c r="BM15" i="5"/>
  <c r="Z16" i="5"/>
  <c r="Z17" i="5"/>
  <c r="Z29" i="5" s="1"/>
  <c r="Y53" i="6"/>
  <c r="Y71" i="6"/>
  <c r="AF8" i="12"/>
  <c r="AE10" i="12"/>
  <c r="AE11" i="12" s="1"/>
  <c r="V30" i="5"/>
  <c r="S13" i="9"/>
  <c r="Y68" i="6"/>
  <c r="Y25" i="5"/>
  <c r="X68" i="6"/>
  <c r="F28" i="1"/>
  <c r="B6" i="9"/>
  <c r="BM58" i="6"/>
  <c r="Z30" i="6"/>
  <c r="Z29" i="6"/>
  <c r="AA28" i="6"/>
  <c r="Z59" i="6"/>
  <c r="BM40" i="4"/>
  <c r="Z47" i="6"/>
  <c r="Z34" i="6"/>
  <c r="Z70" i="6"/>
  <c r="BM28" i="6"/>
  <c r="Y31" i="6"/>
  <c r="X50" i="6"/>
  <c r="X36" i="6"/>
  <c r="BM21" i="6"/>
  <c r="AH12" i="12" l="1"/>
  <c r="AG22" i="12"/>
  <c r="AF24" i="12"/>
  <c r="AF49" i="12"/>
  <c r="AF52" i="12" s="1"/>
  <c r="AE28" i="4"/>
  <c r="AE27" i="12"/>
  <c r="AD29" i="4"/>
  <c r="AD31" i="4"/>
  <c r="AD23" i="6" s="1"/>
  <c r="AD61" i="6" s="1"/>
  <c r="AD39" i="4"/>
  <c r="AD20" i="6"/>
  <c r="AC34" i="4"/>
  <c r="AC21" i="6"/>
  <c r="AC40" i="4"/>
  <c r="AC39" i="6"/>
  <c r="AC32" i="6"/>
  <c r="AB33" i="6"/>
  <c r="AB59" i="6"/>
  <c r="AB61" i="6"/>
  <c r="AB45" i="4"/>
  <c r="AB40" i="6"/>
  <c r="AB51" i="6"/>
  <c r="AB47" i="6"/>
  <c r="AB15" i="5"/>
  <c r="AB70" i="6"/>
  <c r="AB66" i="6"/>
  <c r="AB67" i="6" s="1"/>
  <c r="AB29" i="6"/>
  <c r="AB30" i="6"/>
  <c r="BM33" i="6"/>
  <c r="BM71" i="6" s="1"/>
  <c r="F89" i="1" s="1"/>
  <c r="AA71" i="6"/>
  <c r="AC20" i="5"/>
  <c r="AC27" i="5" s="1"/>
  <c r="AA52" i="6"/>
  <c r="BM52" i="6" s="1"/>
  <c r="BM51" i="6"/>
  <c r="BM70" i="6" s="1"/>
  <c r="F88" i="1" s="1"/>
  <c r="AA53" i="6"/>
  <c r="AA48" i="6"/>
  <c r="AA49" i="6"/>
  <c r="AA16" i="5"/>
  <c r="BM16" i="5" s="1"/>
  <c r="AA17" i="5"/>
  <c r="AA35" i="6"/>
  <c r="AA72" i="6"/>
  <c r="BM34" i="6"/>
  <c r="Z53" i="6"/>
  <c r="Z54" i="6" s="1"/>
  <c r="Z71" i="6"/>
  <c r="Y72" i="6"/>
  <c r="Y54" i="6"/>
  <c r="AG8" i="12"/>
  <c r="AF10" i="12"/>
  <c r="AF11" i="12" s="1"/>
  <c r="W30" i="5"/>
  <c r="T13" i="9"/>
  <c r="Y27" i="5"/>
  <c r="BM25" i="5"/>
  <c r="D6" i="9"/>
  <c r="F62" i="1"/>
  <c r="AA30" i="6"/>
  <c r="AA66" i="6"/>
  <c r="AA67" i="6" s="1"/>
  <c r="AA31" i="6"/>
  <c r="AA29" i="6"/>
  <c r="Z50" i="6"/>
  <c r="Z49" i="6"/>
  <c r="Z48" i="6"/>
  <c r="BM47" i="6"/>
  <c r="Z35" i="6"/>
  <c r="F38" i="1"/>
  <c r="F36" i="1"/>
  <c r="E6" i="9"/>
  <c r="BM66" i="6"/>
  <c r="BM29" i="6"/>
  <c r="Y69" i="6"/>
  <c r="Y36" i="6"/>
  <c r="BM31" i="6"/>
  <c r="X69" i="6"/>
  <c r="X55" i="6"/>
  <c r="X74" i="6" s="1"/>
  <c r="F29" i="1"/>
  <c r="BM59" i="6"/>
  <c r="F63" i="1" s="1"/>
  <c r="AA59" i="6"/>
  <c r="Z31" i="6"/>
  <c r="Z66" i="6"/>
  <c r="Z67" i="6" s="1"/>
  <c r="AI12" i="12" l="1"/>
  <c r="AH22" i="12"/>
  <c r="AG24" i="12"/>
  <c r="AG49" i="12"/>
  <c r="AG52" i="12" s="1"/>
  <c r="AG58" i="12" s="1"/>
  <c r="AF28" i="4"/>
  <c r="AF27" i="12"/>
  <c r="AF58" i="12"/>
  <c r="AE29" i="4"/>
  <c r="AE31" i="4"/>
  <c r="AE23" i="6" s="1"/>
  <c r="AE61" i="6" s="1"/>
  <c r="AE39" i="4"/>
  <c r="AE20" i="6"/>
  <c r="AD34" i="4"/>
  <c r="AD21" i="6"/>
  <c r="AD40" i="4"/>
  <c r="AD39" i="6"/>
  <c r="AD28" i="6"/>
  <c r="AD32" i="6"/>
  <c r="AD58" i="6"/>
  <c r="AC33" i="6"/>
  <c r="AC45" i="4"/>
  <c r="AC40" i="6"/>
  <c r="AC47" i="6"/>
  <c r="AC51" i="6"/>
  <c r="AC15" i="5"/>
  <c r="AC70" i="6"/>
  <c r="AC34" i="6"/>
  <c r="AD20" i="5"/>
  <c r="AB52" i="6"/>
  <c r="AB48" i="6"/>
  <c r="AB49" i="6"/>
  <c r="AB16" i="5"/>
  <c r="AB17" i="5"/>
  <c r="BM53" i="6"/>
  <c r="BM54" i="6" s="1"/>
  <c r="F56" i="1" s="1"/>
  <c r="AA54" i="6"/>
  <c r="AA73" i="6" s="1"/>
  <c r="BM17" i="5"/>
  <c r="AA29" i="5"/>
  <c r="BM35" i="6"/>
  <c r="BM72" i="6"/>
  <c r="F87" i="1" s="1"/>
  <c r="Y73" i="6"/>
  <c r="Y55" i="6"/>
  <c r="Y74" i="6" s="1"/>
  <c r="AH8" i="12"/>
  <c r="AG10" i="12"/>
  <c r="AG11" i="12" s="1"/>
  <c r="X30" i="5"/>
  <c r="U13" i="9"/>
  <c r="Y29" i="5"/>
  <c r="BM29" i="5" s="1"/>
  <c r="BM27" i="5"/>
  <c r="BM30" i="6"/>
  <c r="AA68" i="6"/>
  <c r="AA36" i="6"/>
  <c r="AA69" i="6"/>
  <c r="Z68" i="6"/>
  <c r="BM49" i="6"/>
  <c r="F54" i="1" s="1"/>
  <c r="AB25" i="5"/>
  <c r="F55" i="1"/>
  <c r="F53" i="1"/>
  <c r="F6" i="9"/>
  <c r="BM48" i="6"/>
  <c r="BM67" i="6"/>
  <c r="G6" i="9"/>
  <c r="F70" i="1"/>
  <c r="F72" i="1"/>
  <c r="Z69" i="6"/>
  <c r="Z36" i="6"/>
  <c r="AC28" i="6"/>
  <c r="AC58" i="6"/>
  <c r="AB34" i="6"/>
  <c r="AB31" i="6"/>
  <c r="AA50" i="6"/>
  <c r="Z55" i="6"/>
  <c r="Z72" i="6"/>
  <c r="Z73" i="6"/>
  <c r="BM50" i="6"/>
  <c r="AJ12" i="12" l="1"/>
  <c r="AI22" i="12"/>
  <c r="AH24" i="12"/>
  <c r="AH49" i="12"/>
  <c r="AH52" i="12" s="1"/>
  <c r="AG28" i="4"/>
  <c r="AG27" i="12"/>
  <c r="AF29" i="4"/>
  <c r="AF31" i="4"/>
  <c r="AF23" i="6" s="1"/>
  <c r="AF61" i="6" s="1"/>
  <c r="AF39" i="4"/>
  <c r="AF20" i="6"/>
  <c r="AE34" i="4"/>
  <c r="AE21" i="6"/>
  <c r="AE40" i="4"/>
  <c r="AE39" i="6"/>
  <c r="AE28" i="6"/>
  <c r="AE58" i="6"/>
  <c r="AE32" i="6"/>
  <c r="AD33" i="6"/>
  <c r="AD45" i="4"/>
  <c r="AD40" i="6"/>
  <c r="AD47" i="6"/>
  <c r="AD51" i="6"/>
  <c r="AD15" i="5"/>
  <c r="AD29" i="6"/>
  <c r="AD66" i="6"/>
  <c r="AD67" i="6" s="1"/>
  <c r="AD30" i="6"/>
  <c r="AD31" i="6"/>
  <c r="AD34" i="6"/>
  <c r="AD70" i="6"/>
  <c r="AE20" i="5"/>
  <c r="AC52" i="6"/>
  <c r="AC48" i="6"/>
  <c r="AC49" i="6"/>
  <c r="AC16" i="5"/>
  <c r="AC17" i="5"/>
  <c r="AC29" i="5" s="1"/>
  <c r="AC35" i="6"/>
  <c r="AD27" i="5"/>
  <c r="AB53" i="6"/>
  <c r="AB54" i="6" s="1"/>
  <c r="AB71" i="6"/>
  <c r="BM73" i="6"/>
  <c r="F73" i="1" s="1"/>
  <c r="F39" i="1"/>
  <c r="AI8" i="12"/>
  <c r="AH10" i="12"/>
  <c r="AH11" i="12" s="1"/>
  <c r="Y30" i="5"/>
  <c r="V13" i="9"/>
  <c r="F37" i="1"/>
  <c r="BM68" i="6"/>
  <c r="F71" i="1" s="1"/>
  <c r="AB27" i="5"/>
  <c r="AC30" i="6"/>
  <c r="AC29" i="6"/>
  <c r="AC66" i="6"/>
  <c r="AC67" i="6" s="1"/>
  <c r="AB35" i="6"/>
  <c r="AB69" i="6"/>
  <c r="AC59" i="6"/>
  <c r="AB50" i="6"/>
  <c r="AB68" i="6"/>
  <c r="BM69" i="6"/>
  <c r="BM36" i="6"/>
  <c r="Z74" i="6"/>
  <c r="AA55" i="6"/>
  <c r="AA74" i="6" s="1"/>
  <c r="BM55" i="6"/>
  <c r="AK12" i="12" l="1"/>
  <c r="AJ22" i="12"/>
  <c r="AI24" i="12"/>
  <c r="AI49" i="12"/>
  <c r="AI52" i="12" s="1"/>
  <c r="AI58" i="12" s="1"/>
  <c r="AH28" i="4"/>
  <c r="AH27" i="12"/>
  <c r="AH58" i="12"/>
  <c r="AG29" i="4"/>
  <c r="AG31" i="4"/>
  <c r="AG23" i="6" s="1"/>
  <c r="AG61" i="6" s="1"/>
  <c r="AG39" i="4"/>
  <c r="AG20" i="6"/>
  <c r="AF34" i="4"/>
  <c r="AF21" i="6"/>
  <c r="AF40" i="4"/>
  <c r="AF39" i="6"/>
  <c r="AF32" i="6"/>
  <c r="AF58" i="6"/>
  <c r="AE33" i="6"/>
  <c r="AE45" i="4"/>
  <c r="AE40" i="6"/>
  <c r="AE51" i="6"/>
  <c r="AE47" i="6"/>
  <c r="AE15" i="5"/>
  <c r="AE30" i="6"/>
  <c r="AE66" i="6"/>
  <c r="AE67" i="6" s="1"/>
  <c r="AE29" i="6"/>
  <c r="AE34" i="6"/>
  <c r="AE70" i="6"/>
  <c r="AF20" i="5"/>
  <c r="AD52" i="6"/>
  <c r="AD48" i="6"/>
  <c r="AD49" i="6"/>
  <c r="AD50" i="6"/>
  <c r="AD16" i="5"/>
  <c r="AD17" i="5"/>
  <c r="AD69" i="6"/>
  <c r="AD35" i="6"/>
  <c r="AC53" i="6"/>
  <c r="AC71" i="6"/>
  <c r="AJ8" i="12"/>
  <c r="AI10" i="12"/>
  <c r="AI11" i="12" s="1"/>
  <c r="Z30" i="5"/>
  <c r="W13" i="9"/>
  <c r="AC68" i="6"/>
  <c r="AB55" i="6"/>
  <c r="BM74" i="6"/>
  <c r="F74" i="1" s="1"/>
  <c r="F40" i="1"/>
  <c r="F57" i="1"/>
  <c r="H6" i="9"/>
  <c r="AC31" i="6"/>
  <c r="AB72" i="6"/>
  <c r="AB73" i="6"/>
  <c r="AB36" i="6"/>
  <c r="AB74" i="6" s="1"/>
  <c r="AD59" i="6"/>
  <c r="AC50" i="6"/>
  <c r="AB29" i="5"/>
  <c r="AL12" i="12" l="1"/>
  <c r="AK22" i="12"/>
  <c r="AJ24" i="12"/>
  <c r="AJ49" i="12"/>
  <c r="AJ52" i="12" s="1"/>
  <c r="AJ58" i="12" s="1"/>
  <c r="AI28" i="4"/>
  <c r="AI27" i="12"/>
  <c r="AH29" i="4"/>
  <c r="AH31" i="4"/>
  <c r="AH39" i="4"/>
  <c r="AH20" i="6"/>
  <c r="AG34" i="4"/>
  <c r="AG21" i="6"/>
  <c r="AG40" i="4"/>
  <c r="AG39" i="6"/>
  <c r="AG28" i="6"/>
  <c r="AG58" i="6"/>
  <c r="AG32" i="6"/>
  <c r="AF33" i="6"/>
  <c r="AF45" i="4"/>
  <c r="AF40" i="6"/>
  <c r="AF51" i="6"/>
  <c r="AF15" i="5"/>
  <c r="AG20" i="5"/>
  <c r="AG27" i="5" s="1"/>
  <c r="AE52" i="6"/>
  <c r="AE48" i="6"/>
  <c r="AE49" i="6"/>
  <c r="AE16" i="5"/>
  <c r="AE17" i="5"/>
  <c r="AE35" i="6"/>
  <c r="AF27" i="5"/>
  <c r="AD53" i="6"/>
  <c r="AD71" i="6"/>
  <c r="AE25" i="5"/>
  <c r="AD68" i="6"/>
  <c r="AD29" i="5"/>
  <c r="AC72" i="6"/>
  <c r="AC54" i="6"/>
  <c r="AK8" i="12"/>
  <c r="AJ10" i="12"/>
  <c r="AJ11" i="12" s="1"/>
  <c r="AA30" i="5"/>
  <c r="X13" i="9"/>
  <c r="AC69" i="6"/>
  <c r="AC36" i="6"/>
  <c r="AF28" i="6"/>
  <c r="AE59" i="6"/>
  <c r="AD36" i="6"/>
  <c r="AE31" i="6"/>
  <c r="AM12" i="12" l="1"/>
  <c r="AL22" i="12"/>
  <c r="AK24" i="12"/>
  <c r="AK49" i="12"/>
  <c r="AK52" i="12" s="1"/>
  <c r="AJ28" i="4"/>
  <c r="AJ27" i="12"/>
  <c r="AI29" i="4"/>
  <c r="AI31" i="4"/>
  <c r="AI23" i="6" s="1"/>
  <c r="AI61" i="6" s="1"/>
  <c r="AI39" i="4"/>
  <c r="AI20" i="6"/>
  <c r="AH34" i="4"/>
  <c r="AH21" i="6"/>
  <c r="AH23" i="6"/>
  <c r="AH40" i="4"/>
  <c r="AH39" i="6"/>
  <c r="AH28" i="6"/>
  <c r="AH32" i="6"/>
  <c r="AH58" i="6"/>
  <c r="AG33" i="6"/>
  <c r="AG45" i="4"/>
  <c r="AG40" i="6"/>
  <c r="AG51" i="6"/>
  <c r="AG47" i="6"/>
  <c r="AG15" i="5"/>
  <c r="AG66" i="6"/>
  <c r="AG67" i="6" s="1"/>
  <c r="AG30" i="6"/>
  <c r="AG29" i="6"/>
  <c r="AG34" i="6"/>
  <c r="AG70" i="6"/>
  <c r="AH20" i="5"/>
  <c r="AF52" i="6"/>
  <c r="AF16" i="5"/>
  <c r="AF17" i="5"/>
  <c r="AF29" i="5" s="1"/>
  <c r="AE71" i="6"/>
  <c r="AE53" i="6"/>
  <c r="AE68" i="6"/>
  <c r="AD72" i="6"/>
  <c r="AD54" i="6"/>
  <c r="AE27" i="5"/>
  <c r="AC55" i="6"/>
  <c r="AC74" i="6" s="1"/>
  <c r="AC73" i="6"/>
  <c r="AL8" i="12"/>
  <c r="AK10" i="12"/>
  <c r="AK11" i="12" s="1"/>
  <c r="AB30" i="5"/>
  <c r="BM30" i="5"/>
  <c r="Y13" i="9"/>
  <c r="AF29" i="6"/>
  <c r="AF30" i="6"/>
  <c r="AE36" i="6"/>
  <c r="AF59" i="6"/>
  <c r="AF47" i="6"/>
  <c r="AF70" i="6"/>
  <c r="AF34" i="6"/>
  <c r="AE50" i="6"/>
  <c r="BQ12" i="12" l="1"/>
  <c r="AN12" i="12"/>
  <c r="AM22" i="12"/>
  <c r="AL24" i="12"/>
  <c r="AL49" i="12"/>
  <c r="AL52" i="12" s="1"/>
  <c r="AL58" i="12" s="1"/>
  <c r="AK28" i="4"/>
  <c r="AK27" i="12"/>
  <c r="AK58" i="12"/>
  <c r="AJ29" i="4"/>
  <c r="AJ31" i="4"/>
  <c r="AJ39" i="4"/>
  <c r="AJ20" i="6"/>
  <c r="AI34" i="4"/>
  <c r="AI21" i="6"/>
  <c r="AI40" i="4"/>
  <c r="AI39" i="6"/>
  <c r="AI28" i="6"/>
  <c r="AI58" i="6"/>
  <c r="AI32" i="6"/>
  <c r="AH33" i="6"/>
  <c r="AH61" i="6"/>
  <c r="AH45" i="4"/>
  <c r="AH40" i="6"/>
  <c r="AH47" i="6"/>
  <c r="AH51" i="6"/>
  <c r="AH15" i="5"/>
  <c r="AH29" i="6"/>
  <c r="AH30" i="6"/>
  <c r="AH66" i="6"/>
  <c r="AH67" i="6" s="1"/>
  <c r="AH70" i="6"/>
  <c r="AG52" i="6"/>
  <c r="AI20" i="5"/>
  <c r="AG48" i="6"/>
  <c r="AG49" i="6"/>
  <c r="AG68" i="6" s="1"/>
  <c r="AG16" i="5"/>
  <c r="AG17" i="5"/>
  <c r="AG35" i="6"/>
  <c r="AF53" i="6"/>
  <c r="AF54" i="6" s="1"/>
  <c r="AF71" i="6"/>
  <c r="AE72" i="6"/>
  <c r="AE54" i="6"/>
  <c r="AE73" i="6" s="1"/>
  <c r="AD73" i="6"/>
  <c r="AD55" i="6"/>
  <c r="AD74" i="6" s="1"/>
  <c r="AE29" i="5"/>
  <c r="AM8" i="12"/>
  <c r="AL10" i="12"/>
  <c r="AL11" i="12" s="1"/>
  <c r="AC30" i="5"/>
  <c r="Z13" i="9"/>
  <c r="AF68" i="6"/>
  <c r="AF50" i="6"/>
  <c r="AF55" i="6" s="1"/>
  <c r="AF49" i="6"/>
  <c r="AF48" i="6"/>
  <c r="AF72" i="6"/>
  <c r="AF35" i="6"/>
  <c r="AF73" i="6" s="1"/>
  <c r="AE55" i="6"/>
  <c r="AE74" i="6" s="1"/>
  <c r="AG31" i="6"/>
  <c r="AE69" i="6"/>
  <c r="AG59" i="6"/>
  <c r="AF66" i="6"/>
  <c r="AF67" i="6" s="1"/>
  <c r="AF31" i="6"/>
  <c r="AO12" i="12" l="1"/>
  <c r="AN22" i="12"/>
  <c r="AM24" i="12"/>
  <c r="AM49" i="12"/>
  <c r="AM52" i="12" s="1"/>
  <c r="AL28" i="4"/>
  <c r="AL27" i="12"/>
  <c r="AK29" i="4"/>
  <c r="AK31" i="4"/>
  <c r="AK23" i="6" s="1"/>
  <c r="AK61" i="6" s="1"/>
  <c r="AK39" i="4"/>
  <c r="AK20" i="6"/>
  <c r="AJ34" i="4"/>
  <c r="AJ21" i="6"/>
  <c r="AJ23" i="6"/>
  <c r="AJ40" i="4"/>
  <c r="AJ39" i="6"/>
  <c r="AJ28" i="6"/>
  <c r="AJ32" i="6"/>
  <c r="AJ58" i="6"/>
  <c r="AI33" i="6"/>
  <c r="AI45" i="4"/>
  <c r="AI40" i="6"/>
  <c r="AI51" i="6"/>
  <c r="AI47" i="6"/>
  <c r="AI15" i="5"/>
  <c r="AI30" i="6"/>
  <c r="AI66" i="6"/>
  <c r="AI67" i="6" s="1"/>
  <c r="AI29" i="6"/>
  <c r="AI34" i="6"/>
  <c r="AI70" i="6"/>
  <c r="AJ20" i="5"/>
  <c r="AJ27" i="5" s="1"/>
  <c r="AH52" i="6"/>
  <c r="AH49" i="6"/>
  <c r="AH48" i="6"/>
  <c r="AH50" i="6"/>
  <c r="AH16" i="5"/>
  <c r="AG53" i="6"/>
  <c r="AG71" i="6"/>
  <c r="AI27" i="5"/>
  <c r="AG29" i="5"/>
  <c r="BQ8" i="12"/>
  <c r="AN8" i="12"/>
  <c r="AM10" i="12"/>
  <c r="AM11" i="12" s="1"/>
  <c r="AD30" i="5"/>
  <c r="AA13" i="9"/>
  <c r="AH25" i="5"/>
  <c r="AG69" i="6"/>
  <c r="AG36" i="6"/>
  <c r="AF69" i="6"/>
  <c r="AF36" i="6"/>
  <c r="AF74" i="6" s="1"/>
  <c r="AH34" i="6"/>
  <c r="AG50" i="6"/>
  <c r="AH59" i="6"/>
  <c r="AH31" i="6"/>
  <c r="AP12" i="12" l="1"/>
  <c r="AO22" i="12"/>
  <c r="AN24" i="12"/>
  <c r="AN49" i="12"/>
  <c r="AN52" i="12" s="1"/>
  <c r="BQ24" i="12"/>
  <c r="AM28" i="4"/>
  <c r="AM27" i="12"/>
  <c r="BQ52" i="12"/>
  <c r="AM58" i="12"/>
  <c r="BQ58" i="12" s="1"/>
  <c r="BN28" i="4"/>
  <c r="AL29" i="4"/>
  <c r="AL31" i="4"/>
  <c r="AL39" i="4"/>
  <c r="AL20" i="6"/>
  <c r="AK34" i="4"/>
  <c r="AK21" i="6"/>
  <c r="AK40" i="4"/>
  <c r="AK39" i="6"/>
  <c r="AK28" i="6"/>
  <c r="AK32" i="6"/>
  <c r="AK58" i="6"/>
  <c r="AJ33" i="6"/>
  <c r="AJ59" i="6"/>
  <c r="AJ61" i="6"/>
  <c r="AJ45" i="4"/>
  <c r="AJ40" i="6"/>
  <c r="AJ47" i="6"/>
  <c r="AJ51" i="6"/>
  <c r="AJ15" i="5"/>
  <c r="AJ30" i="6"/>
  <c r="AJ31" i="6"/>
  <c r="AJ29" i="6"/>
  <c r="AJ66" i="6"/>
  <c r="AJ67" i="6" s="1"/>
  <c r="AJ70" i="6"/>
  <c r="AI52" i="6"/>
  <c r="AK20" i="5"/>
  <c r="AI48" i="6"/>
  <c r="AI49" i="6"/>
  <c r="AI16" i="5"/>
  <c r="AI35" i="6"/>
  <c r="AH53" i="6"/>
  <c r="AH54" i="6" s="1"/>
  <c r="AH55" i="6" s="1"/>
  <c r="AH71" i="6"/>
  <c r="AH68" i="6"/>
  <c r="AG72" i="6"/>
  <c r="AG54" i="6"/>
  <c r="AO8" i="12"/>
  <c r="AN10" i="12"/>
  <c r="AN11" i="12" s="1"/>
  <c r="AE30" i="5"/>
  <c r="AB13" i="9"/>
  <c r="AH27" i="5"/>
  <c r="AH72" i="6"/>
  <c r="AH35" i="6"/>
  <c r="AH73" i="6" s="1"/>
  <c r="AH69" i="6"/>
  <c r="AH17" i="5"/>
  <c r="AI31" i="6"/>
  <c r="AI59" i="6"/>
  <c r="AQ12" i="12" l="1"/>
  <c r="AP22" i="12"/>
  <c r="AO24" i="12"/>
  <c r="AO49" i="12"/>
  <c r="AO52" i="12" s="1"/>
  <c r="AO58" i="12" s="1"/>
  <c r="AN28" i="4"/>
  <c r="AN27" i="12"/>
  <c r="AN58" i="12"/>
  <c r="AM29" i="4"/>
  <c r="AM31" i="4"/>
  <c r="AM23" i="6" s="1"/>
  <c r="AM61" i="6" s="1"/>
  <c r="AM39" i="4"/>
  <c r="AM20" i="6"/>
  <c r="BN29" i="4"/>
  <c r="AL34" i="4"/>
  <c r="AL21" i="6"/>
  <c r="BN31" i="4"/>
  <c r="AL23" i="6"/>
  <c r="AL40" i="4"/>
  <c r="AL39" i="6"/>
  <c r="BN20" i="6"/>
  <c r="AL32" i="6"/>
  <c r="AL58" i="6"/>
  <c r="AK33" i="6"/>
  <c r="AK45" i="4"/>
  <c r="AK40" i="6"/>
  <c r="AK47" i="6"/>
  <c r="AK51" i="6"/>
  <c r="AK15" i="5"/>
  <c r="AK30" i="6"/>
  <c r="AK29" i="6"/>
  <c r="AL20" i="5"/>
  <c r="AL27" i="5" s="1"/>
  <c r="AJ52" i="6"/>
  <c r="AJ49" i="6"/>
  <c r="AJ48" i="6"/>
  <c r="AJ16" i="5"/>
  <c r="AJ17" i="5"/>
  <c r="AJ29" i="5" s="1"/>
  <c r="AI71" i="6"/>
  <c r="AI53" i="6"/>
  <c r="AI68" i="6"/>
  <c r="AG55" i="6"/>
  <c r="AG74" i="6" s="1"/>
  <c r="AG73" i="6"/>
  <c r="AP8" i="12"/>
  <c r="AO10" i="12"/>
  <c r="AO11" i="12" s="1"/>
  <c r="AF30" i="5"/>
  <c r="AC13" i="9"/>
  <c r="AH29" i="5"/>
  <c r="AI36" i="6"/>
  <c r="AJ34" i="6"/>
  <c r="AI50" i="6"/>
  <c r="AI17" i="5"/>
  <c r="AI29" i="5" s="1"/>
  <c r="AH36" i="6"/>
  <c r="AH74" i="6" s="1"/>
  <c r="AR12" i="12" l="1"/>
  <c r="AQ22" i="12"/>
  <c r="AP24" i="12"/>
  <c r="AP49" i="12"/>
  <c r="AP52" i="12" s="1"/>
  <c r="AO28" i="4"/>
  <c r="AO27" i="12"/>
  <c r="AN29" i="4"/>
  <c r="AN31" i="4"/>
  <c r="AN39" i="4"/>
  <c r="AN20" i="6"/>
  <c r="AM34" i="4"/>
  <c r="BN34" i="4" s="1"/>
  <c r="AM21" i="6"/>
  <c r="AM40" i="4"/>
  <c r="AM39" i="6"/>
  <c r="AM28" i="6"/>
  <c r="AM32" i="6"/>
  <c r="AM58" i="6"/>
  <c r="BN21" i="6"/>
  <c r="AL33" i="6"/>
  <c r="AL59" i="6"/>
  <c r="BN23" i="6"/>
  <c r="AL61" i="6"/>
  <c r="AL45" i="4"/>
  <c r="AL40" i="6"/>
  <c r="AL47" i="6"/>
  <c r="AL51" i="6"/>
  <c r="AL15" i="5"/>
  <c r="B7" i="9"/>
  <c r="G28" i="1"/>
  <c r="AK52" i="6"/>
  <c r="AM20" i="5"/>
  <c r="AK48" i="6"/>
  <c r="AK49" i="6"/>
  <c r="AK16" i="5"/>
  <c r="AK68" i="6"/>
  <c r="AJ71" i="6"/>
  <c r="AJ53" i="6"/>
  <c r="AJ54" i="6" s="1"/>
  <c r="AK25" i="5"/>
  <c r="AJ68" i="6"/>
  <c r="AI72" i="6"/>
  <c r="AI54" i="6"/>
  <c r="AI73" i="6" s="1"/>
  <c r="AQ8" i="12"/>
  <c r="AP10" i="12"/>
  <c r="AP11" i="12" s="1"/>
  <c r="AG30" i="5"/>
  <c r="AD13" i="9"/>
  <c r="AJ35" i="6"/>
  <c r="AK59" i="6"/>
  <c r="AL28" i="6"/>
  <c r="AK31" i="6"/>
  <c r="AK66" i="6"/>
  <c r="AK67" i="6" s="1"/>
  <c r="AK34" i="6"/>
  <c r="AK70" i="6"/>
  <c r="AJ50" i="6"/>
  <c r="AI69" i="6"/>
  <c r="BN39" i="4"/>
  <c r="AS12" i="12" l="1"/>
  <c r="AR22" i="12"/>
  <c r="AQ24" i="12"/>
  <c r="AQ49" i="12"/>
  <c r="AQ52" i="12" s="1"/>
  <c r="AQ58" i="12" s="1"/>
  <c r="AP28" i="4"/>
  <c r="AP27" i="12"/>
  <c r="AP58" i="12"/>
  <c r="AO29" i="4"/>
  <c r="AO31" i="4"/>
  <c r="AO23" i="6" s="1"/>
  <c r="AO61" i="6" s="1"/>
  <c r="AO39" i="4"/>
  <c r="AO20" i="6"/>
  <c r="AN34" i="4"/>
  <c r="AN21" i="6"/>
  <c r="AN23" i="6"/>
  <c r="AN40" i="4"/>
  <c r="AN39" i="6"/>
  <c r="AN28" i="6"/>
  <c r="AN58" i="6"/>
  <c r="AN32" i="6"/>
  <c r="AM33" i="6"/>
  <c r="AM59" i="6"/>
  <c r="AM45" i="4"/>
  <c r="BN45" i="4" s="1"/>
  <c r="AM40" i="6"/>
  <c r="AM51" i="6"/>
  <c r="AM47" i="6"/>
  <c r="AM15" i="5"/>
  <c r="AM29" i="6"/>
  <c r="AM66" i="6"/>
  <c r="AM67" i="6" s="1"/>
  <c r="AM30" i="6"/>
  <c r="AM70" i="6"/>
  <c r="BN32" i="6"/>
  <c r="G29" i="1"/>
  <c r="BN61" i="6"/>
  <c r="G65" i="1" s="1"/>
  <c r="G31" i="1"/>
  <c r="AN20" i="5"/>
  <c r="AL52" i="6"/>
  <c r="AL49" i="6"/>
  <c r="AL48" i="6"/>
  <c r="AL50" i="6"/>
  <c r="AL16" i="5"/>
  <c r="AK53" i="6"/>
  <c r="AK54" i="6" s="1"/>
  <c r="AK71" i="6"/>
  <c r="BN20" i="5"/>
  <c r="AM27" i="5"/>
  <c r="AK27" i="5"/>
  <c r="BN27" i="5" s="1"/>
  <c r="BN25" i="5"/>
  <c r="AR8" i="12"/>
  <c r="AQ10" i="12"/>
  <c r="AQ11" i="12" s="1"/>
  <c r="AH30" i="5"/>
  <c r="AE13" i="9"/>
  <c r="AJ36" i="6"/>
  <c r="AJ73" i="6"/>
  <c r="AL30" i="6"/>
  <c r="AL66" i="6"/>
  <c r="AL67" i="6" s="1"/>
  <c r="AL29" i="6"/>
  <c r="AL31" i="6"/>
  <c r="BN28" i="6"/>
  <c r="AK35" i="6"/>
  <c r="AK73" i="6" s="1"/>
  <c r="AK72" i="6"/>
  <c r="AJ69" i="6"/>
  <c r="AJ55" i="6"/>
  <c r="AL70" i="6"/>
  <c r="AL34" i="6"/>
  <c r="AK17" i="5"/>
  <c r="AK50" i="6"/>
  <c r="AK55" i="6" s="1"/>
  <c r="AJ72" i="6"/>
  <c r="AI55" i="6"/>
  <c r="AI74" i="6" s="1"/>
  <c r="BN39" i="6"/>
  <c r="BN40" i="4"/>
  <c r="AT12" i="12" l="1"/>
  <c r="AS22" i="12"/>
  <c r="AR24" i="12"/>
  <c r="AR49" i="12"/>
  <c r="AR52" i="12" s="1"/>
  <c r="AQ28" i="4"/>
  <c r="AQ27" i="12"/>
  <c r="AP29" i="4"/>
  <c r="AP31" i="4"/>
  <c r="AP39" i="4"/>
  <c r="AP20" i="6"/>
  <c r="AO34" i="4"/>
  <c r="AO21" i="6"/>
  <c r="AO40" i="4"/>
  <c r="AO39" i="6"/>
  <c r="AO28" i="6"/>
  <c r="AO58" i="6"/>
  <c r="AO32" i="6"/>
  <c r="AN33" i="6"/>
  <c r="AN61" i="6"/>
  <c r="AN45" i="4"/>
  <c r="AN40" i="6"/>
  <c r="AN47" i="6"/>
  <c r="AN51" i="6"/>
  <c r="AN15" i="5"/>
  <c r="AN29" i="6"/>
  <c r="AN30" i="6"/>
  <c r="AN31" i="6"/>
  <c r="BN33" i="6"/>
  <c r="BN40" i="6"/>
  <c r="AO20" i="5"/>
  <c r="AO27" i="5" s="1"/>
  <c r="AM52" i="6"/>
  <c r="BN52" i="6" s="1"/>
  <c r="BN51" i="6"/>
  <c r="BN70" i="6" s="1"/>
  <c r="G88" i="1" s="1"/>
  <c r="AM53" i="6"/>
  <c r="BN47" i="6"/>
  <c r="AM48" i="6"/>
  <c r="AM49" i="6"/>
  <c r="AM68" i="6" s="1"/>
  <c r="BN15" i="5"/>
  <c r="AM16" i="5"/>
  <c r="BN16" i="5" s="1"/>
  <c r="AM17" i="5"/>
  <c r="AM29" i="5" s="1"/>
  <c r="AL71" i="6"/>
  <c r="AL53" i="6"/>
  <c r="AL54" i="6" s="1"/>
  <c r="AL55" i="6" s="1"/>
  <c r="AS8" i="12"/>
  <c r="AR10" i="12"/>
  <c r="AR11" i="12" s="1"/>
  <c r="AI30" i="5"/>
  <c r="AF13" i="9"/>
  <c r="BN30" i="6"/>
  <c r="AL68" i="6"/>
  <c r="AL69" i="6"/>
  <c r="G38" i="1"/>
  <c r="G36" i="1"/>
  <c r="BN29" i="6"/>
  <c r="E7" i="9"/>
  <c r="BN66" i="6"/>
  <c r="AL35" i="6"/>
  <c r="AL73" i="6" s="1"/>
  <c r="AL72" i="6"/>
  <c r="AK29" i="5"/>
  <c r="BN58" i="6"/>
  <c r="C7" i="9"/>
  <c r="G45" i="1"/>
  <c r="AM31" i="6"/>
  <c r="AM34" i="6"/>
  <c r="AL17" i="5"/>
  <c r="AL29" i="5" s="1"/>
  <c r="BN49" i="6"/>
  <c r="G54" i="1" s="1"/>
  <c r="AJ74" i="6"/>
  <c r="AK36" i="6"/>
  <c r="AK74" i="6" s="1"/>
  <c r="AK69" i="6"/>
  <c r="AU12" i="12" l="1"/>
  <c r="AT22" i="12"/>
  <c r="AS24" i="12"/>
  <c r="AS49" i="12"/>
  <c r="AS52" i="12" s="1"/>
  <c r="AS58" i="12" s="1"/>
  <c r="AR28" i="4"/>
  <c r="AR27" i="12"/>
  <c r="AR58" i="12"/>
  <c r="AQ29" i="4"/>
  <c r="AQ31" i="4"/>
  <c r="AQ23" i="6" s="1"/>
  <c r="AQ61" i="6" s="1"/>
  <c r="AQ39" i="4"/>
  <c r="AQ20" i="6"/>
  <c r="AP34" i="4"/>
  <c r="AP21" i="6"/>
  <c r="AP23" i="6"/>
  <c r="AP40" i="4"/>
  <c r="AP39" i="6"/>
  <c r="AP28" i="6"/>
  <c r="AP58" i="6"/>
  <c r="AP32" i="6"/>
  <c r="AO33" i="6"/>
  <c r="AO45" i="4"/>
  <c r="AO40" i="6"/>
  <c r="AO51" i="6"/>
  <c r="AO15" i="5"/>
  <c r="AO29" i="6"/>
  <c r="AO30" i="6"/>
  <c r="AN52" i="6"/>
  <c r="AP20" i="5"/>
  <c r="AN49" i="6"/>
  <c r="AN50" i="6"/>
  <c r="AN48" i="6"/>
  <c r="AN16" i="5"/>
  <c r="AN17" i="5"/>
  <c r="AN68" i="6"/>
  <c r="AN69" i="6"/>
  <c r="BN59" i="6"/>
  <c r="G63" i="1" s="1"/>
  <c r="G46" i="1"/>
  <c r="BN53" i="6"/>
  <c r="BN54" i="6" s="1"/>
  <c r="G56" i="1" s="1"/>
  <c r="AM54" i="6"/>
  <c r="G55" i="1"/>
  <c r="G53" i="1"/>
  <c r="F7" i="9"/>
  <c r="D16" i="8"/>
  <c r="E16" i="8" s="1"/>
  <c r="BN48" i="6"/>
  <c r="AT8" i="12"/>
  <c r="AS10" i="12"/>
  <c r="AS11" i="12" s="1"/>
  <c r="AJ30" i="5"/>
  <c r="AG13" i="9"/>
  <c r="G37" i="1"/>
  <c r="BN68" i="6"/>
  <c r="G71" i="1" s="1"/>
  <c r="BN67" i="6"/>
  <c r="G7" i="9"/>
  <c r="G70" i="1"/>
  <c r="G72" i="1"/>
  <c r="G62" i="1"/>
  <c r="D7" i="9"/>
  <c r="BN31" i="6"/>
  <c r="AM72" i="6"/>
  <c r="AM35" i="6"/>
  <c r="AM73" i="6" s="1"/>
  <c r="BN34" i="6"/>
  <c r="AN66" i="6"/>
  <c r="AN67" i="6" s="1"/>
  <c r="AN34" i="6"/>
  <c r="AN70" i="6"/>
  <c r="BN71" i="6"/>
  <c r="G89" i="1" s="1"/>
  <c r="AM71" i="6"/>
  <c r="BN17" i="5"/>
  <c r="AM50" i="6"/>
  <c r="AL36" i="6"/>
  <c r="AL74" i="6" s="1"/>
  <c r="BN29" i="5"/>
  <c r="AN59" i="6"/>
  <c r="AN25" i="5"/>
  <c r="AV12" i="12" l="1"/>
  <c r="AU22" i="12"/>
  <c r="AT24" i="12"/>
  <c r="AT49" i="12"/>
  <c r="AT52" i="12" s="1"/>
  <c r="AS28" i="4"/>
  <c r="AS27" i="12"/>
  <c r="AR29" i="4"/>
  <c r="AR31" i="4"/>
  <c r="AR23" i="6" s="1"/>
  <c r="AR61" i="6" s="1"/>
  <c r="AR39" i="4"/>
  <c r="AR20" i="6"/>
  <c r="AQ34" i="4"/>
  <c r="AQ21" i="6"/>
  <c r="AQ40" i="4"/>
  <c r="AQ39" i="6"/>
  <c r="AQ28" i="6"/>
  <c r="AQ32" i="6"/>
  <c r="AQ58" i="6"/>
  <c r="AP33" i="6"/>
  <c r="AP61" i="6"/>
  <c r="AP45" i="4"/>
  <c r="AP40" i="6"/>
  <c r="AP51" i="6"/>
  <c r="AP47" i="6"/>
  <c r="AP15" i="5"/>
  <c r="AP29" i="6"/>
  <c r="AP66" i="6"/>
  <c r="AP67" i="6" s="1"/>
  <c r="AP30" i="6"/>
  <c r="AP31" i="6"/>
  <c r="AO52" i="6"/>
  <c r="AQ20" i="5"/>
  <c r="AO16" i="5"/>
  <c r="AO17" i="5"/>
  <c r="AO29" i="5" s="1"/>
  <c r="AN53" i="6"/>
  <c r="AN54" i="6" s="1"/>
  <c r="AN71" i="6"/>
  <c r="AP27" i="5"/>
  <c r="AN55" i="6"/>
  <c r="AU8" i="12"/>
  <c r="AT10" i="12"/>
  <c r="AT11" i="12" s="1"/>
  <c r="AK30" i="5"/>
  <c r="AH13" i="9"/>
  <c r="BN72" i="6"/>
  <c r="G87" i="1" s="1"/>
  <c r="BN35" i="6"/>
  <c r="AN35" i="6"/>
  <c r="AN72" i="6"/>
  <c r="BN50" i="6"/>
  <c r="BN55" i="6" s="1"/>
  <c r="AM55" i="6"/>
  <c r="AN27" i="5"/>
  <c r="AO59" i="6"/>
  <c r="AO47" i="6"/>
  <c r="AO31" i="6"/>
  <c r="AO34" i="6"/>
  <c r="AO70" i="6"/>
  <c r="AM69" i="6"/>
  <c r="AM36" i="6"/>
  <c r="AM74" i="6" s="1"/>
  <c r="AW12" i="12" l="1"/>
  <c r="AV22" i="12"/>
  <c r="AU24" i="12"/>
  <c r="AU49" i="12"/>
  <c r="AU52" i="12" s="1"/>
  <c r="AU58" i="12" s="1"/>
  <c r="AT28" i="4"/>
  <c r="AT27" i="12"/>
  <c r="AT58" i="12"/>
  <c r="AS29" i="4"/>
  <c r="AS31" i="4"/>
  <c r="AS23" i="6" s="1"/>
  <c r="AS61" i="6" s="1"/>
  <c r="AS39" i="4"/>
  <c r="AS20" i="6"/>
  <c r="AR34" i="4"/>
  <c r="AR21" i="6"/>
  <c r="AR40" i="4"/>
  <c r="AR39" i="6"/>
  <c r="AR32" i="6"/>
  <c r="AR28" i="6"/>
  <c r="AR58" i="6"/>
  <c r="AQ33" i="6"/>
  <c r="AQ45" i="4"/>
  <c r="AQ40" i="6"/>
  <c r="AQ51" i="6"/>
  <c r="AQ47" i="6"/>
  <c r="AQ15" i="5"/>
  <c r="AQ29" i="6"/>
  <c r="AQ30" i="6"/>
  <c r="AR20" i="5"/>
  <c r="AP52" i="6"/>
  <c r="AP49" i="6"/>
  <c r="AP68" i="6" s="1"/>
  <c r="AP48" i="6"/>
  <c r="AP50" i="6"/>
  <c r="AP16" i="5"/>
  <c r="AO53" i="6"/>
  <c r="AO54" i="6" s="1"/>
  <c r="AO71" i="6"/>
  <c r="AV8" i="12"/>
  <c r="AU10" i="12"/>
  <c r="AU11" i="12" s="1"/>
  <c r="AL30" i="5"/>
  <c r="AI13" i="9"/>
  <c r="BN73" i="6"/>
  <c r="G73" i="1" s="1"/>
  <c r="G39" i="1"/>
  <c r="AN36" i="6"/>
  <c r="AN74" i="6" s="1"/>
  <c r="AN73" i="6"/>
  <c r="H7" i="9"/>
  <c r="G57" i="1"/>
  <c r="AO49" i="6"/>
  <c r="AO48" i="6"/>
  <c r="AO50" i="6"/>
  <c r="AO66" i="6"/>
  <c r="AO67" i="6" s="1"/>
  <c r="AO72" i="6"/>
  <c r="AO35" i="6"/>
  <c r="AO73" i="6" s="1"/>
  <c r="AP59" i="6"/>
  <c r="BN69" i="6"/>
  <c r="BN36" i="6"/>
  <c r="AP34" i="6"/>
  <c r="AP70" i="6"/>
  <c r="AN29" i="5"/>
  <c r="AX12" i="12" l="1"/>
  <c r="AW22" i="12"/>
  <c r="AV24" i="12"/>
  <c r="AV49" i="12"/>
  <c r="AV52" i="12" s="1"/>
  <c r="AU28" i="4"/>
  <c r="AU27" i="12"/>
  <c r="AT29" i="4"/>
  <c r="AT31" i="4"/>
  <c r="AT39" i="4"/>
  <c r="AT20" i="6"/>
  <c r="AS34" i="4"/>
  <c r="AS21" i="6"/>
  <c r="AS40" i="4"/>
  <c r="AS39" i="6"/>
  <c r="AS32" i="6"/>
  <c r="AS58" i="6"/>
  <c r="AS28" i="6"/>
  <c r="AR33" i="6"/>
  <c r="AR45" i="4"/>
  <c r="AR40" i="6"/>
  <c r="AR51" i="6"/>
  <c r="AR15" i="5"/>
  <c r="AR30" i="6"/>
  <c r="AR29" i="6"/>
  <c r="AQ52" i="6"/>
  <c r="AS20" i="5"/>
  <c r="AS27" i="5" s="1"/>
  <c r="AQ48" i="6"/>
  <c r="AQ49" i="6"/>
  <c r="AQ16" i="5"/>
  <c r="AQ68" i="6"/>
  <c r="AR27" i="5"/>
  <c r="AP53" i="6"/>
  <c r="AP54" i="6" s="1"/>
  <c r="AP55" i="6" s="1"/>
  <c r="AP71" i="6"/>
  <c r="AW8" i="12"/>
  <c r="AV10" i="12"/>
  <c r="AV11" i="12" s="1"/>
  <c r="AM30" i="5"/>
  <c r="AJ13" i="9"/>
  <c r="AQ25" i="5"/>
  <c r="AO68" i="6"/>
  <c r="AO55" i="6"/>
  <c r="BN74" i="6"/>
  <c r="G74" i="1" s="1"/>
  <c r="G40" i="1"/>
  <c r="AP72" i="6"/>
  <c r="AP35" i="6"/>
  <c r="AQ59" i="6"/>
  <c r="AQ31" i="6"/>
  <c r="AQ66" i="6"/>
  <c r="AQ67" i="6" s="1"/>
  <c r="AQ70" i="6"/>
  <c r="AQ34" i="6"/>
  <c r="AP69" i="6"/>
  <c r="AO69" i="6"/>
  <c r="AO36" i="6"/>
  <c r="AO74" i="6" s="1"/>
  <c r="AP17" i="5"/>
  <c r="AY12" i="12" l="1"/>
  <c r="AX22" i="12"/>
  <c r="AW24" i="12"/>
  <c r="AW49" i="12"/>
  <c r="AW52" i="12" s="1"/>
  <c r="AW58" i="12" s="1"/>
  <c r="AV28" i="4"/>
  <c r="AV27" i="12"/>
  <c r="AV58" i="12"/>
  <c r="AU29" i="4"/>
  <c r="AU31" i="4"/>
  <c r="AU23" i="6" s="1"/>
  <c r="AU61" i="6" s="1"/>
  <c r="AU39" i="4"/>
  <c r="AU20" i="6"/>
  <c r="AT34" i="4"/>
  <c r="AT21" i="6"/>
  <c r="AT23" i="6"/>
  <c r="AT40" i="4"/>
  <c r="AT39" i="6"/>
  <c r="AT32" i="6"/>
  <c r="AT58" i="6"/>
  <c r="AS33" i="6"/>
  <c r="AS45" i="4"/>
  <c r="AS40" i="6"/>
  <c r="AS51" i="6"/>
  <c r="AS47" i="6"/>
  <c r="AS15" i="5"/>
  <c r="AS34" i="6"/>
  <c r="AS70" i="6"/>
  <c r="AS30" i="6"/>
  <c r="AS66" i="6"/>
  <c r="AS67" i="6" s="1"/>
  <c r="AS29" i="6"/>
  <c r="AS31" i="6"/>
  <c r="AT20" i="5"/>
  <c r="AR52" i="6"/>
  <c r="AR16" i="5"/>
  <c r="AR17" i="5"/>
  <c r="AR29" i="5" s="1"/>
  <c r="AQ53" i="6"/>
  <c r="AQ54" i="6" s="1"/>
  <c r="AQ71" i="6"/>
  <c r="AX8" i="12"/>
  <c r="AW10" i="12"/>
  <c r="AW11" i="12" s="1"/>
  <c r="AN30" i="5"/>
  <c r="BN30" i="5"/>
  <c r="AK13" i="9"/>
  <c r="AQ27" i="5"/>
  <c r="AP36" i="6"/>
  <c r="AP74" i="6" s="1"/>
  <c r="AP73" i="6"/>
  <c r="AQ72" i="6"/>
  <c r="AQ35" i="6"/>
  <c r="AQ73" i="6" s="1"/>
  <c r="AP29" i="5"/>
  <c r="AR59" i="6"/>
  <c r="AR47" i="6"/>
  <c r="AR34" i="6"/>
  <c r="AR70" i="6"/>
  <c r="AR31" i="6"/>
  <c r="AQ50" i="6"/>
  <c r="AQ17" i="5"/>
  <c r="BS12" i="12" l="1"/>
  <c r="AZ12" i="12"/>
  <c r="AY22" i="12"/>
  <c r="AX24" i="12"/>
  <c r="AX49" i="12"/>
  <c r="AX52" i="12" s="1"/>
  <c r="AW28" i="4"/>
  <c r="AW27" i="12"/>
  <c r="AV29" i="4"/>
  <c r="AV31" i="4"/>
  <c r="AV23" i="6" s="1"/>
  <c r="AV61" i="6" s="1"/>
  <c r="AV39" i="4"/>
  <c r="AV20" i="6"/>
  <c r="AU34" i="4"/>
  <c r="AU21" i="6"/>
  <c r="AU40" i="4"/>
  <c r="AU39" i="6"/>
  <c r="AU28" i="6"/>
  <c r="AU32" i="6"/>
  <c r="AU58" i="6"/>
  <c r="AT33" i="6"/>
  <c r="AT61" i="6"/>
  <c r="AT45" i="4"/>
  <c r="AT40" i="6"/>
  <c r="AT51" i="6"/>
  <c r="AT15" i="5"/>
  <c r="AT34" i="6"/>
  <c r="AT70" i="6"/>
  <c r="AU20" i="5"/>
  <c r="AU27" i="5" s="1"/>
  <c r="AS52" i="6"/>
  <c r="AS48" i="6"/>
  <c r="AS49" i="6"/>
  <c r="AS68" i="6" s="1"/>
  <c r="AS16" i="5"/>
  <c r="AS17" i="5"/>
  <c r="AS29" i="5" s="1"/>
  <c r="AS35" i="6"/>
  <c r="AS36" i="6"/>
  <c r="AR53" i="6"/>
  <c r="AR54" i="6" s="1"/>
  <c r="AR71" i="6"/>
  <c r="BS8" i="12"/>
  <c r="AY8" i="12"/>
  <c r="AX10" i="12"/>
  <c r="AX11" i="12" s="1"/>
  <c r="AO30" i="5"/>
  <c r="AL13" i="9"/>
  <c r="AR48" i="6"/>
  <c r="AR49" i="6"/>
  <c r="AR66" i="6"/>
  <c r="AR67" i="6" s="1"/>
  <c r="AR72" i="6"/>
  <c r="AR35" i="6"/>
  <c r="AR73" i="6" s="1"/>
  <c r="AR36" i="6"/>
  <c r="AQ55" i="6"/>
  <c r="AT28" i="6"/>
  <c r="AS59" i="6"/>
  <c r="AQ69" i="6"/>
  <c r="AQ36" i="6"/>
  <c r="AQ74" i="6" s="1"/>
  <c r="AQ29" i="5"/>
  <c r="BA12" i="12" l="1"/>
  <c r="AZ22" i="12"/>
  <c r="AY24" i="12"/>
  <c r="AY49" i="12"/>
  <c r="AY52" i="12" s="1"/>
  <c r="AY58" i="12" s="1"/>
  <c r="BS24" i="12"/>
  <c r="AX28" i="4"/>
  <c r="AX27" i="12"/>
  <c r="BS52" i="12"/>
  <c r="AX58" i="12"/>
  <c r="BS58" i="12" s="1"/>
  <c r="AW29" i="4"/>
  <c r="AW31" i="4"/>
  <c r="AW23" i="6" s="1"/>
  <c r="AW61" i="6" s="1"/>
  <c r="AW39" i="4"/>
  <c r="AW20" i="6"/>
  <c r="AV34" i="4"/>
  <c r="AV21" i="6"/>
  <c r="AV40" i="4"/>
  <c r="AV39" i="6"/>
  <c r="AV28" i="6"/>
  <c r="AV32" i="6"/>
  <c r="AV58" i="6"/>
  <c r="AU33" i="6"/>
  <c r="AU45" i="4"/>
  <c r="AU40" i="6"/>
  <c r="AU51" i="6"/>
  <c r="AU47" i="6"/>
  <c r="AU15" i="5"/>
  <c r="AU29" i="6"/>
  <c r="AU66" i="6"/>
  <c r="AU67" i="6" s="1"/>
  <c r="AU30" i="6"/>
  <c r="AU34" i="6"/>
  <c r="AU70" i="6"/>
  <c r="AT52" i="6"/>
  <c r="AV20" i="5"/>
  <c r="AT16" i="5"/>
  <c r="AT17" i="5"/>
  <c r="AT35" i="6"/>
  <c r="AS53" i="6"/>
  <c r="AS71" i="6"/>
  <c r="AZ8" i="12"/>
  <c r="AY10" i="12"/>
  <c r="AY11" i="12" s="1"/>
  <c r="AP30" i="5"/>
  <c r="AM13" i="9"/>
  <c r="AT25" i="5"/>
  <c r="AR68" i="6"/>
  <c r="AT29" i="6"/>
  <c r="AT30" i="6"/>
  <c r="AT59" i="6"/>
  <c r="AT47" i="6"/>
  <c r="AS50" i="6"/>
  <c r="AR50" i="6"/>
  <c r="BB12" i="12" l="1"/>
  <c r="BA22" i="12"/>
  <c r="AZ24" i="12"/>
  <c r="AZ49" i="12"/>
  <c r="AZ52" i="12" s="1"/>
  <c r="AY28" i="4"/>
  <c r="AY27" i="12"/>
  <c r="BO28" i="4"/>
  <c r="AX29" i="4"/>
  <c r="AX31" i="4"/>
  <c r="AX23" i="6" s="1"/>
  <c r="AX61" i="6" s="1"/>
  <c r="AX39" i="4"/>
  <c r="AX20" i="6"/>
  <c r="AW34" i="4"/>
  <c r="AW21" i="6"/>
  <c r="AW40" i="4"/>
  <c r="AW39" i="6"/>
  <c r="AW32" i="6"/>
  <c r="AW58" i="6"/>
  <c r="AV33" i="6"/>
  <c r="AV45" i="4"/>
  <c r="AV40" i="6"/>
  <c r="AV51" i="6"/>
  <c r="AV47" i="6"/>
  <c r="AV15" i="5"/>
  <c r="AV29" i="6"/>
  <c r="AV30" i="6"/>
  <c r="AV31" i="6"/>
  <c r="AV34" i="6"/>
  <c r="AW20" i="5"/>
  <c r="AU52" i="6"/>
  <c r="AU48" i="6"/>
  <c r="AU49" i="6"/>
  <c r="AU68" i="6" s="1"/>
  <c r="AU16" i="5"/>
  <c r="AU17" i="5"/>
  <c r="AU29" i="5" s="1"/>
  <c r="AU35" i="6"/>
  <c r="AT53" i="6"/>
  <c r="AT71" i="6"/>
  <c r="AV27" i="5"/>
  <c r="AS72" i="6"/>
  <c r="AS54" i="6"/>
  <c r="AS73" i="6" s="1"/>
  <c r="BA8" i="12"/>
  <c r="AZ10" i="12"/>
  <c r="AZ11" i="12" s="1"/>
  <c r="AQ30" i="5"/>
  <c r="AN13" i="9"/>
  <c r="AT27" i="5"/>
  <c r="AT48" i="6"/>
  <c r="AT49" i="6"/>
  <c r="AS69" i="6"/>
  <c r="AS55" i="6"/>
  <c r="AS74" i="6" s="1"/>
  <c r="AR69" i="6"/>
  <c r="AR55" i="6"/>
  <c r="AR74" i="6" s="1"/>
  <c r="AU31" i="6"/>
  <c r="AT31" i="6"/>
  <c r="AT66" i="6"/>
  <c r="AT67" i="6" s="1"/>
  <c r="AU59" i="6"/>
  <c r="BC12" i="12" l="1"/>
  <c r="BB22" i="12"/>
  <c r="BA24" i="12"/>
  <c r="BA49" i="12"/>
  <c r="BA52" i="12" s="1"/>
  <c r="BA58" i="12" s="1"/>
  <c r="AZ28" i="4"/>
  <c r="AZ27" i="12"/>
  <c r="AZ58" i="12"/>
  <c r="AY29" i="4"/>
  <c r="AY31" i="4"/>
  <c r="AY23" i="6" s="1"/>
  <c r="AY61" i="6" s="1"/>
  <c r="AY39" i="4"/>
  <c r="AY20" i="6"/>
  <c r="AX34" i="4"/>
  <c r="AX21" i="6"/>
  <c r="AX40" i="4"/>
  <c r="AX39" i="6"/>
  <c r="AX28" i="6"/>
  <c r="AX58" i="6"/>
  <c r="AX32" i="6"/>
  <c r="AW33" i="6"/>
  <c r="AW45" i="4"/>
  <c r="AW40" i="6"/>
  <c r="AW51" i="6"/>
  <c r="AW47" i="6"/>
  <c r="AW15" i="5"/>
  <c r="AX20" i="5"/>
  <c r="AV52" i="6"/>
  <c r="AV49" i="6"/>
  <c r="AV68" i="6" s="1"/>
  <c r="AV48" i="6"/>
  <c r="AV50" i="6"/>
  <c r="AV16" i="5"/>
  <c r="AV17" i="5"/>
  <c r="AV29" i="5" s="1"/>
  <c r="AV36" i="6"/>
  <c r="AV69" i="6"/>
  <c r="AV35" i="6"/>
  <c r="AU53" i="6"/>
  <c r="AU71" i="6"/>
  <c r="AT72" i="6"/>
  <c r="AT54" i="6"/>
  <c r="AT73" i="6" s="1"/>
  <c r="BB8" i="12"/>
  <c r="BA10" i="12"/>
  <c r="BA11" i="12" s="1"/>
  <c r="AR30" i="5"/>
  <c r="AO13" i="9"/>
  <c r="AU36" i="6"/>
  <c r="AT36" i="6"/>
  <c r="AW28" i="6"/>
  <c r="AV59" i="6"/>
  <c r="AV66" i="6"/>
  <c r="AV67" i="6" s="1"/>
  <c r="AV70" i="6"/>
  <c r="AU50" i="6"/>
  <c r="AT29" i="5"/>
  <c r="BO39" i="4"/>
  <c r="AT68" i="6"/>
  <c r="AT50" i="6"/>
  <c r="BO31" i="4"/>
  <c r="BO23" i="6"/>
  <c r="BO29" i="4"/>
  <c r="BO20" i="6"/>
  <c r="BD12" i="12" l="1"/>
  <c r="BC22" i="12"/>
  <c r="BB24" i="12"/>
  <c r="BB49" i="12"/>
  <c r="BB52" i="12" s="1"/>
  <c r="BA28" i="4"/>
  <c r="BA27" i="12"/>
  <c r="AZ29" i="4"/>
  <c r="AZ31" i="4"/>
  <c r="AZ39" i="4"/>
  <c r="AZ20" i="6"/>
  <c r="AY34" i="4"/>
  <c r="BO34" i="4" s="1"/>
  <c r="AY21" i="6"/>
  <c r="AY40" i="4"/>
  <c r="AY39" i="6"/>
  <c r="AY32" i="6"/>
  <c r="AY58" i="6"/>
  <c r="AX33" i="6"/>
  <c r="BO40" i="4"/>
  <c r="AX45" i="4"/>
  <c r="AX40" i="6"/>
  <c r="BO39" i="6"/>
  <c r="AX47" i="6"/>
  <c r="AX51" i="6"/>
  <c r="AX15" i="5"/>
  <c r="AX29" i="6"/>
  <c r="AX66" i="6"/>
  <c r="AX67" i="6" s="1"/>
  <c r="AX30" i="6"/>
  <c r="AX34" i="6"/>
  <c r="AX70" i="6"/>
  <c r="AY20" i="5"/>
  <c r="AY27" i="5" s="1"/>
  <c r="AW52" i="6"/>
  <c r="AW48" i="6"/>
  <c r="AW49" i="6"/>
  <c r="AW16" i="5"/>
  <c r="AW17" i="5"/>
  <c r="BO20" i="5"/>
  <c r="AX27" i="5"/>
  <c r="AV53" i="6"/>
  <c r="AV71" i="6"/>
  <c r="AU72" i="6"/>
  <c r="AU54" i="6"/>
  <c r="BC8" i="12"/>
  <c r="BB10" i="12"/>
  <c r="BB11" i="12" s="1"/>
  <c r="AS30" i="5"/>
  <c r="AP13" i="9"/>
  <c r="AW29" i="6"/>
  <c r="AW66" i="6"/>
  <c r="AW67" i="6" s="1"/>
  <c r="AW30" i="6"/>
  <c r="AT55" i="6"/>
  <c r="AT74" i="6" s="1"/>
  <c r="BO61" i="6"/>
  <c r="H65" i="1" s="1"/>
  <c r="H31" i="1"/>
  <c r="H28" i="1"/>
  <c r="B8" i="9"/>
  <c r="BO58" i="6"/>
  <c r="AW59" i="6"/>
  <c r="AW34" i="6"/>
  <c r="AW70" i="6"/>
  <c r="AT69" i="6"/>
  <c r="AW25" i="5"/>
  <c r="AU69" i="6"/>
  <c r="BE12" i="12" l="1"/>
  <c r="BD22" i="12"/>
  <c r="BC24" i="12"/>
  <c r="BC49" i="12"/>
  <c r="BC52" i="12" s="1"/>
  <c r="BC58" i="12" s="1"/>
  <c r="BB28" i="4"/>
  <c r="BB27" i="12"/>
  <c r="BB58" i="12"/>
  <c r="BA29" i="4"/>
  <c r="BA31" i="4"/>
  <c r="BA23" i="6" s="1"/>
  <c r="BA61" i="6" s="1"/>
  <c r="BA39" i="4"/>
  <c r="BA20" i="6"/>
  <c r="AZ34" i="4"/>
  <c r="AZ21" i="6"/>
  <c r="AZ23" i="6"/>
  <c r="AZ40" i="4"/>
  <c r="AZ39" i="6"/>
  <c r="AZ28" i="6"/>
  <c r="AZ32" i="6"/>
  <c r="BO21" i="6"/>
  <c r="AY33" i="6"/>
  <c r="AY45" i="4"/>
  <c r="BO45" i="4" s="1"/>
  <c r="AY40" i="6"/>
  <c r="AY47" i="6"/>
  <c r="AY51" i="6"/>
  <c r="AY15" i="5"/>
  <c r="AY70" i="6"/>
  <c r="AY34" i="6"/>
  <c r="BO32" i="6"/>
  <c r="AZ20" i="5"/>
  <c r="AX52" i="6"/>
  <c r="C8" i="9"/>
  <c r="H45" i="1"/>
  <c r="BO47" i="6"/>
  <c r="AX48" i="6"/>
  <c r="AX49" i="6"/>
  <c r="AX16" i="5"/>
  <c r="AX17" i="5"/>
  <c r="AX29" i="5" s="1"/>
  <c r="AX35" i="6"/>
  <c r="AW53" i="6"/>
  <c r="AW54" i="6" s="1"/>
  <c r="AW71" i="6"/>
  <c r="AW29" i="5"/>
  <c r="AV72" i="6"/>
  <c r="AV54" i="6"/>
  <c r="AU55" i="6"/>
  <c r="AU74" i="6" s="1"/>
  <c r="AU73" i="6"/>
  <c r="BD8" i="12"/>
  <c r="BC10" i="12"/>
  <c r="BC11" i="12" s="1"/>
  <c r="AT30" i="5"/>
  <c r="AQ13" i="9"/>
  <c r="AW68" i="6"/>
  <c r="D8" i="9"/>
  <c r="H62" i="1"/>
  <c r="AW35" i="6"/>
  <c r="AW27" i="5"/>
  <c r="BO27" i="5" s="1"/>
  <c r="BO25" i="5"/>
  <c r="AW50" i="6"/>
  <c r="AW31" i="6"/>
  <c r="AY28" i="6"/>
  <c r="AX59" i="6"/>
  <c r="AX31" i="6"/>
  <c r="BF12" i="12" l="1"/>
  <c r="BE22" i="12"/>
  <c r="BD24" i="12"/>
  <c r="BD49" i="12"/>
  <c r="BD52" i="12" s="1"/>
  <c r="BD58" i="12" s="1"/>
  <c r="BC28" i="4"/>
  <c r="BC27" i="12"/>
  <c r="BB29" i="4"/>
  <c r="BB31" i="4"/>
  <c r="BB39" i="4"/>
  <c r="BB20" i="6"/>
  <c r="BA34" i="4"/>
  <c r="BA21" i="6"/>
  <c r="BA40" i="4"/>
  <c r="BA39" i="6"/>
  <c r="BA32" i="6"/>
  <c r="BA58" i="6"/>
  <c r="BA28" i="6"/>
  <c r="AZ33" i="6"/>
  <c r="AZ61" i="6"/>
  <c r="AZ45" i="4"/>
  <c r="AZ40" i="6"/>
  <c r="AZ47" i="6"/>
  <c r="AZ51" i="6"/>
  <c r="AZ15" i="5"/>
  <c r="AZ29" i="6"/>
  <c r="AZ30" i="6"/>
  <c r="AZ66" i="6"/>
  <c r="AZ67" i="6" s="1"/>
  <c r="H29" i="1"/>
  <c r="BO33" i="6"/>
  <c r="BO40" i="6"/>
  <c r="H46" i="1" s="1"/>
  <c r="BA20" i="5"/>
  <c r="BA27" i="5" s="1"/>
  <c r="AY52" i="6"/>
  <c r="BO52" i="6" s="1"/>
  <c r="AY48" i="6"/>
  <c r="AY49" i="6"/>
  <c r="AY50" i="6"/>
  <c r="BO51" i="6"/>
  <c r="BO70" i="6" s="1"/>
  <c r="H88" i="1" s="1"/>
  <c r="AY16" i="5"/>
  <c r="BO16" i="5" s="1"/>
  <c r="AY17" i="5"/>
  <c r="BO34" i="6"/>
  <c r="AY35" i="6"/>
  <c r="AX53" i="6"/>
  <c r="AX71" i="6"/>
  <c r="BO48" i="6"/>
  <c r="F8" i="9"/>
  <c r="H53" i="1"/>
  <c r="H55" i="1"/>
  <c r="AX68" i="6"/>
  <c r="AV73" i="6"/>
  <c r="AV55" i="6"/>
  <c r="AV74" i="6" s="1"/>
  <c r="BE8" i="12"/>
  <c r="BD10" i="12"/>
  <c r="BD11" i="12" s="1"/>
  <c r="AU30" i="5"/>
  <c r="AR13" i="9"/>
  <c r="AW55" i="6"/>
  <c r="AW69" i="6"/>
  <c r="AW36" i="6"/>
  <c r="AW74" i="6" s="1"/>
  <c r="BO31" i="6"/>
  <c r="BO28" i="6"/>
  <c r="AY29" i="6"/>
  <c r="AY30" i="6"/>
  <c r="AY66" i="6"/>
  <c r="AY67" i="6" s="1"/>
  <c r="AY31" i="6"/>
  <c r="AX36" i="6"/>
  <c r="AX50" i="6"/>
  <c r="AZ58" i="6"/>
  <c r="AY59" i="6"/>
  <c r="BO15" i="5"/>
  <c r="AW72" i="6"/>
  <c r="AW73" i="6"/>
  <c r="BG12" i="12" l="1"/>
  <c r="BF22" i="12"/>
  <c r="BE24" i="12"/>
  <c r="BE49" i="12"/>
  <c r="BE52" i="12" s="1"/>
  <c r="BD28" i="4"/>
  <c r="BD27" i="12"/>
  <c r="BC29" i="4"/>
  <c r="BC31" i="4"/>
  <c r="BC23" i="6" s="1"/>
  <c r="BC61" i="6" s="1"/>
  <c r="BC39" i="4"/>
  <c r="BC20" i="6"/>
  <c r="BB34" i="4"/>
  <c r="BB21" i="6"/>
  <c r="BB23" i="6"/>
  <c r="BB40" i="4"/>
  <c r="BB39" i="6"/>
  <c r="BB32" i="6"/>
  <c r="BA33" i="6"/>
  <c r="BA59" i="6"/>
  <c r="BA45" i="4"/>
  <c r="BA40" i="6"/>
  <c r="BA47" i="6"/>
  <c r="BA51" i="6"/>
  <c r="BA15" i="5"/>
  <c r="BA70" i="6"/>
  <c r="BA29" i="6"/>
  <c r="BA30" i="6"/>
  <c r="BA66" i="6"/>
  <c r="BA67" i="6" s="1"/>
  <c r="BB20" i="5"/>
  <c r="BB27" i="5" s="1"/>
  <c r="AZ52" i="6"/>
  <c r="AZ48" i="6"/>
  <c r="AZ49" i="6"/>
  <c r="AZ16" i="5"/>
  <c r="AZ17" i="5"/>
  <c r="AZ68" i="6"/>
  <c r="BO17" i="5"/>
  <c r="AY29" i="5"/>
  <c r="BO29" i="5" s="1"/>
  <c r="BO35" i="6"/>
  <c r="AX72" i="6"/>
  <c r="AX54" i="6"/>
  <c r="BF8" i="12"/>
  <c r="BE10" i="12"/>
  <c r="BE11" i="12" s="1"/>
  <c r="AV30" i="5"/>
  <c r="AS13" i="9"/>
  <c r="H38" i="1"/>
  <c r="H36" i="1"/>
  <c r="E8" i="9"/>
  <c r="BO29" i="6"/>
  <c r="BO66" i="6"/>
  <c r="BO30" i="6"/>
  <c r="AY68" i="6"/>
  <c r="AY69" i="6"/>
  <c r="AY36" i="6"/>
  <c r="AZ59" i="6"/>
  <c r="AZ34" i="6"/>
  <c r="AZ70" i="6"/>
  <c r="BO59" i="6"/>
  <c r="H63" i="1" s="1"/>
  <c r="BO71" i="6"/>
  <c r="H89" i="1" s="1"/>
  <c r="AY71" i="6"/>
  <c r="AY53" i="6"/>
  <c r="BO50" i="6"/>
  <c r="BO49" i="6"/>
  <c r="H54" i="1" s="1"/>
  <c r="AZ25" i="5"/>
  <c r="AX69" i="6"/>
  <c r="AZ31" i="6"/>
  <c r="BH12" i="12" l="1"/>
  <c r="BG22" i="12"/>
  <c r="BF24" i="12"/>
  <c r="BF49" i="12"/>
  <c r="BF52" i="12" s="1"/>
  <c r="BF58" i="12" s="1"/>
  <c r="BE28" i="4"/>
  <c r="BE27" i="12"/>
  <c r="BE58" i="12"/>
  <c r="BD29" i="4"/>
  <c r="BD31" i="4"/>
  <c r="BD39" i="4"/>
  <c r="BD20" i="6"/>
  <c r="BC34" i="4"/>
  <c r="BC21" i="6"/>
  <c r="BC40" i="4"/>
  <c r="BC39" i="6"/>
  <c r="BC28" i="6"/>
  <c r="BC32" i="6"/>
  <c r="BC58" i="6"/>
  <c r="BB33" i="6"/>
  <c r="BB61" i="6"/>
  <c r="BB45" i="4"/>
  <c r="BB40" i="6"/>
  <c r="BB47" i="6"/>
  <c r="BB51" i="6"/>
  <c r="BB15" i="5"/>
  <c r="BB34" i="6"/>
  <c r="BB70" i="6"/>
  <c r="BC20" i="5"/>
  <c r="BA52" i="6"/>
  <c r="BA49" i="6"/>
  <c r="BA68" i="6" s="1"/>
  <c r="BA48" i="6"/>
  <c r="BA50" i="6"/>
  <c r="BA16" i="5"/>
  <c r="BA17" i="5"/>
  <c r="BA29" i="5" s="1"/>
  <c r="AZ53" i="6"/>
  <c r="AZ54" i="6" s="1"/>
  <c r="AZ71" i="6"/>
  <c r="H39" i="1"/>
  <c r="AX55" i="6"/>
  <c r="AX74" i="6" s="1"/>
  <c r="AX73" i="6"/>
  <c r="BG8" i="12"/>
  <c r="BF10" i="12"/>
  <c r="BF11" i="12" s="1"/>
  <c r="AW30" i="5"/>
  <c r="AT13" i="9"/>
  <c r="BO67" i="6"/>
  <c r="G8" i="9"/>
  <c r="H70" i="1"/>
  <c r="H72" i="1"/>
  <c r="H37" i="1"/>
  <c r="BO68" i="6"/>
  <c r="H71" i="1" s="1"/>
  <c r="AZ72" i="6"/>
  <c r="AZ35" i="6"/>
  <c r="AZ73" i="6" s="1"/>
  <c r="AY54" i="6"/>
  <c r="BO53" i="6"/>
  <c r="AY72" i="6"/>
  <c r="AZ27" i="5"/>
  <c r="AZ36" i="6"/>
  <c r="BB28" i="6"/>
  <c r="BB58" i="6"/>
  <c r="BA34" i="6"/>
  <c r="BA31" i="6"/>
  <c r="AZ50" i="6"/>
  <c r="BO69" i="6"/>
  <c r="BO36" i="6"/>
  <c r="BI12" i="12" l="1"/>
  <c r="BH22" i="12"/>
  <c r="BG24" i="12"/>
  <c r="BG49" i="12"/>
  <c r="BG52" i="12" s="1"/>
  <c r="BF28" i="4"/>
  <c r="BF27" i="12"/>
  <c r="BE29" i="4"/>
  <c r="BE31" i="4"/>
  <c r="BE23" i="6" s="1"/>
  <c r="BE61" i="6" s="1"/>
  <c r="BE39" i="4"/>
  <c r="BE20" i="6"/>
  <c r="BD34" i="4"/>
  <c r="BD21" i="6"/>
  <c r="BD23" i="6"/>
  <c r="BD40" i="4"/>
  <c r="BD39" i="6"/>
  <c r="BD32" i="6"/>
  <c r="BC33" i="6"/>
  <c r="BC45" i="4"/>
  <c r="BC40" i="6"/>
  <c r="BC51" i="6"/>
  <c r="BC15" i="5"/>
  <c r="BC30" i="6"/>
  <c r="BC29" i="6"/>
  <c r="BC34" i="6"/>
  <c r="BC70" i="6"/>
  <c r="BB52" i="6"/>
  <c r="BD20" i="5"/>
  <c r="BB48" i="6"/>
  <c r="BB49" i="6"/>
  <c r="BB16" i="5"/>
  <c r="BB35" i="6"/>
  <c r="BA53" i="6"/>
  <c r="BA54" i="6" s="1"/>
  <c r="BA55" i="6" s="1"/>
  <c r="BA71" i="6"/>
  <c r="BH8" i="12"/>
  <c r="BG10" i="12"/>
  <c r="BG11" i="12" s="1"/>
  <c r="AX30" i="5"/>
  <c r="AU13" i="9"/>
  <c r="AY73" i="6"/>
  <c r="AY55" i="6"/>
  <c r="AY74" i="6" s="1"/>
  <c r="BO72" i="6"/>
  <c r="H87" i="1" s="1"/>
  <c r="BO54" i="6"/>
  <c r="BB30" i="6"/>
  <c r="BB29" i="6"/>
  <c r="BB66" i="6"/>
  <c r="BB67" i="6" s="1"/>
  <c r="BA35" i="6"/>
  <c r="BA36" i="6"/>
  <c r="BA69" i="6"/>
  <c r="AZ55" i="6"/>
  <c r="AZ74" i="6" s="1"/>
  <c r="H40" i="1"/>
  <c r="BB59" i="6"/>
  <c r="AZ29" i="5"/>
  <c r="AZ69" i="6"/>
  <c r="BJ12" i="12" l="1"/>
  <c r="BI22" i="12"/>
  <c r="BH24" i="12"/>
  <c r="BH49" i="12"/>
  <c r="BH52" i="12" s="1"/>
  <c r="BH58" i="12" s="1"/>
  <c r="BG28" i="4"/>
  <c r="BG27" i="12"/>
  <c r="BG58" i="12"/>
  <c r="BF29" i="4"/>
  <c r="BF31" i="4"/>
  <c r="BF23" i="6" s="1"/>
  <c r="BF61" i="6" s="1"/>
  <c r="BF39" i="4"/>
  <c r="BF20" i="6"/>
  <c r="BE34" i="4"/>
  <c r="BE21" i="6"/>
  <c r="BE40" i="4"/>
  <c r="BE39" i="6"/>
  <c r="BE28" i="6"/>
  <c r="BE32" i="6"/>
  <c r="BE58" i="6"/>
  <c r="BD33" i="6"/>
  <c r="BD61" i="6"/>
  <c r="BD45" i="4"/>
  <c r="BD40" i="6"/>
  <c r="BD47" i="6"/>
  <c r="BD51" i="6"/>
  <c r="BD15" i="5"/>
  <c r="BD70" i="6"/>
  <c r="BD34" i="6"/>
  <c r="BE20" i="5"/>
  <c r="BE27" i="5" s="1"/>
  <c r="BC52" i="6"/>
  <c r="BC16" i="5"/>
  <c r="BC17" i="5"/>
  <c r="BC35" i="6"/>
  <c r="BB53" i="6"/>
  <c r="BB71" i="6"/>
  <c r="BD27" i="5"/>
  <c r="BC25" i="5"/>
  <c r="BI8" i="12"/>
  <c r="BH10" i="12"/>
  <c r="BH11" i="12" s="1"/>
  <c r="AY30" i="5"/>
  <c r="AV13" i="9"/>
  <c r="BO73" i="6"/>
  <c r="H73" i="1" s="1"/>
  <c r="BO55" i="6"/>
  <c r="H56" i="1"/>
  <c r="BB68" i="6"/>
  <c r="BB17" i="5"/>
  <c r="BD28" i="6"/>
  <c r="BD58" i="6"/>
  <c r="BC59" i="6"/>
  <c r="BC47" i="6"/>
  <c r="BC31" i="6"/>
  <c r="BB50" i="6"/>
  <c r="BB31" i="6"/>
  <c r="BA72" i="6"/>
  <c r="BA74" i="6"/>
  <c r="BA73" i="6"/>
  <c r="BU12" i="12" l="1"/>
  <c r="BW12" i="12" s="1"/>
  <c r="BK12" i="12"/>
  <c r="BK22" i="12" s="1"/>
  <c r="BJ22" i="12"/>
  <c r="BI24" i="12"/>
  <c r="BI49" i="12"/>
  <c r="BI52" i="12" s="1"/>
  <c r="BH28" i="4"/>
  <c r="BH27" i="12"/>
  <c r="BG29" i="4"/>
  <c r="BG31" i="4"/>
  <c r="BG39" i="4"/>
  <c r="BG20" i="6"/>
  <c r="BF34" i="4"/>
  <c r="BF21" i="6"/>
  <c r="BF40" i="4"/>
  <c r="BF39" i="6"/>
  <c r="BF28" i="6"/>
  <c r="BF32" i="6"/>
  <c r="BF58" i="6"/>
  <c r="BE33" i="6"/>
  <c r="BE45" i="4"/>
  <c r="BE40" i="6"/>
  <c r="BE47" i="6"/>
  <c r="BE51" i="6"/>
  <c r="BE15" i="5"/>
  <c r="BE29" i="6"/>
  <c r="BE30" i="6"/>
  <c r="BE66" i="6"/>
  <c r="BE67" i="6" s="1"/>
  <c r="BE31" i="6"/>
  <c r="BE34" i="6"/>
  <c r="BE70" i="6"/>
  <c r="BF20" i="5"/>
  <c r="BD52" i="6"/>
  <c r="BD48" i="6"/>
  <c r="BD49" i="6"/>
  <c r="BD16" i="5"/>
  <c r="BD17" i="5"/>
  <c r="BD29" i="5" s="1"/>
  <c r="BD35" i="6"/>
  <c r="BC53" i="6"/>
  <c r="BC71" i="6"/>
  <c r="BB72" i="6"/>
  <c r="BB54" i="6"/>
  <c r="BB73" i="6" s="1"/>
  <c r="BC27" i="5"/>
  <c r="BJ8" i="12"/>
  <c r="BI10" i="12"/>
  <c r="BI11" i="12" s="1"/>
  <c r="AZ30" i="5"/>
  <c r="BO30" i="5"/>
  <c r="AW13" i="9"/>
  <c r="BO74" i="6"/>
  <c r="H74" i="1" s="1"/>
  <c r="H57" i="1"/>
  <c r="H8" i="9"/>
  <c r="BB29" i="5"/>
  <c r="BD66" i="6"/>
  <c r="BD67" i="6" s="1"/>
  <c r="BD30" i="6"/>
  <c r="BD29" i="6"/>
  <c r="BD31" i="6"/>
  <c r="BC49" i="6"/>
  <c r="BC48" i="6"/>
  <c r="BC66" i="6"/>
  <c r="BC67" i="6" s="1"/>
  <c r="BC36" i="6"/>
  <c r="BB36" i="6"/>
  <c r="BB69" i="6"/>
  <c r="BD59" i="6"/>
  <c r="BK24" i="12" l="1"/>
  <c r="BK49" i="12"/>
  <c r="BK52" i="12" s="1"/>
  <c r="BK58" i="12" s="1"/>
  <c r="BJ24" i="12"/>
  <c r="BJ49" i="12"/>
  <c r="BJ52" i="12" s="1"/>
  <c r="BJ58" i="12" s="1"/>
  <c r="BU24" i="12"/>
  <c r="BW24" i="12" s="1"/>
  <c r="BI28" i="4"/>
  <c r="BI27" i="12"/>
  <c r="BI58" i="12"/>
  <c r="BU58" i="12" s="1"/>
  <c r="BW58" i="12" s="1"/>
  <c r="BH29" i="4"/>
  <c r="BH31" i="4"/>
  <c r="BH23" i="6" s="1"/>
  <c r="BH61" i="6" s="1"/>
  <c r="BH39" i="4"/>
  <c r="BH20" i="6"/>
  <c r="BG34" i="4"/>
  <c r="BG21" i="6"/>
  <c r="BG23" i="6"/>
  <c r="BG40" i="4"/>
  <c r="BG39" i="6"/>
  <c r="BG32" i="6"/>
  <c r="BG58" i="6"/>
  <c r="BF33" i="6"/>
  <c r="BF59" i="6"/>
  <c r="BF45" i="4"/>
  <c r="BF40" i="6"/>
  <c r="BF47" i="6"/>
  <c r="BF51" i="6"/>
  <c r="BF15" i="5"/>
  <c r="BF66" i="6"/>
  <c r="BF67" i="6" s="1"/>
  <c r="BF30" i="6"/>
  <c r="BF29" i="6"/>
  <c r="BF34" i="6"/>
  <c r="BF70" i="6"/>
  <c r="BG20" i="5"/>
  <c r="BG27" i="5" s="1"/>
  <c r="BE52" i="6"/>
  <c r="BE48" i="6"/>
  <c r="BE49" i="6"/>
  <c r="BE68" i="6" s="1"/>
  <c r="BE16" i="5"/>
  <c r="BE17" i="5"/>
  <c r="BE29" i="5" s="1"/>
  <c r="BE35" i="6"/>
  <c r="BD53" i="6"/>
  <c r="BD71" i="6"/>
  <c r="BC72" i="6"/>
  <c r="BC54" i="6"/>
  <c r="BC73" i="6" s="1"/>
  <c r="BC29" i="5"/>
  <c r="BU8" i="12"/>
  <c r="BW8" i="12" s="1"/>
  <c r="BK8" i="12"/>
  <c r="BK10" i="12" s="1"/>
  <c r="BK11" i="12" s="1"/>
  <c r="BJ10" i="12"/>
  <c r="BJ11" i="12" s="1"/>
  <c r="BA30" i="5"/>
  <c r="AX13" i="9"/>
  <c r="BD68" i="6"/>
  <c r="BD36" i="6"/>
  <c r="BC68" i="6"/>
  <c r="BF25" i="5"/>
  <c r="BE59" i="6"/>
  <c r="BD50" i="6"/>
  <c r="BC50" i="6"/>
  <c r="BB55" i="6"/>
  <c r="BB74" i="6" s="1"/>
  <c r="BK28" i="4" l="1"/>
  <c r="BK27" i="12"/>
  <c r="BJ28" i="4"/>
  <c r="BJ27" i="12"/>
  <c r="BP28" i="4"/>
  <c r="BI29" i="4"/>
  <c r="BI31" i="4"/>
  <c r="BI39" i="4"/>
  <c r="BI20" i="6"/>
  <c r="BH34" i="4"/>
  <c r="BH21" i="6"/>
  <c r="BH40" i="4"/>
  <c r="BH39" i="6"/>
  <c r="BH28" i="6"/>
  <c r="BH32" i="6"/>
  <c r="BG33" i="6"/>
  <c r="BG61" i="6"/>
  <c r="BG45" i="4"/>
  <c r="BG40" i="6"/>
  <c r="BG47" i="6"/>
  <c r="BG51" i="6"/>
  <c r="BG15" i="5"/>
  <c r="BG34" i="6"/>
  <c r="BG70" i="6"/>
  <c r="BH20" i="5"/>
  <c r="BH27" i="5" s="1"/>
  <c r="BF52" i="6"/>
  <c r="BF48" i="6"/>
  <c r="BF49" i="6"/>
  <c r="BF16" i="5"/>
  <c r="BF17" i="5"/>
  <c r="BF35" i="6"/>
  <c r="BE53" i="6"/>
  <c r="BE71" i="6"/>
  <c r="BD72" i="6"/>
  <c r="BD54" i="6"/>
  <c r="BB30" i="5"/>
  <c r="AY13" i="9"/>
  <c r="BC69" i="6"/>
  <c r="BC55" i="6"/>
  <c r="BC74" i="6" s="1"/>
  <c r="BU52" i="12"/>
  <c r="BW52" i="12" s="1"/>
  <c r="BG28" i="6"/>
  <c r="BE50" i="6"/>
  <c r="BF31" i="6"/>
  <c r="BD69" i="6"/>
  <c r="BE36" i="6"/>
  <c r="BF27" i="5"/>
  <c r="BK29" i="4" l="1"/>
  <c r="BK31" i="4"/>
  <c r="BK23" i="6" s="1"/>
  <c r="BK61" i="6" s="1"/>
  <c r="BK39" i="4"/>
  <c r="BK20" i="6"/>
  <c r="BJ29" i="4"/>
  <c r="BJ31" i="4"/>
  <c r="BJ23" i="6" s="1"/>
  <c r="BJ61" i="6" s="1"/>
  <c r="BJ39" i="4"/>
  <c r="BJ20" i="6"/>
  <c r="BI34" i="4"/>
  <c r="BI21" i="6"/>
  <c r="BP31" i="4"/>
  <c r="BI23" i="6"/>
  <c r="BP39" i="4"/>
  <c r="BI40" i="4"/>
  <c r="BI39" i="6"/>
  <c r="BP20" i="6"/>
  <c r="BI32" i="6"/>
  <c r="BI58" i="6"/>
  <c r="BH33" i="6"/>
  <c r="BH45" i="4"/>
  <c r="BH40" i="6"/>
  <c r="BH47" i="6"/>
  <c r="BH51" i="6"/>
  <c r="BH15" i="5"/>
  <c r="BH30" i="6"/>
  <c r="BH29" i="6"/>
  <c r="BH66" i="6"/>
  <c r="BH67" i="6" s="1"/>
  <c r="BH70" i="6"/>
  <c r="BH34" i="6"/>
  <c r="BI20" i="5"/>
  <c r="BG52" i="6"/>
  <c r="BG48" i="6"/>
  <c r="BG49" i="6"/>
  <c r="BG16" i="5"/>
  <c r="BG17" i="5"/>
  <c r="BG29" i="5" s="1"/>
  <c r="BG35" i="6"/>
  <c r="BF53" i="6"/>
  <c r="BF71" i="6"/>
  <c r="BF68" i="6"/>
  <c r="BF29" i="5"/>
  <c r="BE72" i="6"/>
  <c r="BE54" i="6"/>
  <c r="BE73" i="6" s="1"/>
  <c r="BD55" i="6"/>
  <c r="BD74" i="6" s="1"/>
  <c r="BD73" i="6"/>
  <c r="BC30" i="5"/>
  <c r="AZ13" i="9"/>
  <c r="BG30" i="6"/>
  <c r="BG66" i="6"/>
  <c r="BG67" i="6" s="1"/>
  <c r="BG29" i="6"/>
  <c r="BE69" i="6"/>
  <c r="BE55" i="6"/>
  <c r="BE74" i="6" s="1"/>
  <c r="BF69" i="6"/>
  <c r="BF36" i="6"/>
  <c r="BF50" i="6"/>
  <c r="BH58" i="6"/>
  <c r="BG59" i="6"/>
  <c r="BK34" i="4" l="1"/>
  <c r="BK21" i="6"/>
  <c r="BK40" i="4"/>
  <c r="BK39" i="6"/>
  <c r="BK32" i="6"/>
  <c r="BK58" i="6"/>
  <c r="BK28" i="6"/>
  <c r="BP29" i="4"/>
  <c r="BJ34" i="4"/>
  <c r="BP34" i="4" s="1"/>
  <c r="BJ21" i="6"/>
  <c r="BJ40" i="4"/>
  <c r="BJ39" i="6"/>
  <c r="BJ28" i="6"/>
  <c r="BJ32" i="6"/>
  <c r="BJ58" i="6"/>
  <c r="BP21" i="6"/>
  <c r="BI33" i="6"/>
  <c r="BI59" i="6"/>
  <c r="BP23" i="6"/>
  <c r="BI61" i="6"/>
  <c r="BI45" i="4"/>
  <c r="BI40" i="6"/>
  <c r="BI47" i="6"/>
  <c r="BI51" i="6"/>
  <c r="BI15" i="5"/>
  <c r="B9" i="9"/>
  <c r="I28" i="1"/>
  <c r="BI70" i="6"/>
  <c r="BJ20" i="5"/>
  <c r="BJ27" i="5" s="1"/>
  <c r="BH52" i="6"/>
  <c r="BH49" i="6"/>
  <c r="BH68" i="6" s="1"/>
  <c r="BH48" i="6"/>
  <c r="BH16" i="5"/>
  <c r="BH35" i="6"/>
  <c r="BG71" i="6"/>
  <c r="BG53" i="6"/>
  <c r="BF72" i="6"/>
  <c r="BF54" i="6"/>
  <c r="BD30" i="5"/>
  <c r="BA13" i="9"/>
  <c r="BG68" i="6"/>
  <c r="BH59" i="6"/>
  <c r="BG50" i="6"/>
  <c r="BG31" i="6"/>
  <c r="BI25" i="5"/>
  <c r="BP25" i="5" s="1"/>
  <c r="BI28" i="6"/>
  <c r="BH31" i="6"/>
  <c r="BK33" i="6" l="1"/>
  <c r="BK45" i="4"/>
  <c r="BK40" i="6"/>
  <c r="BK52" i="6" s="1"/>
  <c r="BP52" i="6" s="1"/>
  <c r="BK51" i="6"/>
  <c r="BK15" i="5"/>
  <c r="BP32" i="6"/>
  <c r="BK34" i="6"/>
  <c r="BK70" i="6"/>
  <c r="BK29" i="6"/>
  <c r="BK30" i="6"/>
  <c r="BJ33" i="6"/>
  <c r="BJ45" i="4"/>
  <c r="BP45" i="4" s="1"/>
  <c r="BJ40" i="6"/>
  <c r="BJ52" i="6" s="1"/>
  <c r="BP39" i="6"/>
  <c r="BJ47" i="6"/>
  <c r="BJ51" i="6"/>
  <c r="BJ53" i="6" s="1"/>
  <c r="BJ15" i="5"/>
  <c r="BJ29" i="6"/>
  <c r="BJ30" i="6"/>
  <c r="I29" i="1"/>
  <c r="BP61" i="6"/>
  <c r="I31" i="1"/>
  <c r="BI52" i="6"/>
  <c r="BK20" i="5"/>
  <c r="BI48" i="6"/>
  <c r="BI49" i="6"/>
  <c r="BI16" i="5"/>
  <c r="BI17" i="5"/>
  <c r="BI29" i="5" s="1"/>
  <c r="BH53" i="6"/>
  <c r="BH71" i="6"/>
  <c r="BG72" i="6"/>
  <c r="BG54" i="6"/>
  <c r="BG73" i="6" s="1"/>
  <c r="BF55" i="6"/>
  <c r="BF74" i="6" s="1"/>
  <c r="BF73" i="6"/>
  <c r="BE30" i="5"/>
  <c r="BB13" i="9"/>
  <c r="BG69" i="6"/>
  <c r="BG36" i="6"/>
  <c r="BI29" i="6"/>
  <c r="BI66" i="6"/>
  <c r="BI67" i="6" s="1"/>
  <c r="BI30" i="6"/>
  <c r="BP28" i="6"/>
  <c r="BH36" i="6"/>
  <c r="BI34" i="6"/>
  <c r="BH50" i="6"/>
  <c r="BH17" i="5"/>
  <c r="BI27" i="5"/>
  <c r="BP40" i="4"/>
  <c r="BP33" i="6" l="1"/>
  <c r="BP71" i="6" s="1"/>
  <c r="I89" i="1" s="1"/>
  <c r="BK71" i="6"/>
  <c r="BP51" i="6"/>
  <c r="BP70" i="6" s="1"/>
  <c r="I88" i="1" s="1"/>
  <c r="BK53" i="6"/>
  <c r="BK16" i="5"/>
  <c r="BK17" i="5"/>
  <c r="BK72" i="6"/>
  <c r="BP34" i="6"/>
  <c r="BP58" i="6"/>
  <c r="D24" i="8"/>
  <c r="E24" i="8" s="1"/>
  <c r="D18" i="8"/>
  <c r="E18" i="8" s="1"/>
  <c r="D25" i="8"/>
  <c r="E25" i="8" s="1"/>
  <c r="C9" i="9"/>
  <c r="B5" i="7"/>
  <c r="I45" i="1"/>
  <c r="BJ49" i="6"/>
  <c r="BJ48" i="6"/>
  <c r="BJ50" i="6"/>
  <c r="BJ16" i="5"/>
  <c r="BP16" i="5" s="1"/>
  <c r="BJ17" i="5"/>
  <c r="BJ29" i="5" s="1"/>
  <c r="B19" i="9"/>
  <c r="I65" i="1"/>
  <c r="BI71" i="6"/>
  <c r="BI53" i="6"/>
  <c r="BP20" i="5"/>
  <c r="BK27" i="5"/>
  <c r="BP27" i="5" s="1"/>
  <c r="BH72" i="6"/>
  <c r="BH54" i="6"/>
  <c r="BF30" i="5"/>
  <c r="BC13" i="9"/>
  <c r="BP30" i="6"/>
  <c r="BI68" i="6"/>
  <c r="E9" i="9"/>
  <c r="BP29" i="6"/>
  <c r="I36" i="1"/>
  <c r="I38" i="1"/>
  <c r="BI72" i="6"/>
  <c r="BI35" i="6"/>
  <c r="BP17" i="5"/>
  <c r="BH29" i="5"/>
  <c r="BK31" i="6"/>
  <c r="BJ71" i="6"/>
  <c r="BJ59" i="6"/>
  <c r="BJ66" i="6"/>
  <c r="BJ67" i="6" s="1"/>
  <c r="BJ31" i="6"/>
  <c r="BJ70" i="6"/>
  <c r="BJ34" i="6"/>
  <c r="BP40" i="6"/>
  <c r="BP15" i="5"/>
  <c r="BI50" i="6"/>
  <c r="BG55" i="6"/>
  <c r="BG74" i="6" s="1"/>
  <c r="BK59" i="6"/>
  <c r="BI31" i="6"/>
  <c r="BH69" i="6"/>
  <c r="BK47" i="6"/>
  <c r="BP53" i="6" l="1"/>
  <c r="BP54" i="6" s="1"/>
  <c r="I56" i="1" s="1"/>
  <c r="BK54" i="6"/>
  <c r="BP35" i="6"/>
  <c r="BP72" i="6"/>
  <c r="I87" i="1" s="1"/>
  <c r="I62" i="1"/>
  <c r="D14" i="8"/>
  <c r="E14" i="8" s="1"/>
  <c r="D9" i="9"/>
  <c r="B10" i="7"/>
  <c r="F18" i="7"/>
  <c r="D19" i="7"/>
  <c r="D20" i="7"/>
  <c r="D15" i="7"/>
  <c r="F15" i="7"/>
  <c r="BJ68" i="6"/>
  <c r="BJ54" i="6"/>
  <c r="BJ55" i="6" s="1"/>
  <c r="BI54" i="6"/>
  <c r="BH55" i="6"/>
  <c r="BH74" i="6" s="1"/>
  <c r="BH73" i="6"/>
  <c r="BG30" i="5"/>
  <c r="BD13" i="9"/>
  <c r="I37" i="1"/>
  <c r="BJ69" i="6"/>
  <c r="BJ72" i="6"/>
  <c r="BJ35" i="6"/>
  <c r="BJ73" i="6" s="1"/>
  <c r="BP59" i="6"/>
  <c r="B9" i="7"/>
  <c r="I46" i="1"/>
  <c r="BP31" i="6"/>
  <c r="BI69" i="6"/>
  <c r="BI36" i="6"/>
  <c r="BK66" i="6"/>
  <c r="BK67" i="6" s="1"/>
  <c r="BK49" i="6"/>
  <c r="BK68" i="6" s="1"/>
  <c r="BK48" i="6"/>
  <c r="BK29" i="5"/>
  <c r="BK35" i="6"/>
  <c r="BP47" i="6"/>
  <c r="BP73" i="6" l="1"/>
  <c r="I73" i="1" s="1"/>
  <c r="I39" i="1"/>
  <c r="BI73" i="6"/>
  <c r="BI55" i="6"/>
  <c r="BI74" i="6" s="1"/>
  <c r="BH30" i="5"/>
  <c r="BE13" i="9"/>
  <c r="I63" i="1"/>
  <c r="B17" i="9"/>
  <c r="BP36" i="6"/>
  <c r="BP29" i="5"/>
  <c r="C36" i="5"/>
  <c r="L8" i="1" s="1"/>
  <c r="F9" i="9"/>
  <c r="B6" i="7"/>
  <c r="I53" i="1"/>
  <c r="I55" i="1"/>
  <c r="BP48" i="6"/>
  <c r="BP66" i="6"/>
  <c r="D22" i="7"/>
  <c r="G15" i="7"/>
  <c r="D18" i="7"/>
  <c r="G18" i="7" s="1"/>
  <c r="F19" i="7"/>
  <c r="G19" i="7" s="1"/>
  <c r="F20" i="7"/>
  <c r="G20" i="7" s="1"/>
  <c r="F22" i="7"/>
  <c r="BP49" i="6"/>
  <c r="BK36" i="6"/>
  <c r="BJ36" i="6"/>
  <c r="BJ74" i="6" s="1"/>
  <c r="BK50" i="6"/>
  <c r="BK73" i="6"/>
  <c r="BI30" i="5" l="1"/>
  <c r="BF13" i="9"/>
  <c r="I40" i="1"/>
  <c r="I72" i="1"/>
  <c r="I70" i="1"/>
  <c r="G9" i="9"/>
  <c r="D15" i="8"/>
  <c r="E15" i="8" s="1"/>
  <c r="BP67" i="6"/>
  <c r="BP68" i="6"/>
  <c r="I71" i="1" s="1"/>
  <c r="I54" i="1"/>
  <c r="BK69" i="6"/>
  <c r="BK55" i="6"/>
  <c r="BK74" i="6" s="1"/>
  <c r="BP50" i="6"/>
  <c r="G22" i="7"/>
  <c r="BJ30" i="5" l="1"/>
  <c r="BG13" i="9"/>
  <c r="BP69" i="6"/>
  <c r="BP55" i="6"/>
  <c r="BK30" i="5" l="1"/>
  <c r="BH13" i="9"/>
  <c r="BP74" i="6"/>
  <c r="H9" i="9"/>
  <c r="I57" i="1"/>
  <c r="C33" i="5" l="1"/>
  <c r="BP30" i="5"/>
  <c r="C35" i="5"/>
  <c r="D10" i="8"/>
  <c r="E10" i="8" s="1"/>
  <c r="D17" i="8"/>
  <c r="E17" i="8" s="1"/>
  <c r="BI13" i="9"/>
  <c r="L5" i="1"/>
  <c r="I74" i="1"/>
  <c r="D8" i="8"/>
  <c r="E8" i="8" s="1"/>
  <c r="L6" i="1" l="1"/>
  <c r="L7" i="1"/>
  <c r="E34" i="8" l="1"/>
  <c r="E35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<sst xmlns="http://schemas.openxmlformats.org/spreadsheetml/2006/main" count="1622" uniqueCount="842">
  <si>
    <t>Команда и Time-to-Market (TtM)</t>
  </si>
  <si>
    <t>Инициатива: 3 гипотезы из ДЗ2, реализуемые волнами по приоритету (от high confidence к low)</t>
  </si>
  <si>
    <t>Роль</t>
  </si>
  <si>
    <t>Уровень</t>
  </si>
  <si>
    <t>Salary gross, ₽/мес</t>
  </si>
  <si>
    <t>Cost ₽/мес (с налогами)</t>
  </si>
  <si>
    <t>Cost млн ₽/мес</t>
  </si>
  <si>
    <t>Источник</t>
  </si>
  <si>
    <t>Product Manager</t>
  </si>
  <si>
    <t>Senior</t>
  </si>
  <si>
    <t>UX Designer</t>
  </si>
  <si>
    <t>Middle+</t>
  </si>
  <si>
    <t>Data Analyst</t>
  </si>
  <si>
    <t>ML Engineer</t>
  </si>
  <si>
    <t>Backend Engineer</t>
  </si>
  <si>
    <t>Frontend Engineer</t>
  </si>
  <si>
    <t>Middle</t>
  </si>
  <si>
    <t>QA Engineer</t>
  </si>
  <si>
    <t>DevOps Engineer</t>
  </si>
  <si>
    <t>Налог на прибыль для IT-аккредитованных: 0% (2025), 5% (2026-2030). Действует до 31.12.2030 (ст. 284 п. 1.15 НК РФ). В модели в PnL уже учтено: 0% в 2026, 5% с 2027.</t>
  </si>
  <si>
    <t>2. Roadmap волн инициативы</t>
  </si>
  <si>
    <t>Wave</t>
  </si>
  <si>
    <t>Гипотеза (из ДЗ2)</t>
  </si>
  <si>
    <t>Confidence</t>
  </si>
  <si>
    <t>Discovery</t>
  </si>
  <si>
    <t>Development</t>
  </si>
  <si>
    <t>Launch (полный)</t>
  </si>
  <si>
    <t>Базовая команда</t>
  </si>
  <si>
    <t>Wave 1</t>
  </si>
  <si>
    <t>Алгоритм персонализир. рекомендаций для селлеров (ARPPU +10%)</t>
  </si>
  <si>
    <t>мес 1 (Discovery+спека)</t>
  </si>
  <si>
    <t>мес 1-2 (Dev)</t>
  </si>
  <si>
    <t>мес 3 (Launch)</t>
  </si>
  <si>
    <t>PM, ML, BE, FE, Data, QA</t>
  </si>
  <si>
    <t>Wave 2</t>
  </si>
  <si>
    <t>Индикатор соответствия цены рынку (ARPPU +5%)</t>
  </si>
  <si>
    <t>мес 2 (параллельно с W1 Dev)</t>
  </si>
  <si>
    <t>мес 3-4 (Dev)</t>
  </si>
  <si>
    <t>мес 5 (Launch)</t>
  </si>
  <si>
    <t>PM, BE, FE, ML, QA</t>
  </si>
  <si>
    <t>Wave 3</t>
  </si>
  <si>
    <t>Видео в карточках + лента "Истории" (MAU +3%)</t>
  </si>
  <si>
    <t>мес 5 (Discovery)</t>
  </si>
  <si>
    <t>мес 6-7 (Dev, видео-инфра)</t>
  </si>
  <si>
    <t>мес 8 (Launch)</t>
  </si>
  <si>
    <t>PM, UX, BE, FE, DevOps, ML, QA</t>
  </si>
  <si>
    <t>TtM до полного запуска всех 3 волн:</t>
  </si>
  <si>
    <t>мес (без буфера)</t>
  </si>
  <si>
    <t>Буфер на риски задержек:</t>
  </si>
  <si>
    <t>TtM с буфером:</t>
  </si>
  <si>
    <t>≈ 10 мес до полного релиза всех 3 волн</t>
  </si>
  <si>
    <t>TtM первой волны (Wave 1) до релиза:</t>
  </si>
  <si>
    <t>3. Распределение FTE по ролям × месяцам (5 лет, помесячно)</t>
  </si>
  <si>
    <t>Логика: фичи строятся на готовой инфраструктуре Avito (ML-платформа, CDN, A/B framework). TtM компактный за счёт переиспользования существующих компонентов. После релиза каждой волны команда переходит в Support (минимальный maintenance).</t>
  </si>
  <si>
    <t>Salary ref</t>
  </si>
  <si>
    <t>Unit</t>
  </si>
  <si>
    <t>2026 Total</t>
  </si>
  <si>
    <t>2027 Total</t>
  </si>
  <si>
    <t>2028 Total</t>
  </si>
  <si>
    <t>2029 Total</t>
  </si>
  <si>
    <t>2030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</si>
  <si>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</si>
  <si>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</si>
  <si>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</si>
  <si>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</si>
  <si>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</si>
  <si>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</si>
  <si>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</si>
  <si>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</si>
  <si>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</si>
  <si>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</si>
  <si>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</si>
  <si>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</si>
  <si>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PM</t>
  </si>
  <si>
    <t>FTE</t>
  </si>
  <si>
    <t>Backend</t>
  </si>
  <si>
    <t>Frontend</t>
  </si>
  <si>
    <t>QA</t>
  </si>
  <si>
    <t>DevOps</t>
  </si>
  <si>
    <t>Σ FTE команды</t>
  </si>
  <si>
    <t>4. Стоимость персонала (₽, с налогами и индексацией ЗП 7% г/г)</t>
  </si>
  <si>
    <t>Индексация ЗП (×)</t>
  </si>
  <si>
    <t>г/г</t>
  </si>
  <si>
    <t>Cost PM, ₽</t>
  </si>
  <si>
    <t>Cost UX Designer, ₽</t>
  </si>
  <si>
    <t>Cost Data Analyst, ₽</t>
  </si>
  <si>
    <t>Cost ML Engineer, ₽</t>
  </si>
  <si>
    <t>Cost Backend, ₽</t>
  </si>
  <si>
    <t>Cost Frontend, ₽</t>
  </si>
  <si>
    <t>Cost QA, ₽</t>
  </si>
  <si>
    <t>Cost DevOps, ₽</t>
  </si>
  <si>
    <t>Σ Staff Cost, ₽/мес</t>
  </si>
  <si>
    <t>Σ Staff Cost, млн ₽/мес</t>
  </si>
  <si>
    <t>Avito Confidential</t>
  </si>
  <si>
    <t>GENERAL INFORMATION</t>
  </si>
  <si>
    <t>Project name</t>
  </si>
  <si>
    <t>Avito Животные - 3 гипотезы (рекомендации, индикатор цены, видео)</t>
  </si>
  <si>
    <t>Project leader</t>
  </si>
  <si>
    <t>Коростелев Александр</t>
  </si>
  <si>
    <t>CF cumulative (5 лет, INCR)</t>
  </si>
  <si>
    <t>Current request (peak funding need)</t>
  </si>
  <si>
    <t>Negative CF (minimum)</t>
  </si>
  <si>
    <t>NPV (WACC 26,3%, 5 лет)</t>
  </si>
  <si>
    <t>Parameter</t>
  </si>
  <si>
    <t>Units</t>
  </si>
  <si>
    <t>base</t>
  </si>
  <si>
    <t>ASSUMPTIONS</t>
  </si>
  <si>
    <t>Project start date</t>
  </si>
  <si>
    <t>2026-01-01</t>
  </si>
  <si>
    <t>WACC</t>
  </si>
  <si>
    <t>TGR</t>
  </si>
  <si>
    <t>Income Tax</t>
  </si>
  <si>
    <t>Revenue effect (cannibalization)</t>
  </si>
  <si>
    <t>no</t>
  </si>
  <si>
    <t>Каннибализация не учтена - гипотезы добавляют новые сценарии (рекомендации профи, индикатор цены, видео в карточках), не отнимая трафик у существующих видов монетизации. Анализ риска - см. ДЗ2.</t>
  </si>
  <si>
    <t>Cannibalization object</t>
  </si>
  <si>
    <t>n/a</t>
  </si>
  <si>
    <t>Incremental revenue methodology</t>
  </si>
  <si>
    <t>1 - uplift as % (× rollout × confidence rate)</t>
  </si>
  <si>
    <t>Каждая гипотеза имеет: uplift к метрике, % раскатки по годам (W1: 30/70/100/100/100; W2: 10/50/100/100/100; W3: 30/100/100/100/100), confidence rate (W1: 0.75, W2: 0.6, W3: 0.4). Итог = ARPPU × Uplift × Rollout × Confidence.</t>
  </si>
  <si>
    <t>Revenue calc method</t>
  </si>
  <si>
    <t>1 - uplift as %</t>
  </si>
  <si>
    <t>FINANCIALS AS IS</t>
  </si>
  <si>
    <t>Revenue</t>
  </si>
  <si>
    <t>mR</t>
  </si>
  <si>
    <t>CoS</t>
  </si>
  <si>
    <t>Staff costs</t>
  </si>
  <si>
    <t>Marketing</t>
  </si>
  <si>
    <t>Consulting</t>
  </si>
  <si>
    <t>IT Costs</t>
  </si>
  <si>
    <t>G&amp;A Costs</t>
  </si>
  <si>
    <t>Other Costs</t>
  </si>
  <si>
    <t>EBITDA</t>
  </si>
  <si>
    <t>EBITDA margin</t>
  </si>
  <si>
    <t>%</t>
  </si>
  <si>
    <t>Change in NWC</t>
  </si>
  <si>
    <t>FCF (free cash flow)</t>
  </si>
  <si>
    <t>FINANCIALS INCREMENT</t>
  </si>
  <si>
    <t>FINANCIALS TO BE</t>
  </si>
  <si>
    <t>BREAK-DOWNS (детализация INCREMENT)</t>
  </si>
  <si>
    <t>Staff costs команда разработки (наша команда)</t>
  </si>
  <si>
    <t>Staff costs (расшифровка по ролям)</t>
  </si>
  <si>
    <t>См. лист «Команда и TtM» - Cost matrix rows 44-51, 8 ролей</t>
  </si>
  <si>
    <t>Marketing breakdown</t>
  </si>
  <si>
    <t>Год 1 после Launch Wave 1 (мес 8-19): 15 млн ₽ - промо новых фич. Годы 2-5: по 5 млн ₽/год - поддержка узнаваемости.</t>
  </si>
  <si>
    <t>IT breakdown</t>
  </si>
  <si>
    <t>Лицензии (GPU/CDN/storage): 2,5 млн ₽/год + IT-оборудование на нового HC: 100 тыс ₽ × 16 чел (за 3 волны) единоразово.</t>
  </si>
  <si>
    <t>NWC (Net Working Capital)</t>
  </si>
  <si>
    <t>NWC (год end)</t>
  </si>
  <si>
    <t>no delay (онлайн-платежи Avito)</t>
  </si>
  <si>
    <t>assuming 60 days</t>
  </si>
  <si>
    <t>ПОМЕСЯЧНАЯ ДЕТАЛИЗАЦИЯ</t>
  </si>
  <si>
    <t>Помесячные данные см. на листах:</t>
  </si>
  <si>
    <t>• «PnL» - Revenue/EBITDA/FCF помесячно за 2026-2030 (60 месяцев), 3 блока AS IS / Increment / TO BE</t>
  </si>
  <si>
    <t>• «CashFlow» - Operating CashFlow и Cumulative CashFlow помесячно (Increment, прямой метод)</t>
  </si>
  <si>
    <t>• «Cost assumptions» - каждая статья OPEX помесячно с разделением AS IS / Increment</t>
  </si>
  <si>
    <t>• «Команда и TtM» - FTE и Staff cost помесячно по 8 ролям</t>
  </si>
  <si>
    <t>Параметры волн инициативы (входы для расчёта Revenue Increment)</t>
  </si>
  <si>
    <t>Эти параметры используются для реалистичного расчёта Revenue INCR в Cost assumptions row 39. Формула: Revenue INCR = Revenue AS IS × MIN(Σ(uplift_W × доля × confidence × S-curve), CAP).</t>
  </si>
  <si>
    <t>Параметр</t>
  </si>
  <si>
    <t>Значение</t>
  </si>
  <si>
    <t>Ед.</t>
  </si>
  <si>
    <t>Источник / обоснование</t>
  </si>
  <si>
    <t>W1: ARPPU uplift (Алгоритм рекомендаций)</t>
  </si>
  <si>
    <t>W2: ARPPU uplift (Индикатор цены)</t>
  </si>
  <si>
    <t>W3: MAU uplift (Видео + Истории)</t>
  </si>
  <si>
    <t>W1: Confidence rate</t>
  </si>
  <si>
    <t>W2: Confidence rate</t>
  </si>
  <si>
    <t>W3: Confidence rate</t>
  </si>
  <si>
    <t>Доля классифайдного слоя в ARPU</t>
  </si>
  <si>
    <t>W1: Launch month</t>
  </si>
  <si>
    <t>мес</t>
  </si>
  <si>
    <t>W2: Launch month</t>
  </si>
  <si>
    <t>W3: Launch month</t>
  </si>
  <si>
    <t>S-curve: T_half (мес до 50% раскатки)</t>
  </si>
  <si>
    <t>S-curve: k (крутизна)</t>
  </si>
  <si>
    <t>Cap uplift: max общий incremental к Revenue</t>
  </si>
  <si>
    <t>Cost assumptions - допущения по затратам (₽, помесячно за 5 лет)</t>
  </si>
  <si>
    <t>Все суммы в рублях. Параметры (жёлтый фон) можно менять, формулы (зелёный) пересчитаются автоматически. CoS - переменные затраты на инкрементальные заказы.</t>
  </si>
  <si>
    <t>1. Входные параметры</t>
  </si>
  <si>
    <t>Стоимость обработки доставки на заказ (логистика)</t>
  </si>
  <si>
    <t>₽/заказ</t>
  </si>
  <si>
    <t>Допущение</t>
  </si>
  <si>
    <t>Стоимость антифрод-проверки объявления</t>
  </si>
  <si>
    <t>₽/объявление</t>
  </si>
  <si>
    <t>Экспертно, диапазон 5-15 руб/объявление</t>
  </si>
  <si>
    <t>Доля incremental заказов в категории Животные</t>
  </si>
  <si>
    <t>Гипотеза: фичи дают +2% к транзакциям. Экспертно - линейный эффект от incremental engagement</t>
  </si>
  <si>
    <t>Доля incremental объявлений</t>
  </si>
  <si>
    <t>Гипотеза: рекомендации привлекают новых селлеров. Экспертно, +5% к объявлениям</t>
  </si>
  <si>
    <t>Marketing - % от Revenue (baseline AS IS)</t>
  </si>
  <si>
    <t>Бенчмарк marketing/revenue для classifieds. Avito ~5-7% (отчёт KASE Avito Group 2023)</t>
  </si>
  <si>
    <t>Marketing incremental - год 1 после запуска</t>
  </si>
  <si>
    <t>₽/год</t>
  </si>
  <si>
    <t>Промокампания + in-app коммуникации новых фич. Для Avito с её аудиторией 50M MAU не нужен большой external marketing - раскатка через персонализацию feed</t>
  </si>
  <si>
    <t>Marketing incremental - годы 2-5</t>
  </si>
  <si>
    <t>Поддержка узнаваемости после ramp-up - минимальный бюджет 3 mR/год</t>
  </si>
  <si>
    <t>IT licenses - baseline направления</t>
  </si>
  <si>
    <t>IT licenses incremental (ML/CDN/storage)</t>
  </si>
  <si>
    <t>IT оборудование на нового HC (единоразово)</t>
  </si>
  <si>
    <t>₽/HC</t>
  </si>
  <si>
    <t>G&amp;A - % от Staff costs</t>
  </si>
  <si>
    <t>Юридическая поддержка + бухгалтерия + офис. Стандартное соотношение G&amp;A/Staff в tech-компаниях 5-7%</t>
  </si>
  <si>
    <t>Baseline staff (направление Avito Animals AS IS)</t>
  </si>
  <si>
    <t>Средняя ЗП baseline staff (с налогами)</t>
  </si>
  <si>
    <t>₽/мес</t>
  </si>
  <si>
    <t>CoS baseline - % от Revenue (платежи + текущий антифрод)</t>
  </si>
  <si>
    <t>Платёжные комиссии + операционные расходы. Бенчмарк: CoS classifieds 1-3% от GMV. Avito Q4 2023</t>
  </si>
  <si>
    <t>Темп индексации ставок ЗП</t>
  </si>
  <si>
    <t>% г/г</t>
  </si>
  <si>
    <t>Статья</t>
  </si>
  <si>
    <t>Revenue (AS IS, ссылка на Baseline TOP-down) - справочно</t>
  </si>
  <si>
    <t>₽</t>
  </si>
  <si>
    <t>CoS baseline AS IS (% × Revenue)</t>
  </si>
  <si>
    <t>Staff baseline AS IS (FTE × Salary × индексация)</t>
  </si>
  <si>
    <t>Marketing baseline AS IS (% × Revenue)</t>
  </si>
  <si>
    <t>IT baseline AS IS (равномерно по месяцам)</t>
  </si>
  <si>
    <t>G&amp;A baseline AS IS (% × Staff baseline)</t>
  </si>
  <si>
    <t>Σ OPEX AS IS (без CoS, до EBITDA)</t>
  </si>
  <si>
    <t>3. Increment затраты (от нашей инициативы: 3 волны)</t>
  </si>
  <si>
    <t>Статья - Revenue INCR = 0 в мес 1-7 (период Discovery+Dev Wave 1, до Launch в мес 8).</t>
  </si>
  <si>
    <t>Revenue incremental (ссылка на Baseline TOP-down R58) - справочно</t>
  </si>
  <si>
    <t>CoS incremental (логистика + антифрод на incremental заказы)</t>
  </si>
  <si>
    <t>Staff incremental (наша команда инициативы)</t>
  </si>
  <si>
    <t>Marketing incremental (промо новых фич)</t>
  </si>
  <si>
    <t>0</t>
  </si>
  <si>
    <t>IT incremental (лицензии + оборудование на новых HC)</t>
  </si>
  <si>
    <t>G&amp;A incremental (% × Staff incr)</t>
  </si>
  <si>
    <t>Σ OPEX Increment (без CoS, до EBITDA)</t>
  </si>
  <si>
    <t>Прямой метод: суммируем фактические денежные потоки (поступления − выплаты) по месяцам. Все суммы в млн ₽. AR=0 дней (платежи приходят сразу), AP=60 дней (платим поставщикам с задержкой).</t>
  </si>
  <si>
    <t>Параметры</t>
  </si>
  <si>
    <t>AR delay (мес)</t>
  </si>
  <si>
    <t>AP delay (мес)</t>
  </si>
  <si>
    <t>Tax payment delay (мес, после конца квартала)</t>
  </si>
  <si>
    <t>Reference: PnL!Income Tax row</t>
  </si>
  <si>
    <t>ПОСТУПЛЕНИЯ (Increment)</t>
  </si>
  <si>
    <t>млн ₽</t>
  </si>
  <si>
    <t>ВЫПЛАТЫ (Increment)</t>
  </si>
  <si>
    <t>Уплата налога на прибыль (квартально, с задержкой 1 мес)</t>
  </si>
  <si>
    <t>Σ Выплаты</t>
  </si>
  <si>
    <t>Operating CashFlow (поступления − выплаты)</t>
  </si>
  <si>
    <t>Cumulative CashFlow</t>
  </si>
  <si>
    <t>КЛЮЧЕВЫЕ МЕТРИКИ</t>
  </si>
  <si>
    <t>Negative CF (min Cumulative CF) — пиковая потребность в финансировании</t>
  </si>
  <si>
    <t>Payback период (мес от старта до Cum CF &gt;= 0)</t>
  </si>
  <si>
    <t>Cumulative CF к концу 2030 (NPV — без дисконтирования)</t>
  </si>
  <si>
    <t>NPV (Operating CF, дисконтированный WACC=26.3% годовых)</t>
  </si>
  <si>
    <t>1. GENERAL INFORMATION</t>
  </si>
  <si>
    <t>Period</t>
  </si>
  <si>
    <t>2026-2030 (5 лет)</t>
  </si>
  <si>
    <t>Currency</t>
  </si>
  <si>
    <t>2. ASSUMPTIONS</t>
  </si>
  <si>
    <t>Cannibalization</t>
  </si>
  <si>
    <t>3. FINANCIALS AS IS</t>
  </si>
  <si>
    <t>NOPAT (EBITDA - Tax)</t>
  </si>
  <si>
    <t>AR (упрощение: 60 дней оборачиваемости от Revenue)</t>
  </si>
  <si>
    <t>AP (60 дней оборачиваемости от затрат)</t>
  </si>
  <si>
    <t>NWC = AR + AP</t>
  </si>
  <si>
    <t>FCF (Free Cash Flow)</t>
  </si>
  <si>
    <t>4. FINANCIALS INCREMENT (эффект инициативы)</t>
  </si>
  <si>
    <t>5. FINANCIALS TO BE (AS IS + INCREMENT)</t>
  </si>
  <si>
    <t>Sensitivity-анализ: чувствительность EBITDA Increment 2030 к ключевым параметрам</t>
  </si>
  <si>
    <t>Подход: показываем линейный эффект ±изменения каждого параметра на EBITDA INCR 2030 (млн ₽). Расчёт через прокси-формулы (Δparam × соответствующая база × margin). Применимо для приоритизации проверок гипотез.</t>
  </si>
  <si>
    <t>Базовые значения 2030 (из модели)</t>
  </si>
  <si>
    <t>Revenue INCR 2030, млн ₽</t>
  </si>
  <si>
    <t>EBITDA INCR 2030, млн ₽</t>
  </si>
  <si>
    <t>Staff INCR 2030, млн ₽</t>
  </si>
  <si>
    <t>Marketing INCR 2030, млн ₽</t>
  </si>
  <si>
    <t>CoS INCR 2030, млн ₽</t>
  </si>
  <si>
    <t>Контрибуционная маржа INCR 2030 (Rev−CoS)/Rev</t>
  </si>
  <si>
    <t>Tornado-анализ: ΔEBITDA INCR 2030 (млн ₽) при ±отклонении параметра</t>
  </si>
  <si>
    <t>База</t>
  </si>
  <si>
    <t>Сценарий «−»</t>
  </si>
  <si>
    <t>Δ EBITDA «−», млн ₽</t>
  </si>
  <si>
    <t>Сценарий «+»</t>
  </si>
  <si>
    <t>Δ EBITDA «+», млн ₽</t>
  </si>
  <si>
    <t>Размах |Δ|, млн ₽</t>
  </si>
  <si>
    <t>Источник прокси-формулы</t>
  </si>
  <si>
    <t>Индексация ЗП (год/год)</t>
  </si>
  <si>
    <t>−2pp (5%)</t>
  </si>
  <si>
    <t>+3pp (10%)</t>
  </si>
  <si>
    <t>ΔStaff2030 = Staff × ((1+i_new)^4−(1+i_base)^4)/(1+i_base)^4</t>
  </si>
  <si>
    <t>CoS Increment, % от Rev INCR</t>
  </si>
  <si>
    <t>−2pp (2%)</t>
  </si>
  <si>
    <t>+2pp (6%)</t>
  </si>
  <si>
    <t>ΔEBITDA = Revenue INCR × Δrate (знак противоположный CoS)</t>
  </si>
  <si>
    <t>Marketing год 1 после запуска, млн ₽</t>
  </si>
  <si>
    <t>−5 млн (10 млн)</t>
  </si>
  <si>
    <t>+5 млн (20 млн)</t>
  </si>
  <si>
    <t>Marketing год 1 → влияет на 2026-2027, на 2030 EBITDA не меняется. Влияние на cumulative CF.</t>
  </si>
  <si>
    <t>Marketing годы 2-5, млн ₽/год</t>
  </si>
  <si>
    <t>−2 млн (3 млн)</t>
  </si>
  <si>
    <t>+5 млн (10 млн)</t>
  </si>
  <si>
    <t>ΔEBITDA = -Δ marketing (прямой эффект годового бюджета)</t>
  </si>
  <si>
    <t>Take rate (доставка, %)</t>
  </si>
  <si>
    <t>−1pp (2%)</t>
  </si>
  <si>
    <t>+2pp (5%)</t>
  </si>
  <si>
    <t>Δ% Rev = Δtake/take × 70% (доля транзакц.выручки); × контриб.маржу</t>
  </si>
  <si>
    <t>AOV зоотоваров, ₽</t>
  </si>
  <si>
    <t>−200 (1500)</t>
  </si>
  <si>
    <t>+300 (2000)</t>
  </si>
  <si>
    <t>Аналогично Take rate (через транзакционный слой Revenue × контрибуционная маржа)</t>
  </si>
  <si>
    <t>Средняя confidence rate гипотез</t>
  </si>
  <si>
    <t>−0.2 (~0.38)</t>
  </si>
  <si>
    <t>+0.15 (~0.73)</t>
  </si>
  <si>
    <t>Confidence пропорционально влияет на uplift → на Revenue INCR</t>
  </si>
  <si>
    <t>Размер команды (FTE)</t>
  </si>
  <si>
    <t>−20% FTE</t>
  </si>
  <si>
    <t>+20% FTE</t>
  </si>
  <si>
    <t>ΔEBITDA = -Δstaff_count × Staff INCR (линейно)</t>
  </si>
  <si>
    <t>Churn покупателя зоотоваров (мес)</t>
  </si>
  <si>
    <t>−5pp (10%)</t>
  </si>
  <si>
    <t>+5pp (20%)</t>
  </si>
  <si>
    <t>Δchurn влияет на LT → ARPU транзакций; оценка по эластичности ~1:1</t>
  </si>
  <si>
    <t>WACC (риск премии)</t>
  </si>
  <si>
    <t>−5pp (21%)</t>
  </si>
  <si>
    <t>Влияет на NPV, не на EBITDA</t>
  </si>
  <si>
    <t>+5pp (31%)</t>
  </si>
  <si>
    <t>См. NPV в листе CashFlow</t>
  </si>
  <si>
    <t>—</t>
  </si>
  <si>
    <t>WACC влияет только на NPV. См. CashFlow!C36</t>
  </si>
  <si>
    <t>ВЫВОДЫ</t>
  </si>
  <si>
    <t>• Самые чувствительные параметры — те, которые имеют наибольший |Δ|. Их следует валидировать в первую очередь через A/B тесты.</t>
  </si>
  <si>
    <t>• Take rate и AOV — лоу-хэнгинг: можно тестировать ценовые эксперименты (хантовая категория, готовые наборы).</t>
  </si>
  <si>
    <t>• Confidence гипотез — главный риск раскатки. Каждая гипотеза должна пройти A/B перед полным rollout.</t>
  </si>
  <si>
    <t>• Зарплатная индексация — внешний фактор, риск перетекания талантов в банки. План: keep-программа, бонусы за владение функционалом.</t>
  </si>
  <si>
    <t>• Размер команды (+20%): риск перерасхода, contingency через FTE freeze после релиза Wave 1.</t>
  </si>
  <si>
    <t>Каждый чекер проверяет конкретное допущение/инвариант. OK = условие выполнено, FAIL = требует ревизии модели.</t>
  </si>
  <si>
    <t>Чекер</t>
  </si>
  <si>
    <t>Метрика</t>
  </si>
  <si>
    <t>Порог</t>
  </si>
  <si>
    <t>Текущее значение</t>
  </si>
  <si>
    <t>Результат</t>
  </si>
  <si>
    <t>1. ТЕХНИЧЕСКИЕ</t>
  </si>
  <si>
    <t>Σ помесячных Revenue 2026 AS IS = годовой итог</t>
  </si>
  <si>
    <t>Σ Jan-Dec = Year total</t>
  </si>
  <si>
    <t>|Δ| &lt; 0.1</t>
  </si>
  <si>
    <t>AS IS + Increment = TO BE (Revenue 2026)</t>
  </si>
  <si>
    <t>TO BE = AS IS + INCREMENT</t>
  </si>
  <si>
    <t>Нет ошибок #REF! на ключевых листах</t>
  </si>
  <si>
    <t>COUNTIF(ISERROR)</t>
  </si>
  <si>
    <t>Σ помесячных EBITDA Increment 2026 = годовой итог</t>
  </si>
  <si>
    <t>Σ месяцев = Год</t>
  </si>
  <si>
    <t>CashFlow: cumulative = sum operating CF</t>
  </si>
  <si>
    <t>Cum CF Dec 2030 = Σ CF (60 мес)</t>
  </si>
  <si>
    <t>2. ЛОГИЧЕСКИЕ</t>
  </si>
  <si>
    <t>Revenue TO BE 2026 &lt; SOM 2026 (рынок не превышен)</t>
  </si>
  <si>
    <t>Revenue / (SOM Dec × 12)</t>
  </si>
  <si>
    <t>Revenue &lt; SOM</t>
  </si>
  <si>
    <t>Revenue TO BE 2030 &lt; SOM 2030</t>
  </si>
  <si>
    <t>Revenue 2030 &lt; SOM 2030 (annualized)</t>
  </si>
  <si>
    <t>EBITDA margin TO BE &gt; AS IS (инициатива улучшает экономику) 2030</t>
  </si>
  <si>
    <t>TO BE EBITDA% &gt; AS IS EBITDA% к 2030</t>
  </si>
  <si>
    <t>TO BE &gt; AS IS</t>
  </si>
  <si>
    <t>EBITDA Increment &gt; 0 в году после полного запуска (2028)</t>
  </si>
  <si>
    <t>EBITDA INCR 2028 &gt; 0</t>
  </si>
  <si>
    <t>&gt; 0</t>
  </si>
  <si>
    <t>Cumulative CF становится положительным до конца 2030</t>
  </si>
  <si>
    <t>min Cum CF &gt;= 0 на горизонте</t>
  </si>
  <si>
    <t>CumCF(60)&gt;0</t>
  </si>
  <si>
    <t>Staff Increment / Revenue Increment &lt; 50% (2030)</t>
  </si>
  <si>
    <t>Staff INCR / Revenue INCR</t>
  </si>
  <si>
    <t>&lt; 50%</t>
  </si>
  <si>
    <t>3. РЕАЛИСТИЧНОСТЬ (vs бенчмарки)</t>
  </si>
  <si>
    <t>Зарплата ML eng в коридоре рынка (250-350k gross)</t>
  </si>
  <si>
    <t>ML salary gross</t>
  </si>
  <si>
    <t>250к ≤ x ≤ 350к</t>
  </si>
  <si>
    <t>Зарплата Backend eng в коридоре (200-320k gross)</t>
  </si>
  <si>
    <t>BE salary gross</t>
  </si>
  <si>
    <t>200к ≤ x ≤ 320к</t>
  </si>
  <si>
    <t>EBITDA margin AS IS 2026 в коридоре 40-60% (для Avito-like)</t>
  </si>
  <si>
    <t>EBITDA% AS IS 2026</t>
  </si>
  <si>
    <t>40-60%</t>
  </si>
  <si>
    <t>Доля Staff INCR в Revenue INCR &lt; 100% к 2030 (есть operating leverage)</t>
  </si>
  <si>
    <t>Staff INCR / Revenue INCR 2030</t>
  </si>
  <si>
    <t>&lt; 100%</t>
  </si>
  <si>
    <t>Marketing INCR / Revenue INCR &lt; 20% к 2030</t>
  </si>
  <si>
    <t>Mkt INCR / Revenue INCR 2030</t>
  </si>
  <si>
    <t>&lt; 20%</t>
  </si>
  <si>
    <t>TtM с буфером в коридоре 18-24 мес</t>
  </si>
  <si>
    <t>TtM мес</t>
  </si>
  <si>
    <t>18 ≤ TtM ≤ 24</t>
  </si>
  <si>
    <t>4. UNIT ECONOMICS</t>
  </si>
  <si>
    <t>LTV покупателя зоотоваров (сегмент.) &gt; 3 × CAC</t>
  </si>
  <si>
    <t>LTV pet supplies &gt; 3×CAC</t>
  </si>
  <si>
    <t>&gt; 3</t>
  </si>
  <si>
    <t>LTV (общий) &gt; CAC</t>
  </si>
  <si>
    <t>LTV &gt; CAC</t>
  </si>
  <si>
    <t>&gt; 1</t>
  </si>
  <si>
    <t>Payback period &lt; 12 мес (быстрая окупаемость инициативы)</t>
  </si>
  <si>
    <t>CF cum &gt; 0 в первые 24 мес</t>
  </si>
  <si>
    <t>&lt; 24 мес</t>
  </si>
  <si>
    <t>ИТОГО</t>
  </si>
  <si>
    <t>Σ OK</t>
  </si>
  <si>
    <t>Σ FAIL</t>
  </si>
  <si>
    <t>5. ДОПОЛНИТЕЛЬНЫЕ Unit economics (сегментированные)</t>
  </si>
  <si>
    <t>LTV продавца-классифайда &gt; 3 × CAC (профи держат retention)</t>
  </si>
  <si>
    <t>LTV seller &gt; 3×CAC</t>
  </si>
  <si>
    <t>Взвешенный LTV (3 сегмента) &gt; Взвешенный CAC</t>
  </si>
  <si>
    <t>Wgt LTV / Wgt CAC</t>
  </si>
  <si>
    <t>Графики (визуализация PnL и CashFlow)</t>
  </si>
  <si>
    <t>Сводка по годам (PnL и CashFlow)</t>
  </si>
  <si>
    <t>Год</t>
  </si>
  <si>
    <t>Revenue AS IS</t>
  </si>
  <si>
    <t>Revenue INCR</t>
  </si>
  <si>
    <t>Revenue TO BE</t>
  </si>
  <si>
    <t>EBITDA AS IS</t>
  </si>
  <si>
    <t>EBITDA INCR</t>
  </si>
  <si>
    <t>EBITDA TO BE</t>
  </si>
  <si>
    <t>FCF INCR</t>
  </si>
  <si>
    <t>Cumulative CashFlow (Increment) — помесячно 2026-2030</t>
  </si>
  <si>
    <t>Месяц #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</si>
  <si>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</si>
  <si>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</si>
  <si>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</si>
  <si>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</si>
  <si>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</si>
  <si>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</si>
  <si>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</si>
  <si>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</si>
  <si>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</si>
  <si>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</si>
  <si>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</si>
  <si>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</si>
  <si>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2027-01</t>
  </si>
  <si>
    <t>2027-02</t>
  </si>
  <si>
    <t>2027-03</t>
  </si>
  <si>
    <t>2027-04</t>
  </si>
  <si>
    <t>2027-05</t>
  </si>
  <si>
    <t>2027-06</t>
  </si>
  <si>
    <t>2027-07</t>
  </si>
  <si>
    <t>2027-08</t>
  </si>
  <si>
    <t>2027-09</t>
  </si>
  <si>
    <t>2027-10</t>
  </si>
  <si>
    <t>2027-11</t>
  </si>
  <si>
    <t>2027-12</t>
  </si>
  <si>
    <t>2028-01</t>
  </si>
  <si>
    <t>2028-02</t>
  </si>
  <si>
    <t>2028-03</t>
  </si>
  <si>
    <t>2028-04</t>
  </si>
  <si>
    <t>2028-05</t>
  </si>
  <si>
    <t>2028-06</t>
  </si>
  <si>
    <t>2028-07</t>
  </si>
  <si>
    <t>2028-08</t>
  </si>
  <si>
    <t>2028-09</t>
  </si>
  <si>
    <t>2028-10</t>
  </si>
  <si>
    <t>2028-11</t>
  </si>
  <si>
    <t>2028-12</t>
  </si>
  <si>
    <t>2029-01</t>
  </si>
  <si>
    <t>2029-02</t>
  </si>
  <si>
    <t>2029-03</t>
  </si>
  <si>
    <t>2029-04</t>
  </si>
  <si>
    <t>2029-05</t>
  </si>
  <si>
    <t>2029-06</t>
  </si>
  <si>
    <t>2029-07</t>
  </si>
  <si>
    <t>2029-08</t>
  </si>
  <si>
    <t>2029-09</t>
  </si>
  <si>
    <t>2029-10</t>
  </si>
  <si>
    <t>2029-11</t>
  </si>
  <si>
    <t>2029-12</t>
  </si>
  <si>
    <t>2030-01</t>
  </si>
  <si>
    <t>2030-02</t>
  </si>
  <si>
    <t>2030-03</t>
  </si>
  <si>
    <t>2030-04</t>
  </si>
  <si>
    <t>2030-05</t>
  </si>
  <si>
    <t>2030-06</t>
  </si>
  <si>
    <t>2030-07</t>
  </si>
  <si>
    <t>2030-08</t>
  </si>
  <si>
    <t>2030-09</t>
  </si>
  <si>
    <t>2030-10</t>
  </si>
  <si>
    <t>2030-11</t>
  </si>
  <si>
    <t>2030-12</t>
  </si>
  <si>
    <t>Cum CF, млн ₽</t>
  </si>
  <si>
    <t>Структура OPEX 2030 TO BE</t>
  </si>
  <si>
    <t>2030, млн ₽</t>
  </si>
  <si>
    <t>IT</t>
  </si>
  <si>
    <t>G&amp;A</t>
  </si>
  <si>
    <t>Точка безубыточности</t>
  </si>
  <si>
    <t>мес от старта</t>
  </si>
  <si>
    <t>Обновлен сегментированным LTV</t>
  </si>
  <si>
    <t>LTV = ARPU × Lifetime × GM%</t>
  </si>
  <si>
    <t>ARPU = ARPPU × Conversion_to_paid</t>
  </si>
  <si>
    <t>ARPU_transaction = AOV × F × Take rate</t>
  </si>
  <si>
    <t>Классифайдный слой</t>
  </si>
  <si>
    <t>ARPPU</t>
  </si>
  <si>
    <t>х</t>
  </si>
  <si>
    <t>Conversion_to_paid</t>
  </si>
  <si>
    <t>LTV</t>
  </si>
  <si>
    <t>CAC</t>
  </si>
  <si>
    <t>ARPU</t>
  </si>
  <si>
    <t>=</t>
  </si>
  <si>
    <t>руб.</t>
  </si>
  <si>
    <t>САС</t>
  </si>
  <si>
    <t>в месяц</t>
  </si>
  <si>
    <t>churn</t>
  </si>
  <si>
    <t>Уходят после покупки животного, часть может вернуться за сопутствующими товарами</t>
  </si>
  <si>
    <t>LT</t>
  </si>
  <si>
    <t>/</t>
  </si>
  <si>
    <t>GM%</t>
  </si>
  <si>
    <t>Допущение. Низкие переменные издержки у цифровой платформы, но расходы на поддержку, антифрод и инфраструктуру</t>
  </si>
  <si>
    <t>Транзакционный слой</t>
  </si>
  <si>
    <t>AOV</t>
  </si>
  <si>
    <t>Корм+наполнитель</t>
  </si>
  <si>
    <t>Частота покупок (F)</t>
  </si>
  <si>
    <t>Расход корма и прочих товаров</t>
  </si>
  <si>
    <t>раз/мес.</t>
  </si>
  <si>
    <t>Take rate</t>
  </si>
  <si>
    <t>На доставку всего 1%, низкая маржа с продажи корма</t>
  </si>
  <si>
    <t>Совокупный расчет</t>
  </si>
  <si>
    <t>ARPU (классифайд)</t>
  </si>
  <si>
    <t>Retention</t>
  </si>
  <si>
    <t>Churn</t>
  </si>
  <si>
    <t>Lifetime</t>
  </si>
  <si>
    <t>ARPU (транзакции)</t>
  </si>
  <si>
    <t>-</t>
  </si>
  <si>
    <t>UE</t>
  </si>
  <si>
    <t>Положительная</t>
  </si>
  <si>
    <t>LTV &gt; CAC → модель устойчива</t>
  </si>
  <si>
    <t>запас небольшой → чувствительна к:</t>
  </si>
  <si>
    <t>росту CAC</t>
  </si>
  <si>
    <t>падению retention</t>
  </si>
  <si>
    <t>Самые рискованые допущения</t>
  </si>
  <si>
    <t>Conversion to paid = 5%</t>
  </si>
  <si>
    <t>Частота покупок = 2</t>
  </si>
  <si>
    <t>Take rate = 5% (может ограничиваться конкуренцией с другими площадками)</t>
  </si>
  <si>
    <t>фишечки:
Дополнительно в рамках развития монетизационной модели целесообразен бандлинг в момент совершения целевого действия. Например, при покупке животного пользователю могут предлагаться готовые наборы (корм, переноска, аксессуары) по сниженной цене.
Данная механика позволяет увеличить средний чек (AOV) и частоту покупок (frequency), что напрямую влияет на рост ARPU и LTV. Бандлинг снизит когнитивную нагрузку на пользователя и повышает конверсию в покупку, так как закрывает комплексную потребность в одном сценарии.
Внедрение бандлинга является одним из ключевых драйверов роста транзакционной выручки без существенного увеличения CAC.
Каннибализация:
Введение транзакционной модели может частично каннибализировать доходы от классифайдной модели (например, снижение спроса на платное продвижение объявлений). Ожидается, что рост общего числа сделок и вовлечённости пользователей компенсирует данный эффект за счёт увеличения совокупного ARPU.
Масштабирование:
Модель является масштабируемой, так как при росте MAU выручка растёт пропорционально, а предельные издержки остаются низкими. Основным ограничением масштабирования может выступать рост CAC при насыщении рынка и усилении конкуренции за трафик.</t>
  </si>
  <si>
    <t>Альтернативы</t>
  </si>
  <si>
    <t>Подписочная модель не является оптимальной, так как поведение пользователей в категории носит нерегулярный характер: пользователи приходят под конкретную задачуи не готовы платить фиксированную плату на постоянной основе. Это снижило бы конверсию в подписку и ограничило выручку.
Рекламная модель также не является основной, поскольку ценность продукта для пользователя заключается в совершении целевого действия (покупки или продажи), а не в потреблении контента. Использование рекламы может ухудшить пользовательский опыт и снизить конверсию в ключевые действия.
В связи с этим гибридная модель (классифайд + транзакции) лучше соответствует пользовательской ценности: пользователь платит только в момент получения ценности (продвижение объявления или совершение сделки), что повышает конверсию и общую эффективность монетизации.</t>
  </si>
  <si>
    <t>СЕГМЕНТИРОВАННЫЙ LTV (обновление по фидбеку ДЗ_3)</t>
  </si>
  <si>
    <t>Замечание из рецензии: общий LTV без сегментации скрывает разную экономику пользователей. Разделяем на 3 сегмента: покупатель питомца (одноразовый), покупатель зоотоваров (повторный), продавец-классифайд (профи). Считаем LTV для каждого.</t>
  </si>
  <si>
    <t>Сегмент</t>
  </si>
  <si>
    <t>ARPU/ARPPU, ₽/мес</t>
  </si>
  <si>
    <t>Conversion to paid</t>
  </si>
  <si>
    <t>Lifetime (мес)</t>
  </si>
  <si>
    <t>LTV, ₽</t>
  </si>
  <si>
    <t>CAC, ₽</t>
  </si>
  <si>
    <t>LTV/CAC</t>
  </si>
  <si>
    <t>Статус</t>
  </si>
  <si>
    <t>Комментарий</t>
  </si>
  <si>
    <t>1. Покупатель питомца</t>
  </si>
  <si>
    <t>монетизация через селлера</t>
  </si>
  <si>
    <t>Покупатель питомца — разовая сделка C2C. Avito зарабатывает не с него, а с продавца (комиссия за продвижение). LTV покупателя = 0 в нашей модели; CAC относится к воронке продавца.</t>
  </si>
  <si>
    <t>2. Покупатель зоотоваров</t>
  </si>
  <si>
    <t>слабое превышение</t>
  </si>
  <si>
    <t>Повторяемая покупка корма/наполнителя. Lifetime 8 мес исходя из churn ~12,5%/мес. GM% 40% — учитывает логистику и низкую маржу с продажи корма. CAC 200₽ — конвертируется из существующих пользователей платформы.</t>
  </si>
  <si>
    <t>3. Продавец-классифайд (профи)</t>
  </si>
  <si>
    <t>Профессиональный селлер (питомники, частные заводчики). Lifetime 20 мес (churn ~5%/мес). GM% 85% — почти чистая прибыль с продажи продвижения. CAC 400₽ — выше за счёт B2B-воронки.</t>
  </si>
  <si>
    <t>Σ Взвешенный LTV (по MAU)</t>
  </si>
  <si>
    <t>Веса MAU: покупатель питомца 30%, покупатель зоотоваров 50%, продавец 20%.</t>
  </si>
  <si>
    <t>Старый LTV (ДЗ3, без сегментации)</t>
  </si>
  <si>
    <t>Выводы по сегментированному LTV:</t>
  </si>
  <si>
    <t>• Покупатель питомца — не монетизирован напрямую (LTV = 0). Окупаемость воронки через продавца.</t>
  </si>
  <si>
    <t>• Все 3 гипотезы из ДЗ2 поддерживают LTV селлера (рекомендации, индикатор цены) и покупателя (видео).</t>
  </si>
  <si>
    <t>• Главные риски: рост CAC (особенно для профи) и падение retention зоотоваров (конкуренция WB/Ozon).</t>
  </si>
  <si>
    <t>Гипотеза</t>
  </si>
  <si>
    <t>Confidence Rate</t>
  </si>
  <si>
    <t>uplift</t>
  </si>
  <si>
    <t>% раскатки</t>
  </si>
  <si>
    <t>Метод проверки</t>
  </si>
  <si>
    <t>Риск каннибализации</t>
  </si>
  <si>
    <t>Комментарий:</t>
  </si>
  <si>
    <t xml:space="preserve">Если внедрим алгоритм, который анализирует каждое объявление профессионального продавца в категории «Животные» и даёт  персонализированные рекомендации по улучшению объявления через платные услуги, то увеличим ARPPU на 10% за счет релевантных советов, основанных на данных и трендах рынка
</t>
  </si>
  <si>
    <t>medium</t>
  </si>
  <si>
    <t xml:space="preserve">ML рекомендации для исполнителей повысили количество целевых действий более чем на 10%: https://avito.tech/content/kkyjs1y6n1-kak-s-pomoschyu-ml-modeli-mi-pomogli-isp
</t>
  </si>
  <si>
    <t>A/B-тест на 20% трафика, длительность - месяц (4 недели). Тестовой группе предлагается алгоритм рекомендаций, замеряется прирост ARPU. При наличии спроса на функцию и повышении ARPU происходит дальнейшая раскатка</t>
  </si>
  <si>
    <t>Риск 1: рекомендации алгоритма для самых активных пользователей продвижения могут дать более низкий чек. Митигация: порог среднего чека, при котором алгоритм не рекомендует более дешевое продвижение, чем было ранее.
Риск 2: перегрузка активных пользователей с несколькими объявлениями (много пушей и рекомендаций).
Митигация: ручная настройка частоты рекомендаций и сигналов алгоритма</t>
  </si>
  <si>
    <t>Алгоритм учитывает:
-породу и возраст животного
-качество фотографий
-наличие документов (родословная, прививки)
-цену относительно рыночной
-географию
Взят дисконт от значения из кейса на 3 пп</t>
  </si>
  <si>
    <t>Если добавим в карточку объявления о животном индикатор соответствия цены рыночному уровню за отдельную плату, то увеличим число сделок на платформе, так как снизим неопределенность пользователя при просмотре карточки. Это приведет к увеличению ARPU, так как при уверенности в цене пользователь будет чаще совершать целевое действие (за которое платит продавец), не тратя время на скролл выдачи и сравнение цен</t>
  </si>
  <si>
    <t>В Авито внедрен схожий функционал, но для Авто. Животных так же можно категоризировать по породам / возрасту / родословной, чтобы причины разницы цен была прозрачна</t>
  </si>
  <si>
    <t>A/B-тест на 10% трафика, длительность - 3 недели</t>
  </si>
  <si>
    <t>Если индикатор будет слишком сильно сокращать сессию и пользователь будет мгновенно находить "идеальное по цене" животное и сразу совершать целевое действие, это может привести к снижению количества просмотренных объявлений за сессию. Авито потерять средства на "вовлеченности" (показах рекламы в ленте). Рост ARPU от сделок должен компенсировать потенциальное падение ARPU от рекламы в ленте из-за сокращения пути пользователя.</t>
  </si>
  <si>
    <t>Подразумевается, что пользователь сможет за разовую оплату добавить индикатор, кратно повышающий доверие через доказательство рыночной цены. (есл цена выше рынка - указывается причина в виде родословной / наличия всех документов и пр.)</t>
  </si>
  <si>
    <t xml:space="preserve">Если мы добавим возможность загружать короткие видео (до 30–60 секунд) в карточку объявления о животном, а также создадим отдельную ленту «Истории», где будут показываться видео с питомцами, то MAU увеличится на 3%, увелиивая вероятность импульсивной покупки внутри категории 
</t>
  </si>
  <si>
    <t>MAU</t>
  </si>
  <si>
    <t>low</t>
  </si>
  <si>
    <t>Рост конверсий за счет UGC и вовлеченности (пользователи охотно взаимодействуют с контентом о питомцах):
https://www.sostav.ru/publication/kejs-food-ru-78331.html 
Прямое влияние видео на конверсии (Кейс Krasnodog): использование коротких эмоциональных видео о животных для приюта "Краснодог" привело к бизнес-результатам: за две недели количество донатов выросло на 60%, а регулярные подписки - на 25%
https://taf25.marketing.uz//case/120.htm</t>
  </si>
  <si>
    <t>MVP -&gt; АБ на сегмент с высокой вероятностью импульсных покупок (котята, щенки и пр.).
Контрольная группа: пользователи видят стандартные карточки с фото. В выдаче нет блока «Истории».
Тестовая группа: пользователи видят карточки, где у части объявлений есть видео (до 60 сек).
Если метрики вовлеченности (time in app, dau, mau) растут, то идет доработка с точками совершения целевого действия (В выдаче появляется отдельный блок или вкладка «Истории с питомцами»)</t>
  </si>
  <si>
    <t>Риск. Пользователи могут начать проводить все время в ленте «Истории», просматривая развлекательный контент с питомцами, но при этом реже переходить в основной каталог для поиска и покупки. Метрика MAU вырастет за счет потребления контента, но транзакционная активность (количество сделок) может остаться на прежнем уровне или даже упасть.
Митигация: монетизация ленты историй через рекламные вставки для компенсации сниженя просмотров карточек и рекламы в прежних местах</t>
  </si>
  <si>
    <t>fact</t>
  </si>
  <si>
    <t>plan</t>
  </si>
  <si>
    <t>5Y</t>
  </si>
  <si>
    <t>MARKET ASSUMPTIONS</t>
  </si>
  <si>
    <t>Тут могут быть другие гипотезы о метриках рынка, применимые к вашему продукту. 
Этот блок — "ограничение сверху" для вашей модели</t>
  </si>
  <si>
    <t>Total market size (SAM)</t>
  </si>
  <si>
    <t>ths rub</t>
  </si>
  <si>
    <t>% change MoM</t>
  </si>
  <si>
    <t>SOM (year)</t>
  </si>
  <si>
    <t>SOM (month)</t>
  </si>
  <si>
    <t>Сезонный коэффициент</t>
  </si>
  <si>
    <t>Seasonal coefficient</t>
  </si>
  <si>
    <t>BASELINE</t>
  </si>
  <si>
    <t>ths users</t>
  </si>
  <si>
    <t>DAU</t>
  </si>
  <si>
    <t>Доля продавцов</t>
  </si>
  <si>
    <t>ARPPU (month)</t>
  </si>
  <si>
    <t>Конверсия в платящих пользователей</t>
  </si>
  <si>
    <t>Total Revenue (month)</t>
  </si>
  <si>
    <t>Число объявлений всего</t>
  </si>
  <si>
    <t>ths units</t>
  </si>
  <si>
    <t>Средний чек на объявление</t>
  </si>
  <si>
    <t>HYPOTHESYS</t>
  </si>
  <si>
    <t>Алгоритм рекомендаций для селлеров</t>
  </si>
  <si>
    <t>Индикатор рыночной цены</t>
  </si>
  <si>
    <t>Видео в карточках</t>
  </si>
  <si>
    <t>Confidence rate</t>
  </si>
  <si>
    <t>discount</t>
  </si>
  <si>
    <t>CASE TOTAL</t>
  </si>
  <si>
    <t>учтена раскатка</t>
  </si>
  <si>
    <t>Total Revenue</t>
  </si>
  <si>
    <t>Incremental values</t>
  </si>
  <si>
    <t>Total Revenue incremental</t>
  </si>
  <si>
    <t>mln Rub</t>
  </si>
  <si>
    <t>CANNIBALIZATION</t>
  </si>
  <si>
    <t>Каннибализация не учтена, так как все фичи подразумевают либо отсеивание убыточной инициативы на этапе теста, либо монетизацию, компенсирующую каннибализацию</t>
  </si>
  <si>
    <t>Изменения выручки</t>
  </si>
  <si>
    <t>Rev New 26, ths rub</t>
  </si>
  <si>
    <t>Rev Baseline 26, ths rub</t>
  </si>
  <si>
    <t>Показатель</t>
  </si>
  <si>
    <t>Ед. изм.</t>
  </si>
  <si>
    <t>Примечание</t>
  </si>
  <si>
    <t>тыс. чел.</t>
  </si>
  <si>
    <t>Лист Данные для ДЗ №1</t>
  </si>
  <si>
    <t>Число объявлений</t>
  </si>
  <si>
    <t>тыс. ед.</t>
  </si>
  <si>
    <t>Объявлений на пользователя</t>
  </si>
  <si>
    <t>ед.</t>
  </si>
  <si>
    <t>Разделением на байеров и селлеров пренебрегаем, так как пользователь может попасть в обе группы, что в текущей модели нецелесообразно</t>
  </si>
  <si>
    <t xml:space="preserve">Конверсия DAU -&gt; Order placed </t>
  </si>
  <si>
    <t>Конверсия из DAU в публикацию объявления. Посчитал, что за 1 день публикуется более 650 объявлений о продаже собак в Москве, собаки - около 1/3 от общего числа объявлений. Если экстраполировать на другие категрии и регионы, обращая внимание на общее кол-во объявлений категории, получим примерное значение (возможно завышено)</t>
  </si>
  <si>
    <t>Конверсия DAU -&gt; Order placed &gt; Order paid</t>
  </si>
  <si>
    <t>Оценил по количеству объявлений с продвижением в серпе. Неуверен в репрезентативности выборки, так как может варьироваться от региона к региону</t>
  </si>
  <si>
    <t>ТАМ</t>
  </si>
  <si>
    <t>тыс. руб./год</t>
  </si>
  <si>
    <t>Все стоимостные значения в тыс., чтобы было удобнее считать</t>
  </si>
  <si>
    <t>Доля онлайн-сегмента</t>
  </si>
  <si>
    <t>Для оценки SAM</t>
  </si>
  <si>
    <t>Потенциальная доля Авито на рынке</t>
  </si>
  <si>
    <t>Для оценки SOM</t>
  </si>
  <si>
    <t>Годовой ARPU</t>
  </si>
  <si>
    <t>тыс. руб.</t>
  </si>
  <si>
    <t>Взято значение ближе к середине диапозона, так как товары в категории животные, как правило, имеют невысокую стоимость (за исключением породистых животных)</t>
  </si>
  <si>
    <t>Месячный ARPPU</t>
  </si>
  <si>
    <t>Фактические данные</t>
  </si>
  <si>
    <t>Гипотетически средняя цена будет ближе к минимальной на платформе (600 руб), так как основаня часть, публикующая животных, делает это разово и не является профпродавцом с высоким средним чеком</t>
  </si>
  <si>
    <t>Месячный ARPU</t>
  </si>
  <si>
    <t>Годовая инфляция (индекс)</t>
  </si>
  <si>
    <t>Прогноз социально-экономического развития Российской Федерации на 2026 год и на плановый период 2027 и 2028 годов
https://www.economy.gov.ru/material/directions/makroec/prognozy_socialno_ekonomicheskogo_razvitiya/prognoz_socialno_ekonomicheskogo_razvitiya_rf_na_2026_god_i_na_planovyy_period_2027_i_2028_godov.html</t>
  </si>
  <si>
    <t>Рост цен частично заложен в рост рынка. Был взят официальный таргет инфляции. Его возможная заниженность компенсируется тем, что ценовая политика не дублирует уровень инфляции. Поэтому инфляция в модели используется в качестве консервативного сценария индексации ARPU</t>
  </si>
  <si>
    <t>Инфляция в месяц (индекс)</t>
  </si>
  <si>
    <t>% м/м</t>
  </si>
  <si>
    <t>Темп роста рынка животных и зоотоваров 2025</t>
  </si>
  <si>
    <t>https://companies.rbc.ru/news/sC0u2z43j7/ryinok-zootovarov-v-rossii-vyiros-do-590-mlrd-rublej/</t>
  </si>
  <si>
    <t xml:space="preserve"> </t>
  </si>
  <si>
    <t>Темп роста рынка животных и зоотоваров 2024</t>
  </si>
  <si>
    <t>Темп роста рынка животных и зоотоваров 2023</t>
  </si>
  <si>
    <t>Темп роста рынка животных и зоотоваров 2022</t>
  </si>
  <si>
    <t>Средний темп роста рынка за 4 года</t>
  </si>
  <si>
    <t>Изначальный ускоренный рост был обеспечен не столько увеличением потребления, сколько ценовым фактором. Поэтому в расчет будет закладываться замедление роста рынка ввиду замедления инфляции.</t>
  </si>
  <si>
    <t>Замедление темпа роста рынка</t>
  </si>
  <si>
    <t>Темп роста рынка в модель</t>
  </si>
  <si>
    <t>С учетом динамики замедления роста. В среднесрочной перспективе оставлено текущее значение, закладывается улучшение экономической конъюнктуры. Но эффект высокой базы не даст прежних темпов прироста более 15%</t>
  </si>
  <si>
    <t>Темп роста рынка в месяц</t>
  </si>
  <si>
    <t>Для расчета в ежемесячном разрезе</t>
  </si>
  <si>
    <t>Конверсия в платящего пользователя</t>
  </si>
  <si>
    <t>Bottom-up: конверсия ~3–5%</t>
  </si>
  <si>
    <t>Значительная часть заходит на платформу чтобы посмотреть на животынх. Очень низкая конверсия в покупку (по исходным данным). Селлером может выступать каждый кто заходит, так как платформа С2С. Если около половины (до 50%) заходит просто так, то оставшиеся пользоватли - потенциальные продавцы или покупатели. С учетом, что объявлений 1,2 млн, а продавцы выкладывают минимум 1 объявление (пусть среднее 1,1 объявлений на продавца), то доля продавцов 1,2 млн объявлений / 1,3 / MAU            =</t>
  </si>
  <si>
    <t>Бизнес-контекст</t>
  </si>
  <si>
    <t>Выбрано направление «Животные» внутри Авито — категория объявлений о продаже питомцев и сопутствующих товаров. Продукт находится в фазе роста с переходом к масштабированию: базовый спрос сформирован (product–market fit достигнут), фокус смещается на повышение доверия, увеличение доли транзакций внутри платформы и рост повторных покупок.</t>
  </si>
  <si>
    <t>Целевая аудитория</t>
  </si>
  <si>
    <t>1 Частные продавцы (заводчики, владельцы животных).
2 Профессиональные участники (питомники, магазины, приюты).
3 Покупатели питомцев — семьи, одинокие пользователи, люди с выраженной эмоциональной мотивацией.
4 Повторные покупатели сопутствующих товаров (корм, аксессуары, услуги).
5 Аудитория чувствительна к доверию и безопасности сделки.</t>
  </si>
  <si>
    <t>Ключевые проблемы, которые решает продукт</t>
  </si>
  <si>
    <t>Снижение риска мошенничества и недобросовестных продавцов; прозрачность информации о животном; удобный поиск по параметрам; коммуникация через встроенный чат; возможность дальнейших покупок товаров для ухода. Продукт закрывает как рациональные (поиск, сравнение), так и эмоциональные потребности (забота, ответственность)</t>
  </si>
  <si>
    <t xml:space="preserve">
Ключевые метрики успеха</t>
  </si>
  <si>
    <t>MAU/DAU категории; количество размещённых объявлений; конверсия DAU → Order placed; конверсия Order placed → Paid; доля платных размещений; ARPU; Total Revenue; доля повторных покупок в сегменте товаров; рост SOM относительно SAM.</t>
  </si>
  <si>
    <t>Выбор метода расчёта baseline</t>
  </si>
  <si>
    <t>Top-down — для ограничения сверху через SAM и темпы роста рынка. Такой подход отражает специфику категории: с одной стороны, рынок уже сформирован и имеет макроограничения; с другой — монетизация напрямую зависит от конверсий внутри продукта.</t>
  </si>
  <si>
    <t>Преимущества и ограничения метода</t>
  </si>
  <si>
    <t>Top-down позволяет проверить модель на превышение ёмкости рынка, но менее точен без детальных данных.</t>
  </si>
  <si>
    <t>Обоснование реалистичности</t>
  </si>
  <si>
    <t>Прогнозируемый SOM не превышает SAM, а итоговая выручка остаётся в пределах разумной доли от общего оборота категории.</t>
  </si>
  <si>
    <t>Отсутствуют аномальные значения конверсий (например, 50% в оплату).</t>
  </si>
  <si>
    <t>Месячный рост согласован с годовым (1,09% MoM ≈ 13,9% YoY).</t>
  </si>
  <si>
    <t>ARPU растёт умеренно, без скачкообразных значений.</t>
  </si>
  <si>
    <t>MAU не выходит за пределы доступной интернет-аудитории.</t>
  </si>
  <si>
    <t>Факторы и риски, влияющие на точность прогноза</t>
  </si>
  <si>
    <t xml:space="preserve">1. Общие рыночные данные </t>
  </si>
  <si>
    <t>Продукт</t>
  </si>
  <si>
    <t>TAM (объём рынка, млрд ₽/год)</t>
  </si>
  <si>
    <t>SAM (доля онлайн-сегмента, %)</t>
  </si>
  <si>
    <t>SOM (доля Avito на рынке, оценка)</t>
  </si>
  <si>
    <t>Источник / примечание</t>
  </si>
  <si>
    <t>1.1 Лента объявлений (Search / логика ранжирования)</t>
  </si>
  <si>
    <t>Не применимо как самостоятельный рынок</t>
  </si>
  <si>
    <t>Это инфраструктурная функция, влияющая на весь трафик Avito. Её "рынок" — совокупность всех категорий. Однако можно оценить экономический эффект: улучшение релевантности на 10% → +5–8% к конверсии в контакт. База: 50 млн MAU, 4% CTR → ~2 млн контактов/день. Увеличение эффективности ленты = рост GMV платформы.</t>
  </si>
  <si>
    <t>1.2 Рекомендации пользователю</t>
  </si>
  <si>
    <t>Также инфраструктурная фича. Влияет на вовлечённость. Доступна в отдельных сценариях (например - в карточке товара) Можно оценить через время в приложении и частоту визитов. Эффект: персонализированные рекомендации увеличивают return rate на 15–20%. Аналог: Amazon (35% продаж через рекомендации). На Avito доля рекомендаций в общем трафике — до 15%.</t>
  </si>
  <si>
    <t>2.1 Продвижение объявлений</t>
  </si>
  <si>
    <t>Инфраструктурная фича, работает на уровне объявлений. Доступно всем при размещении объявлений (100% контента покрыта услугой).</t>
  </si>
  <si>
    <t>3.1 Воронка для электроники (смартфоны)</t>
  </si>
  <si>
    <t>35–40%</t>
  </si>
  <si>
    <t>Отчёт ФИТР 2024</t>
  </si>
  <si>
    <t>3.2 Мода и одежда</t>
  </si>
  <si>
    <t>Data Insight</t>
  </si>
  <si>
    <t>3.4 Хобби</t>
  </si>
  <si>
    <t>Аналоги Etsy, OLX</t>
  </si>
  <si>
    <t>3.5 Спортинвентарь</t>
  </si>
  <si>
    <t>Включает велосипеды, лыжи, тренажёры, снаряжение. Онлайн-сегмент растёт (спорт как lifestyle). Avito — лидер среди C2C-платформ. Конкуренты: Decathlon, Wildberries, Озон, Sportmaster. Источник: Data Insight, Romir.</t>
  </si>
  <si>
    <t>3.7 Мебель и мебель на заказ (подраздел "Новая мебель")</t>
  </si>
  <si>
    <t>Рынок новой мебели (не б/у). Включает магазины и мастеров. Онлайн-продажи растут медленнее из-за специфики (замеры, доставка). Avito — ключевая площадка для небольших производителей и студий. Конкуренты: IKEA, Мебель-онлайн, Joom.</t>
  </si>
  <si>
    <t>3.9 Животные и товары для животных</t>
  </si>
  <si>
    <t>Ветеринарные ассоциации</t>
  </si>
  <si>
    <t>4.1 Крупногабаритная доставка (КГТ)</t>
  </si>
  <si>
    <t>80(рынок доставки габаритов)</t>
  </si>
  <si>
    <t>15% (онлайн-платформы)</t>
  </si>
  <si>
    <t>McKinsey Logistics</t>
  </si>
  <si>
    <t>4.5 Примерки</t>
  </si>
  <si>
    <t>25–30 млрд ₽ (потенциал выручки от комиссий и логистики)</t>
  </si>
  <si>
    <t>100% (только онлайн)</t>
  </si>
  <si>
    <t>100% (единственный игрок в C2C)</t>
  </si>
  <si>
    <t>Это сервис внутри платформы, нет отдельного рынка. TAM = потенциальный доход: 400 тыс. заказов/мес × 750 ₽ (средняя комиссия + логистика) = ~360 млн ₽/год. Рынок ограничен логистикой и географией. Avito — первый и пока единственный массовый игрок в C2C-примерках.</t>
  </si>
  <si>
    <t>4.7 Корзина</t>
  </si>
  <si>
    <t>Рассчитывается через GMV</t>
  </si>
  <si>
    <t>5.1 Тревел / аренда жилья</t>
  </si>
  <si>
    <t>3 млн сделок в год</t>
  </si>
  <si>
    <t>ЦИАН, Avito Realty Report</t>
  </si>
  <si>
    <t>6.1 Каталог автомобилей</t>
  </si>
  <si>
    <t>6 млн авто в год (шт.)</t>
  </si>
  <si>
    <t>ГИБДД + Автостат, новые авто и авто с пробегом</t>
  </si>
  <si>
    <t>8.1 Стройка (запрос предложений или транзакция)
8.2 Ремонт (запрос предложений или транзакция)</t>
  </si>
  <si>
    <t>1.2 трлн ₽</t>
  </si>
  <si>
    <t>20% (онлайн-запросы)</t>
  </si>
  <si>
    <t>NPS строительных компаний</t>
  </si>
  <si>
    <t>2. Ключевые продуктовые метрики Avito (оценочные, усреднённые)</t>
  </si>
  <si>
    <t>MAU (все направления)</t>
  </si>
  <si>
    <t>50 млн</t>
  </si>
  <si>
    <t>Общая аудитория Avito (источник: публичные отчёты)</t>
  </si>
  <si>
    <t>Конверсия просмотра объявления → контакт</t>
  </si>
  <si>
    <t>0,03–0,05%</t>
  </si>
  <si>
    <t>Зависит от категории (выше в дорогих, ниже в массовых)</t>
  </si>
  <si>
    <t>Среднее количество объявлений на пользователя (продавец) в месяц</t>
  </si>
  <si>
    <t>1.2–1.8</t>
  </si>
  <si>
    <t>C2C vs B2B</t>
  </si>
  <si>
    <t>Доля профессиональных продавцов в контенте</t>
  </si>
  <si>
    <t>20-50%</t>
  </si>
  <si>
    <t>в зависимости от категории</t>
  </si>
  <si>
    <t>Частота публикаций объявлений(активность)</t>
  </si>
  <si>
    <t>1.5 раза в месяц</t>
  </si>
  <si>
    <t>Усреднено для всех сегментов и категорий</t>
  </si>
  <si>
    <t>ARPU (с продавца, годовой)</t>
  </si>
  <si>
    <t>1 200 – 3 500 ₽</t>
  </si>
  <si>
    <t>Зависит от категории (выше в авто, недвижимости)</t>
  </si>
  <si>
    <t>GMV (на одно объявление)</t>
  </si>
  <si>
    <t>50 000 ₽ (электроника), 120 000 ₽ (авто), 300 000 ₽ (недвижимость)</t>
  </si>
  <si>
    <t>Можно давать по категориям</t>
  </si>
  <si>
    <t>Take Rate, %</t>
  </si>
  <si>
    <t>0,5-10%</t>
  </si>
  <si>
    <t>Зависит от категории (референс аналогов по рынку конкретной категории)</t>
  </si>
  <si>
    <t>Доля транзакций внутри платформы</t>
  </si>
  <si>
    <t>10–15% (растёт)</t>
  </si>
  <si>
    <t>Для корзины, примерки, КГТ — выше, усредненно для всей площадки, по категориям может значимо отличаться</t>
  </si>
  <si>
    <t>3. Разбивка по категориям</t>
  </si>
  <si>
    <t>Основная метрика (MAU, кол-во объявлений, число заказов)</t>
  </si>
  <si>
    <t>Драйверы роста</t>
  </si>
  <si>
    <t>Особенности baseline</t>
  </si>
  <si>
    <t>50 млн MAU, 200 млн просмотров/день</t>
  </si>
  <si>
    <t>Релевантность, персонализация, скорость загрузки</t>
  </si>
  <si>
    <t>Baseline строится через улучшение CTR и удержание: +1% к CTR = +X млн контактов/мес. Используется bottom-up: от поведения пользователя → к общему трафику, важен сплит категорий в выдаче</t>
  </si>
  <si>
    <t>30 млн MAU, 15 млн рекомендаций/день</t>
  </si>
  <si>
    <t>Качество алгоритма, частота показов, кликабельность</t>
  </si>
  <si>
    <t>Bottom-up: от доли кликов на рекомендации → к росту времени в приложении и конверсии. Эффект измеряется через uplift в смежных категориях, важен сплит категорий в выдаче</t>
  </si>
  <si>
    <t>12–15 млн активных продавцов, 5 млн платных действий/мес</t>
  </si>
  <si>
    <t>Видимость, ROI для продавца, момент предложения</t>
  </si>
  <si>
    <t>Bottom-up: ARPU с продавца × число активных продавцов. Учитывается доля тех, кто использует платные опции (~15–20%), влияние срока размещения</t>
  </si>
  <si>
    <t>12 млн MAU, 8 млн объявлений</t>
  </si>
  <si>
    <t>Релевантность поиска, доверие</t>
  </si>
  <si>
    <t>Bottom-up: конверсия → сделка</t>
  </si>
  <si>
    <t>9 млн MAU, 6 млн объявлений</t>
  </si>
  <si>
    <t>Рекомендации, размеры</t>
  </si>
  <si>
    <t>Bottom-up: частота покупок, сезонность, конверсия → сделка</t>
  </si>
  <si>
    <t>3 млн MAU, 500 тыс. объявлений</t>
  </si>
  <si>
    <t>Сообщества, уникальность</t>
  </si>
  <si>
    <t>Bottom-up: редкие запросы, долгий цикл</t>
  </si>
  <si>
    <t>4 млн MAU, 800 тыс. объявлений</t>
  </si>
  <si>
    <t>Доверие к состоянию, фильтры по характеристикам, интеграция с проверкой</t>
  </si>
  <si>
    <t>Bottom-up: конверсия просмотра → контакт (4–6%), средний чек ~30 000 ₽. GMV = число сделок × AOV. Сезонность, конверсия → сделка</t>
  </si>
  <si>
    <t>5 млн MAU, 600 тыс. объявлений</t>
  </si>
  <si>
    <t>Качество фото, портфолио, конфигуратор, доверие</t>
  </si>
  <si>
    <t>Bottom-up: число запросов КП × конверсия в сделку (~5–8%). Для новой мебели — выше ARPU, но ниже частота.</t>
  </si>
  <si>
    <t>6 млн MAU, 1.2 млн объявлений</t>
  </si>
  <si>
    <t>Доверие к продавцу, верификация, породы, гео</t>
  </si>
  <si>
    <t>Bottom-up: конверсия ~3–5%. Высокая эмоциональная вовлечённость, но низкая частота покупок. Для товаров — аналог маркетплейса.</t>
  </si>
  <si>
    <t>1.2 млн заказов/мес</t>
  </si>
  <si>
    <t>Покрытие городов, сроки</t>
  </si>
  <si>
    <t>Bottom-up: заказы × средний чек доставки</t>
  </si>
  <si>
    <t>400 тыс. заказов/мес</t>
  </si>
  <si>
    <t>Удержание, отказы после примерки</t>
  </si>
  <si>
    <t>Uplift от базовой конверсии, связь с фешн через долю примерок</t>
  </si>
  <si>
    <t>2 млн корзин/мес, 15% конверсия</t>
  </si>
  <si>
    <t>UX, рекомендации, отказы на оплате</t>
  </si>
  <si>
    <t>GMV = сумма товаров в корзине, конверсия в чекаут, возвраты</t>
  </si>
  <si>
    <t>8 млн MAU, 2.5 млн объявлений</t>
  </si>
  <si>
    <t>Качество фото, календарь, фиксированные цены, отзывы</t>
  </si>
  <si>
    <t>Bottom-up: число бронирований × средняя комиссия (~1 500 ₽). TAM ограничен числом туристических поездок.</t>
  </si>
  <si>
    <t>7 млн MAU, 1.5 млн активных объявлений</t>
  </si>
  <si>
    <t>Качество фото, VIN, история</t>
  </si>
  <si>
    <t>Top-down: TAM → доля рынка, низкая, околонулевая частотность</t>
  </si>
  <si>
    <t>8.1 Стройка (запрос предложений или транзакция)</t>
  </si>
  <si>
    <t>1.8 млн запросов/год, 300 тыс. сделок</t>
  </si>
  <si>
    <t>Качество заявки, подбор подрядчика, сроки</t>
  </si>
  <si>
    <t>Bottom-up: число запросов КП × конверсия в сделку (~10–15%). Высокий LTV, долгий цикл принятия решений.</t>
  </si>
  <si>
    <t>8.2 Ремонт (запрос предложений или транзакция)</t>
  </si>
  <si>
    <t>3.5 млн запросов/мес, 500 тыс. сделок</t>
  </si>
  <si>
    <t>Простота подачи заявки, скорость ответа, страхование</t>
  </si>
  <si>
    <t>Bottom-up: конверсия ~15%. Фокус на массовых услугах (сантехник, электрик). Возможен top-down по объёму рынка бытовых услуг.</t>
  </si>
  <si>
    <t>1. Тарифная сетка</t>
  </si>
  <si>
    <t>Налоги (×k)</t>
  </si>
  <si>
    <t>2. AS IS затраты (baseline направления Avito Животные)</t>
  </si>
  <si>
    <t>Экспертно - стандартный стек ~3 mR/год для команды 30 чел</t>
  </si>
  <si>
    <t>Экспертно</t>
  </si>
  <si>
    <t>Ноут MacBook Pro/Workstation + лицензии (IDE, Notion). Экспертно - 100 тыс/чел с учетом того что оборудование уже есть, не всегда закупается новое</t>
  </si>
  <si>
    <t>Текущая команда: разработка, аналитика, поддержка. Экспертно - 25 FTE для одного направления (среднего размера в Avito)</t>
  </si>
  <si>
    <t>Усреднённая зарплата по ролям направления (с налогами)</t>
  </si>
  <si>
    <t>Не учтена (см. ДЗ2), так как инициативы направлены на повышение конверсий и не влияют на переток пользователей из других категорий</t>
  </si>
  <si>
    <t>Avito Animals - PnL: Развитие классифайдной монетизации</t>
  </si>
  <si>
    <t>Avito Animals - Алгоритм рекомендаций + Индикатор цены + Видео в карточках</t>
  </si>
  <si>
    <t>Чекеры - валидация модели по 3 осям</t>
  </si>
  <si>
    <t>Страховые взносы 7,6% - льгота для IT-аккредитованных компаний (Avito аккредитована Минцифры России). Состав: ПФР 6% + ОМС 0,1% + ФСС 1,5%. НК РФ ст. 427 п. 1 пп. 3, ФЗ-321 от 14.07.2022. Бессрочная льгота для tech-сектора. Базовая ставка 30,2% применялась бы для не-IT.</t>
  </si>
  <si>
    <t>мес - алгоритм рекомендаций (на готовой ML-платформе Avito)</t>
  </si>
  <si>
    <t>CashFlow прямым методом - Increment (наша инициатива)</t>
  </si>
  <si>
    <t>Reference: PnL!НДС row</t>
  </si>
  <si>
    <t>Revenue Increment (без НДС)</t>
  </si>
  <si>
    <t>НДС начислен с Revenue (исходящий)</t>
  </si>
  <si>
    <t>Денежные поступления (Revenue × (1+НДС), AR delay=0)</t>
  </si>
  <si>
    <t>Выплаты по CoS (× (1+НДС), AP delay=2 мес)</t>
  </si>
  <si>
    <t>Выплаты по Staff (без НДС, без задержки)</t>
  </si>
  <si>
    <t>Выплаты по Marketing (× (1+НДС), AP delay=2 мес)</t>
  </si>
  <si>
    <t>Выплаты по IT (× (1+НДС), AP delay=2 мес)</t>
  </si>
  <si>
    <t>Выплаты по G&amp;A (× (1+НДС), AP delay=2 мес)</t>
  </si>
  <si>
    <t>Уплата НДС (NET) в бюджет (квартально)</t>
  </si>
  <si>
    <t>НДС</t>
  </si>
  <si>
    <t>AR (incl. НДС)</t>
  </si>
  <si>
    <t>AP (incl. НДС)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</si>
</sst>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0.0%"/>
    <numFmt numFmtId="165" formatCode="_-* #,##0_-;\-* #,##0_-;_-* &quot;-&quot;??_-;_-@_-"/>
    <numFmt numFmtId="166" formatCode="_-* #,##0.0_-;\-* #,##0.0_-;_-* &quot;-&quot;??_-;_-@_-"/>
    <numFmt numFmtId="167" formatCode="0.000"/>
    <numFmt numFmtId="168" formatCode="0.0"/>
    <numFmt numFmtId="169" formatCode="_-* #,##0.000\ _₽_-;\-* #,##0.000\ _₽_-;_-* &quot;-&quot;???\ _₽_-;_-@_-"/>
    <numFmt numFmtId="170" formatCode="#,##0.0;[Red]\-#,##0.0;0.0"/>
    <numFmt numFmtId="171" formatCode="#,##0.0"/>
    <numFmt numFmtId="172" formatCode="#,##0.0;[Red]\-#,##0.0"/>
  </numFmts>
  <fonts count="52" x14ac:knownFonts="1">
    <font>
      <sz val="10"/>
      <color rgb="FF000000"/>
      <name val="Arial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0"/>
      <name val="Arial"/>
      <family val="2"/>
    </font>
    <font>
      <sz val="12"/>
      <color rgb="FF000000"/>
      <name val="Arial"/>
      <family val="2"/>
    </font>
    <font>
      <sz val="12"/>
      <color rgb="FF434343"/>
      <name val="Calibri"/>
      <family val="2"/>
    </font>
    <font>
      <sz val="12"/>
      <color rgb="FFFF0000"/>
      <name val="Calibri"/>
      <family val="2"/>
    </font>
    <font>
      <sz val="10"/>
      <color rgb="FF000000"/>
      <name val="Arial"/>
      <family val="2"/>
    </font>
    <font>
      <sz val="12"/>
      <color rgb="FF434343"/>
      <name val="Arial"/>
      <family val="2"/>
    </font>
    <font>
      <sz val="10"/>
      <color rgb="FF729A1D"/>
      <name val="Arial"/>
      <family val="2"/>
    </font>
    <font>
      <b/>
      <sz val="12"/>
      <color rgb="FF434343"/>
      <name val="Calibri"/>
      <family val="2"/>
    </font>
    <font>
      <sz val="12"/>
      <color theme="1"/>
      <name val="Calibri"/>
      <family val="2"/>
    </font>
    <font>
      <sz val="12"/>
      <color rgb="FFAEAAAA"/>
      <name val="Calibri"/>
      <family val="2"/>
    </font>
    <font>
      <b/>
      <sz val="12"/>
      <color rgb="FFFFFFFF"/>
      <name val="Calibri"/>
      <family val="2"/>
    </font>
    <font>
      <b/>
      <sz val="14"/>
      <color rgb="FF1D1D20"/>
      <name val="Calibri"/>
      <family val="2"/>
    </font>
    <font>
      <b/>
      <sz val="12"/>
      <color rgb="FF1D1D20"/>
      <name val="Calibri"/>
      <family val="2"/>
    </font>
    <font>
      <sz val="10"/>
      <color theme="1"/>
      <name val="Arial"/>
      <family val="2"/>
      <scheme val="minor"/>
    </font>
    <font>
      <sz val="12"/>
      <color rgb="FF1D1D20"/>
      <name val="Calibri"/>
      <family val="2"/>
    </font>
    <font>
      <i/>
      <sz val="12"/>
      <color rgb="FF1D1D20"/>
      <name val="Calibri"/>
      <family val="2"/>
    </font>
    <font>
      <b/>
      <sz val="14"/>
      <color rgb="FF1D1D20"/>
      <name val="Arial"/>
      <family val="2"/>
    </font>
    <font>
      <b/>
      <sz val="12"/>
      <color rgb="FF1D1D20"/>
      <name val="Arial"/>
      <family val="2"/>
    </font>
    <font>
      <sz val="12"/>
      <color rgb="FF1D1D20"/>
      <name val="Arial"/>
      <family val="2"/>
    </font>
    <font>
      <sz val="10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  <font>
      <b/>
      <sz val="10"/>
      <color theme="0"/>
      <name val="Arial"/>
      <family val="2"/>
      <scheme val="minor"/>
    </font>
    <font>
      <sz val="10"/>
      <color theme="0"/>
      <name val="Arial"/>
      <family val="2"/>
      <scheme val="minor"/>
    </font>
    <font>
      <u/>
      <sz val="10"/>
      <color theme="10"/>
      <name val="Arial"/>
      <family val="2"/>
      <scheme val="minor"/>
    </font>
    <font>
      <b/>
      <sz val="10"/>
      <color rgb="FF000000"/>
      <name val="Arial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Calibri"/>
      <family val="2"/>
    </font>
    <font>
      <i/>
      <sz val="12"/>
      <color rgb="FF000000"/>
      <name val="Calibri"/>
      <family val="2"/>
    </font>
    <font>
      <sz val="12"/>
      <color rgb="FF000000"/>
      <name val="Calibri"/>
      <family val="2"/>
      <charset val="204"/>
    </font>
    <font>
      <sz val="14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i/>
      <sz val="11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4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i/>
      <sz val="9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i/>
      <u/>
      <sz val="9"/>
      <color rgb="FF0563C1"/>
      <name val="Arial"/>
      <family val="2"/>
    </font>
    <font>
      <i/>
      <sz val="9"/>
      <name val="Arial"/>
      <family val="2"/>
    </font>
    <font>
      <sz val="11"/>
      <color theme="0"/>
      <name val="Arial"/>
      <family val="2"/>
      <scheme val="minor"/>
    </font>
    <font>
      <b/>
      <sz val="11"/>
      <color theme="0"/>
      <name val="Arial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2F2F2"/>
        <bgColor rgb="FFF2F2F2"/>
      </patternFill>
    </fill>
    <fill>
      <patternFill patternType="solid">
        <fgColor rgb="FF548235"/>
        <bgColor rgb="FF548235"/>
      </patternFill>
    </fill>
    <fill>
      <patternFill patternType="solid">
        <fgColor rgb="FFE2EFDA"/>
        <bgColor rgb="FFE2EFDA"/>
      </patternFill>
    </fill>
    <fill>
      <patternFill patternType="solid">
        <fgColor rgb="FFF7F8FC"/>
        <bgColor rgb="FFF7F8FC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9E1F2"/>
      </patternFill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C6E0B4"/>
      </patternFill>
    </fill>
    <fill>
      <patternFill patternType="solid">
        <fgColor rgb="FFF8CBAD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theme="7"/>
        <bgColor indexed="64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4">
    <xf numFmtId="0" fontId="0" fillId="0" borderId="0"/>
    <xf numFmtId="43" fontId="22" fillId="0" borderId="0"/>
    <xf numFmtId="9" fontId="22" fillId="0" borderId="0"/>
    <xf numFmtId="0" fontId="26" fillId="0" borderId="0"/>
  </cellStyleXfs>
  <cellXfs count="370">
    <xf numFmtId="0" fontId="0" fillId="0" borderId="0" xfId="0"/>
    <xf numFmtId="0" fontId="1" fillId="3" borderId="0" xfId="0" applyFont="1" applyFill="1"/>
    <xf numFmtId="0" fontId="1" fillId="0" borderId="0" xfId="0" applyFont="1"/>
    <xf numFmtId="0" fontId="4" fillId="4" borderId="0" xfId="0" applyFont="1" applyFill="1"/>
    <xf numFmtId="0" fontId="4" fillId="4" borderId="7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4" borderId="0" xfId="0" applyFont="1" applyFill="1"/>
    <xf numFmtId="0" fontId="4" fillId="4" borderId="8" xfId="0" applyFont="1" applyFill="1" applyBorder="1" applyAlignment="1">
      <alignment horizontal="center"/>
    </xf>
    <xf numFmtId="0" fontId="4" fillId="0" borderId="0" xfId="0" applyFont="1"/>
    <xf numFmtId="0" fontId="1" fillId="5" borderId="0" xfId="0" applyFont="1" applyFill="1"/>
    <xf numFmtId="0" fontId="2" fillId="0" borderId="9" xfId="0" applyFont="1" applyBorder="1"/>
    <xf numFmtId="0" fontId="1" fillId="0" borderId="10" xfId="0" applyFont="1" applyBorder="1"/>
    <xf numFmtId="0" fontId="6" fillId="0" borderId="0" xfId="0" applyFont="1"/>
    <xf numFmtId="0" fontId="7" fillId="0" borderId="7" xfId="0" applyFont="1" applyBorder="1"/>
    <xf numFmtId="0" fontId="1" fillId="0" borderId="8" xfId="0" applyFont="1" applyBorder="1"/>
    <xf numFmtId="0" fontId="1" fillId="0" borderId="0" xfId="0" applyFont="1" applyAlignment="1">
      <alignment horizontal="right"/>
    </xf>
    <xf numFmtId="0" fontId="2" fillId="0" borderId="7" xfId="0" applyFont="1" applyBorder="1"/>
    <xf numFmtId="0" fontId="5" fillId="0" borderId="12" xfId="0" applyFont="1" applyBorder="1" applyAlignment="1">
      <alignment horizontal="right"/>
    </xf>
    <xf numFmtId="0" fontId="1" fillId="0" borderId="12" xfId="0" applyFont="1" applyBorder="1"/>
    <xf numFmtId="0" fontId="9" fillId="0" borderId="0" xfId="0" applyFont="1" applyAlignment="1">
      <alignment horizontal="right"/>
    </xf>
    <xf numFmtId="0" fontId="7" fillId="0" borderId="13" xfId="0" applyFont="1" applyBorder="1"/>
    <xf numFmtId="0" fontId="1" fillId="0" borderId="14" xfId="0" applyFont="1" applyBorder="1"/>
    <xf numFmtId="0" fontId="1" fillId="0" borderId="13" xfId="0" applyFont="1" applyBorder="1"/>
    <xf numFmtId="0" fontId="1" fillId="0" borderId="15" xfId="0" applyFont="1" applyBorder="1"/>
    <xf numFmtId="0" fontId="5" fillId="0" borderId="5" xfId="0" applyFont="1" applyBorder="1"/>
    <xf numFmtId="0" fontId="1" fillId="0" borderId="5" xfId="0" applyFont="1" applyBorder="1"/>
    <xf numFmtId="0" fontId="5" fillId="0" borderId="0" xfId="0" applyFont="1"/>
    <xf numFmtId="10" fontId="1" fillId="5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left" wrapText="1"/>
    </xf>
    <xf numFmtId="0" fontId="2" fillId="0" borderId="2" xfId="0" applyFont="1" applyBorder="1"/>
    <xf numFmtId="0" fontId="1" fillId="0" borderId="3" xfId="0" applyFont="1" applyBorder="1"/>
    <xf numFmtId="9" fontId="1" fillId="0" borderId="3" xfId="0" applyNumberFormat="1" applyFont="1" applyBorder="1"/>
    <xf numFmtId="0" fontId="2" fillId="0" borderId="10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10" fillId="0" borderId="1" xfId="0" applyFont="1" applyBorder="1" applyAlignment="1">
      <alignment horizontal="right"/>
    </xf>
    <xf numFmtId="0" fontId="2" fillId="0" borderId="0" xfId="0" applyFont="1"/>
    <xf numFmtId="0" fontId="1" fillId="0" borderId="7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164" fontId="2" fillId="0" borderId="12" xfId="0" applyNumberFormat="1" applyFont="1" applyBorder="1" applyAlignment="1">
      <alignment horizontal="right"/>
    </xf>
    <xf numFmtId="164" fontId="1" fillId="0" borderId="0" xfId="0" applyNumberFormat="1" applyFont="1" applyAlignment="1">
      <alignment horizontal="right"/>
    </xf>
    <xf numFmtId="164" fontId="1" fillId="0" borderId="12" xfId="0" applyNumberFormat="1" applyFont="1" applyBorder="1" applyAlignment="1">
      <alignment horizontal="right"/>
    </xf>
    <xf numFmtId="2" fontId="1" fillId="0" borderId="7" xfId="0" applyNumberFormat="1" applyFont="1" applyBorder="1" applyAlignment="1">
      <alignment horizontal="right"/>
    </xf>
    <xf numFmtId="2" fontId="1" fillId="0" borderId="0" xfId="0" applyNumberFormat="1" applyFont="1" applyAlignment="1">
      <alignment horizontal="right"/>
    </xf>
    <xf numFmtId="2" fontId="1" fillId="0" borderId="8" xfId="0" applyNumberFormat="1" applyFont="1" applyBorder="1" applyAlignment="1">
      <alignment horizontal="right"/>
    </xf>
    <xf numFmtId="2" fontId="5" fillId="0" borderId="12" xfId="0" applyNumberFormat="1" applyFont="1" applyBorder="1" applyAlignment="1">
      <alignment horizontal="right"/>
    </xf>
    <xf numFmtId="0" fontId="1" fillId="0" borderId="1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" fillId="0" borderId="11" xfId="0" applyFont="1" applyBorder="1"/>
    <xf numFmtId="0" fontId="1" fillId="0" borderId="9" xfId="0" applyFont="1" applyBorder="1"/>
    <xf numFmtId="0" fontId="1" fillId="0" borderId="1" xfId="0" applyFont="1" applyBorder="1"/>
    <xf numFmtId="10" fontId="11" fillId="0" borderId="12" xfId="0" applyNumberFormat="1" applyFont="1" applyBorder="1" applyAlignment="1">
      <alignment horizontal="right"/>
    </xf>
    <xf numFmtId="10" fontId="1" fillId="0" borderId="5" xfId="0" applyNumberFormat="1" applyFont="1" applyBorder="1" applyAlignment="1">
      <alignment horizontal="right"/>
    </xf>
    <xf numFmtId="10" fontId="1" fillId="0" borderId="1" xfId="0" applyNumberFormat="1" applyFont="1" applyBorder="1" applyAlignment="1">
      <alignment horizontal="right"/>
    </xf>
    <xf numFmtId="0" fontId="12" fillId="0" borderId="0" xfId="0" applyFont="1"/>
    <xf numFmtId="0" fontId="12" fillId="0" borderId="12" xfId="0" applyFont="1" applyBorder="1"/>
    <xf numFmtId="0" fontId="12" fillId="0" borderId="13" xfId="0" applyFont="1" applyBorder="1"/>
    <xf numFmtId="0" fontId="12" fillId="0" borderId="14" xfId="0" applyFont="1" applyBorder="1"/>
    <xf numFmtId="0" fontId="12" fillId="0" borderId="5" xfId="0" applyFont="1" applyBorder="1"/>
    <xf numFmtId="0" fontId="1" fillId="0" borderId="15" xfId="0" applyFont="1" applyBorder="1" applyAlignment="1">
      <alignment horizontal="right"/>
    </xf>
    <xf numFmtId="0" fontId="1" fillId="0" borderId="14" xfId="0" applyFont="1" applyBorder="1" applyAlignment="1">
      <alignment horizontal="right"/>
    </xf>
    <xf numFmtId="0" fontId="13" fillId="4" borderId="0" xfId="0" applyFont="1" applyFill="1"/>
    <xf numFmtId="0" fontId="15" fillId="6" borderId="6" xfId="0" applyFont="1" applyFill="1" applyBorder="1" applyAlignment="1">
      <alignment horizontal="center" vertical="top" wrapText="1"/>
    </xf>
    <xf numFmtId="0" fontId="16" fillId="0" borderId="0" xfId="0" applyFont="1" applyAlignment="1">
      <alignment vertical="top"/>
    </xf>
    <xf numFmtId="0" fontId="15" fillId="0" borderId="6" xfId="0" applyFont="1" applyBorder="1" applyAlignment="1">
      <alignment horizontal="left" wrapText="1"/>
    </xf>
    <xf numFmtId="0" fontId="17" fillId="0" borderId="6" xfId="0" applyFont="1" applyBorder="1" applyAlignment="1">
      <alignment horizontal="center" wrapText="1"/>
    </xf>
    <xf numFmtId="0" fontId="17" fillId="0" borderId="6" xfId="0" applyFont="1" applyBorder="1" applyAlignment="1">
      <alignment horizontal="left" wrapText="1"/>
    </xf>
    <xf numFmtId="9" fontId="17" fillId="0" borderId="6" xfId="0" applyNumberFormat="1" applyFont="1" applyBorder="1" applyAlignment="1">
      <alignment horizontal="center" wrapText="1"/>
    </xf>
    <xf numFmtId="0" fontId="18" fillId="0" borderId="6" xfId="0" applyFont="1" applyBorder="1" applyAlignment="1">
      <alignment horizontal="left" wrapText="1"/>
    </xf>
    <xf numFmtId="0" fontId="20" fillId="6" borderId="6" xfId="0" applyFont="1" applyFill="1" applyBorder="1" applyAlignment="1">
      <alignment horizontal="center" wrapText="1"/>
    </xf>
    <xf numFmtId="0" fontId="20" fillId="0" borderId="6" xfId="0" applyFont="1" applyBorder="1" applyAlignment="1">
      <alignment horizontal="left" wrapText="1"/>
    </xf>
    <xf numFmtId="0" fontId="21" fillId="0" borderId="6" xfId="0" applyFont="1" applyBorder="1" applyAlignment="1">
      <alignment horizontal="left" wrapText="1"/>
    </xf>
    <xf numFmtId="0" fontId="20" fillId="6" borderId="6" xfId="0" applyFont="1" applyFill="1" applyBorder="1" applyAlignment="1">
      <alignment horizontal="left" vertical="top" wrapText="1"/>
    </xf>
    <xf numFmtId="0" fontId="20" fillId="6" borderId="6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25" fillId="0" borderId="0" xfId="0" applyFont="1"/>
    <xf numFmtId="0" fontId="24" fillId="7" borderId="0" xfId="0" applyFont="1" applyFill="1" applyAlignment="1">
      <alignment horizontal="center" wrapText="1"/>
    </xf>
    <xf numFmtId="0" fontId="24" fillId="7" borderId="0" xfId="0" applyFont="1" applyFill="1" applyAlignment="1">
      <alignment horizontal="center"/>
    </xf>
    <xf numFmtId="0" fontId="22" fillId="0" borderId="0" xfId="0" applyFont="1" applyAlignment="1">
      <alignment horizontal="center" vertical="center"/>
    </xf>
    <xf numFmtId="165" fontId="0" fillId="0" borderId="0" xfId="1" applyNumberFormat="1" applyFont="1" applyAlignment="1">
      <alignment horizontal="right" vertical="center"/>
    </xf>
    <xf numFmtId="9" fontId="0" fillId="0" borderId="0" xfId="2" applyFont="1" applyAlignment="1">
      <alignment horizontal="right" vertical="center"/>
    </xf>
    <xf numFmtId="9" fontId="0" fillId="0" borderId="0" xfId="0" applyNumberFormat="1" applyAlignment="1">
      <alignment horizontal="right" vertical="center"/>
    </xf>
    <xf numFmtId="0" fontId="20" fillId="8" borderId="6" xfId="0" applyFont="1" applyFill="1" applyBorder="1" applyAlignment="1">
      <alignment horizontal="left" wrapText="1"/>
    </xf>
    <xf numFmtId="0" fontId="22" fillId="0" borderId="0" xfId="0" applyFont="1" applyAlignment="1">
      <alignment horizontal="left" wrapText="1"/>
    </xf>
    <xf numFmtId="0" fontId="15" fillId="8" borderId="6" xfId="0" applyFont="1" applyFill="1" applyBorder="1" applyAlignment="1">
      <alignment horizontal="left" wrapText="1"/>
    </xf>
    <xf numFmtId="166" fontId="1" fillId="0" borderId="9" xfId="1" applyNumberFormat="1" applyFont="1" applyBorder="1" applyAlignment="1">
      <alignment horizontal="right"/>
    </xf>
    <xf numFmtId="166" fontId="1" fillId="0" borderId="10" xfId="1" applyNumberFormat="1" applyFont="1" applyBorder="1" applyAlignment="1">
      <alignment horizontal="right"/>
    </xf>
    <xf numFmtId="166" fontId="1" fillId="0" borderId="17" xfId="1" applyNumberFormat="1" applyFont="1" applyBorder="1" applyAlignment="1">
      <alignment horizontal="right"/>
    </xf>
    <xf numFmtId="164" fontId="1" fillId="0" borderId="0" xfId="2" applyNumberFormat="1" applyFont="1" applyAlignment="1">
      <alignment horizontal="right"/>
    </xf>
    <xf numFmtId="164" fontId="1" fillId="0" borderId="16" xfId="2" applyNumberFormat="1" applyFont="1" applyBorder="1" applyAlignment="1">
      <alignment horizontal="right"/>
    </xf>
    <xf numFmtId="0" fontId="22" fillId="0" borderId="0" xfId="0" applyFont="1" applyAlignment="1">
      <alignment vertical="center" wrapText="1"/>
    </xf>
    <xf numFmtId="167" fontId="1" fillId="0" borderId="7" xfId="0" applyNumberFormat="1" applyFont="1" applyBorder="1"/>
    <xf numFmtId="0" fontId="1" fillId="0" borderId="16" xfId="0" applyFont="1" applyBorder="1"/>
    <xf numFmtId="10" fontId="1" fillId="0" borderId="13" xfId="0" applyNumberFormat="1" applyFont="1" applyBorder="1"/>
    <xf numFmtId="10" fontId="1" fillId="0" borderId="18" xfId="0" applyNumberFormat="1" applyFont="1" applyBorder="1"/>
    <xf numFmtId="10" fontId="1" fillId="0" borderId="19" xfId="0" applyNumberFormat="1" applyFont="1" applyBorder="1"/>
    <xf numFmtId="167" fontId="1" fillId="0" borderId="0" xfId="0" applyNumberFormat="1" applyFont="1"/>
    <xf numFmtId="167" fontId="1" fillId="0" borderId="16" xfId="0" applyNumberFormat="1" applyFont="1" applyBorder="1"/>
    <xf numFmtId="0" fontId="21" fillId="8" borderId="6" xfId="0" applyFont="1" applyFill="1" applyBorder="1" applyAlignment="1">
      <alignment horizontal="left" wrapText="1"/>
    </xf>
    <xf numFmtId="168" fontId="2" fillId="0" borderId="9" xfId="0" applyNumberFormat="1" applyFont="1" applyBorder="1" applyAlignment="1">
      <alignment horizontal="right"/>
    </xf>
    <xf numFmtId="168" fontId="2" fillId="0" borderId="7" xfId="0" applyNumberFormat="1" applyFont="1" applyBorder="1" applyAlignment="1">
      <alignment horizontal="right"/>
    </xf>
    <xf numFmtId="164" fontId="0" fillId="0" borderId="0" xfId="2" applyNumberFormat="1" applyFont="1" applyAlignment="1">
      <alignment horizontal="right" vertical="center"/>
    </xf>
    <xf numFmtId="43" fontId="1" fillId="0" borderId="0" xfId="1" applyFont="1"/>
    <xf numFmtId="43" fontId="10" fillId="0" borderId="12" xfId="1" applyFont="1" applyBorder="1" applyAlignment="1">
      <alignment horizontal="right"/>
    </xf>
    <xf numFmtId="43" fontId="6" fillId="0" borderId="0" xfId="1" applyFont="1"/>
    <xf numFmtId="43" fontId="2" fillId="0" borderId="0" xfId="1" applyFont="1"/>
    <xf numFmtId="0" fontId="2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23" fillId="0" borderId="0" xfId="0" applyFont="1" applyAlignment="1">
      <alignment vertical="center" wrapText="1"/>
    </xf>
    <xf numFmtId="0" fontId="0" fillId="0" borderId="0" xfId="0" applyAlignment="1">
      <alignment horizontal="right" vertical="center"/>
    </xf>
    <xf numFmtId="167" fontId="0" fillId="0" borderId="0" xfId="0" applyNumberFormat="1" applyAlignment="1">
      <alignment horizontal="right" vertical="center"/>
    </xf>
    <xf numFmtId="10" fontId="0" fillId="0" borderId="0" xfId="2" applyNumberFormat="1" applyFont="1" applyAlignment="1">
      <alignment horizontal="right" vertical="center"/>
    </xf>
    <xf numFmtId="0" fontId="26" fillId="0" borderId="0" xfId="3" applyAlignment="1">
      <alignment vertical="center"/>
    </xf>
    <xf numFmtId="10" fontId="0" fillId="0" borderId="0" xfId="0" applyNumberFormat="1" applyAlignment="1">
      <alignment vertical="center"/>
    </xf>
    <xf numFmtId="10" fontId="0" fillId="0" borderId="0" xfId="2" applyNumberFormat="1" applyFont="1" applyAlignment="1">
      <alignment vertical="center"/>
    </xf>
    <xf numFmtId="0" fontId="22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43" fontId="0" fillId="0" borderId="0" xfId="1" applyFont="1"/>
    <xf numFmtId="43" fontId="0" fillId="0" borderId="0" xfId="1" applyFont="1" applyAlignment="1">
      <alignment horizontal="right" vertical="center"/>
    </xf>
    <xf numFmtId="0" fontId="27" fillId="0" borderId="7" xfId="0" applyFont="1" applyBorder="1"/>
    <xf numFmtId="43" fontId="5" fillId="0" borderId="1" xfId="1" applyFont="1" applyBorder="1" applyAlignment="1">
      <alignment horizontal="right"/>
    </xf>
    <xf numFmtId="43" fontId="8" fillId="0" borderId="12" xfId="1" applyFont="1" applyBorder="1" applyAlignment="1">
      <alignment horizontal="center"/>
    </xf>
    <xf numFmtId="43" fontId="4" fillId="0" borderId="12" xfId="1" applyFont="1" applyBorder="1" applyAlignment="1">
      <alignment horizontal="center"/>
    </xf>
    <xf numFmtId="43" fontId="5" fillId="0" borderId="12" xfId="1" applyFont="1" applyBorder="1" applyAlignment="1">
      <alignment horizontal="right"/>
    </xf>
    <xf numFmtId="43" fontId="1" fillId="0" borderId="12" xfId="1" applyFont="1" applyBorder="1"/>
    <xf numFmtId="0" fontId="22" fillId="0" borderId="0" xfId="0" applyFont="1"/>
    <xf numFmtId="0" fontId="28" fillId="0" borderId="0" xfId="0" applyFont="1"/>
    <xf numFmtId="0" fontId="22" fillId="0" borderId="0" xfId="0" applyFont="1" applyAlignment="1">
      <alignment wrapText="1"/>
    </xf>
    <xf numFmtId="166" fontId="1" fillId="0" borderId="0" xfId="1" applyNumberFormat="1" applyFont="1" applyAlignment="1">
      <alignment horizontal="right"/>
    </xf>
    <xf numFmtId="166" fontId="1" fillId="0" borderId="16" xfId="1" applyNumberFormat="1" applyFont="1" applyBorder="1" applyAlignment="1">
      <alignment horizontal="right"/>
    </xf>
    <xf numFmtId="166" fontId="1" fillId="0" borderId="0" xfId="2" applyNumberFormat="1" applyFont="1" applyAlignment="1">
      <alignment horizontal="right"/>
    </xf>
    <xf numFmtId="167" fontId="2" fillId="0" borderId="7" xfId="0" applyNumberFormat="1" applyFont="1" applyBorder="1" applyAlignment="1">
      <alignment horizontal="right"/>
    </xf>
    <xf numFmtId="166" fontId="2" fillId="0" borderId="0" xfId="1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2" fillId="9" borderId="6" xfId="0" applyFont="1" applyFill="1" applyBorder="1" applyAlignment="1">
      <alignment horizontal="center"/>
    </xf>
    <xf numFmtId="0" fontId="3" fillId="0" borderId="0" xfId="0" applyFont="1"/>
    <xf numFmtId="43" fontId="10" fillId="0" borderId="0" xfId="1" applyFont="1" applyAlignment="1">
      <alignment horizontal="right"/>
    </xf>
    <xf numFmtId="0" fontId="1" fillId="0" borderId="0" xfId="0" applyFont="1" applyAlignment="1">
      <alignment horizontal="left"/>
    </xf>
    <xf numFmtId="9" fontId="2" fillId="0" borderId="0" xfId="2" applyFont="1" applyAlignment="1">
      <alignment horizontal="right"/>
    </xf>
    <xf numFmtId="169" fontId="2" fillId="0" borderId="0" xfId="2" applyNumberFormat="1" applyFont="1" applyAlignment="1">
      <alignment horizontal="right"/>
    </xf>
    <xf numFmtId="0" fontId="29" fillId="0" borderId="0" xfId="0" applyFont="1" applyAlignment="1">
      <alignment horizontal="left" wrapText="1"/>
    </xf>
    <xf numFmtId="0" fontId="29" fillId="0" borderId="0" xfId="0" applyFont="1" applyAlignment="1">
      <alignment horizontal="center"/>
    </xf>
    <xf numFmtId="9" fontId="29" fillId="0" borderId="0" xfId="0" applyNumberFormat="1" applyFont="1" applyAlignment="1">
      <alignment horizontal="center"/>
    </xf>
    <xf numFmtId="0" fontId="29" fillId="0" borderId="0" xfId="0" applyFont="1" applyAlignment="1">
      <alignment wrapText="1"/>
    </xf>
    <xf numFmtId="9" fontId="29" fillId="0" borderId="0" xfId="0" applyNumberFormat="1" applyFont="1" applyAlignment="1">
      <alignment wrapText="1"/>
    </xf>
    <xf numFmtId="0" fontId="2" fillId="9" borderId="1" xfId="0" applyFont="1" applyFill="1" applyBorder="1" applyAlignment="1">
      <alignment horizontal="center"/>
    </xf>
    <xf numFmtId="0" fontId="29" fillId="0" borderId="6" xfId="0" applyFont="1" applyBorder="1" applyAlignment="1">
      <alignment vertical="center" wrapText="1"/>
    </xf>
    <xf numFmtId="0" fontId="29" fillId="0" borderId="4" xfId="0" applyFont="1" applyBorder="1" applyAlignment="1">
      <alignment vertical="center" wrapText="1"/>
    </xf>
    <xf numFmtId="0" fontId="3" fillId="0" borderId="7" xfId="0" applyFont="1" applyBorder="1"/>
    <xf numFmtId="0" fontId="29" fillId="0" borderId="11" xfId="0" applyFont="1" applyBorder="1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22" fillId="0" borderId="20" xfId="0" applyFont="1" applyBorder="1" applyAlignment="1">
      <alignment vertical="center" wrapText="1"/>
    </xf>
    <xf numFmtId="0" fontId="29" fillId="0" borderId="1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center" vertical="center"/>
    </xf>
    <xf numFmtId="9" fontId="29" fillId="0" borderId="1" xfId="0" applyNumberFormat="1" applyFont="1" applyBorder="1" applyAlignment="1">
      <alignment horizontal="center" vertical="center"/>
    </xf>
    <xf numFmtId="9" fontId="29" fillId="0" borderId="20" xfId="0" applyNumberFormat="1" applyFont="1" applyBorder="1" applyAlignment="1">
      <alignment vertical="center" wrapText="1"/>
    </xf>
    <xf numFmtId="0" fontId="29" fillId="0" borderId="20" xfId="0" applyFont="1" applyBorder="1" applyAlignment="1">
      <alignment horizontal="left" vertical="center" wrapText="1"/>
    </xf>
    <xf numFmtId="0" fontId="29" fillId="0" borderId="20" xfId="0" applyFont="1" applyBorder="1" applyAlignment="1">
      <alignment horizontal="center" vertical="center"/>
    </xf>
    <xf numFmtId="9" fontId="29" fillId="0" borderId="20" xfId="0" applyNumberFormat="1" applyFont="1" applyBorder="1" applyAlignment="1">
      <alignment horizontal="center" vertical="center"/>
    </xf>
    <xf numFmtId="0" fontId="29" fillId="0" borderId="20" xfId="0" applyFont="1" applyBorder="1" applyAlignment="1">
      <alignment vertical="center" wrapText="1"/>
    </xf>
    <xf numFmtId="0" fontId="1" fillId="2" borderId="7" xfId="0" applyFont="1" applyFill="1" applyBorder="1" applyAlignment="1">
      <alignment vertical="top" wrapText="1"/>
    </xf>
    <xf numFmtId="168" fontId="2" fillId="0" borderId="10" xfId="0" applyNumberFormat="1" applyFont="1" applyBorder="1" applyAlignment="1">
      <alignment horizontal="right"/>
    </xf>
    <xf numFmtId="168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  <xf numFmtId="0" fontId="1" fillId="0" borderId="17" xfId="0" applyFont="1" applyBorder="1"/>
    <xf numFmtId="0" fontId="30" fillId="0" borderId="7" xfId="0" applyFont="1" applyBorder="1" applyAlignment="1">
      <alignment horizontal="left"/>
    </xf>
    <xf numFmtId="0" fontId="0" fillId="0" borderId="16" xfId="0" applyBorder="1"/>
    <xf numFmtId="0" fontId="22" fillId="0" borderId="16" xfId="0" applyFont="1" applyBorder="1"/>
    <xf numFmtId="9" fontId="1" fillId="0" borderId="0" xfId="0" applyNumberFormat="1" applyFont="1" applyAlignment="1">
      <alignment horizontal="right"/>
    </xf>
    <xf numFmtId="9" fontId="1" fillId="0" borderId="21" xfId="0" applyNumberFormat="1" applyFont="1" applyBorder="1" applyAlignment="1">
      <alignment horizontal="right"/>
    </xf>
    <xf numFmtId="0" fontId="1" fillId="0" borderId="22" xfId="0" applyFont="1" applyBorder="1"/>
    <xf numFmtId="166" fontId="2" fillId="0" borderId="21" xfId="1" applyNumberFormat="1" applyFont="1" applyBorder="1" applyAlignment="1">
      <alignment horizontal="right"/>
    </xf>
    <xf numFmtId="166" fontId="1" fillId="0" borderId="7" xfId="1" applyNumberFormat="1" applyFont="1" applyBorder="1"/>
    <xf numFmtId="166" fontId="1" fillId="0" borderId="0" xfId="1" applyNumberFormat="1" applyFont="1"/>
    <xf numFmtId="166" fontId="1" fillId="0" borderId="8" xfId="1" applyNumberFormat="1" applyFont="1" applyBorder="1"/>
    <xf numFmtId="166" fontId="1" fillId="0" borderId="8" xfId="1" applyNumberFormat="1" applyFont="1" applyBorder="1" applyAlignment="1">
      <alignment horizontal="right"/>
    </xf>
    <xf numFmtId="165" fontId="1" fillId="0" borderId="0" xfId="1" applyNumberFormat="1" applyFont="1"/>
    <xf numFmtId="0" fontId="31" fillId="0" borderId="0" xfId="0" applyFont="1"/>
    <xf numFmtId="0" fontId="32" fillId="0" borderId="0" xfId="0" applyFont="1"/>
    <xf numFmtId="0" fontId="0" fillId="10" borderId="0" xfId="0" applyFill="1"/>
    <xf numFmtId="0" fontId="0" fillId="11" borderId="0" xfId="0" applyFill="1"/>
    <xf numFmtId="2" fontId="1" fillId="0" borderId="19" xfId="0" applyNumberFormat="1" applyFont="1" applyBorder="1" applyAlignment="1">
      <alignment horizontal="right"/>
    </xf>
    <xf numFmtId="43" fontId="10" fillId="0" borderId="23" xfId="1" applyFont="1" applyBorder="1" applyAlignment="1">
      <alignment horizontal="right"/>
    </xf>
    <xf numFmtId="0" fontId="1" fillId="0" borderId="23" xfId="0" applyFont="1" applyBorder="1"/>
    <xf numFmtId="2" fontId="5" fillId="0" borderId="23" xfId="0" applyNumberFormat="1" applyFont="1" applyBorder="1" applyAlignment="1">
      <alignment horizontal="right"/>
    </xf>
    <xf numFmtId="43" fontId="10" fillId="0" borderId="24" xfId="1" applyFont="1" applyBorder="1" applyAlignment="1">
      <alignment horizontal="right"/>
    </xf>
    <xf numFmtId="0" fontId="1" fillId="0" borderId="24" xfId="0" applyFont="1" applyBorder="1"/>
    <xf numFmtId="165" fontId="5" fillId="0" borderId="12" xfId="1" applyNumberFormat="1" applyFont="1" applyBorder="1" applyAlignment="1">
      <alignment horizontal="right"/>
    </xf>
    <xf numFmtId="165" fontId="6" fillId="0" borderId="0" xfId="1" applyNumberFormat="1" applyFont="1"/>
    <xf numFmtId="9" fontId="1" fillId="0" borderId="0" xfId="0" applyNumberFormat="1" applyFont="1"/>
    <xf numFmtId="9" fontId="0" fillId="0" borderId="0" xfId="0" applyNumberFormat="1"/>
    <xf numFmtId="0" fontId="33" fillId="0" borderId="0" xfId="0" applyFont="1"/>
    <xf numFmtId="0" fontId="34" fillId="8" borderId="0" xfId="0" applyFont="1" applyFill="1"/>
    <xf numFmtId="0" fontId="33" fillId="8" borderId="0" xfId="0" applyFont="1" applyFill="1"/>
    <xf numFmtId="0" fontId="33" fillId="0" borderId="25" xfId="0" applyFont="1" applyBorder="1"/>
    <xf numFmtId="0" fontId="33" fillId="0" borderId="26" xfId="0" applyFont="1" applyBorder="1" applyAlignment="1">
      <alignment horizontal="center"/>
    </xf>
    <xf numFmtId="0" fontId="33" fillId="0" borderId="26" xfId="0" applyFont="1" applyBorder="1"/>
    <xf numFmtId="0" fontId="33" fillId="0" borderId="27" xfId="0" applyFont="1" applyBorder="1"/>
    <xf numFmtId="0" fontId="35" fillId="0" borderId="28" xfId="0" applyFont="1" applyBorder="1"/>
    <xf numFmtId="0" fontId="33" fillId="0" borderId="29" xfId="0" applyFont="1" applyBorder="1" applyAlignment="1">
      <alignment horizontal="center"/>
    </xf>
    <xf numFmtId="9" fontId="33" fillId="0" borderId="29" xfId="0" applyNumberFormat="1" applyFont="1" applyBorder="1" applyAlignment="1">
      <alignment horizontal="center"/>
    </xf>
    <xf numFmtId="0" fontId="35" fillId="0" borderId="29" xfId="0" applyFont="1" applyBorder="1" applyAlignment="1">
      <alignment horizontal="center"/>
    </xf>
    <xf numFmtId="0" fontId="35" fillId="0" borderId="29" xfId="0" applyFont="1" applyBorder="1"/>
    <xf numFmtId="0" fontId="35" fillId="0" borderId="30" xfId="0" applyFont="1" applyBorder="1"/>
    <xf numFmtId="0" fontId="33" fillId="0" borderId="0" xfId="0" applyFont="1" applyAlignment="1">
      <alignment horizontal="center"/>
    </xf>
    <xf numFmtId="0" fontId="35" fillId="0" borderId="31" xfId="0" applyFont="1" applyBorder="1"/>
    <xf numFmtId="0" fontId="33" fillId="0" borderId="32" xfId="0" applyFont="1" applyBorder="1" applyAlignment="1">
      <alignment horizontal="center"/>
    </xf>
    <xf numFmtId="0" fontId="35" fillId="0" borderId="32" xfId="0" applyFont="1" applyBorder="1" applyAlignment="1">
      <alignment horizontal="center"/>
    </xf>
    <xf numFmtId="0" fontId="35" fillId="0" borderId="32" xfId="0" applyFont="1" applyBorder="1"/>
    <xf numFmtId="0" fontId="35" fillId="0" borderId="33" xfId="0" applyFont="1" applyBorder="1"/>
    <xf numFmtId="0" fontId="35" fillId="0" borderId="25" xfId="0" applyFont="1" applyBorder="1"/>
    <xf numFmtId="9" fontId="33" fillId="0" borderId="26" xfId="0" applyNumberFormat="1" applyFont="1" applyBorder="1" applyAlignment="1">
      <alignment horizontal="center"/>
    </xf>
    <xf numFmtId="9" fontId="35" fillId="0" borderId="32" xfId="0" applyNumberFormat="1" applyFont="1" applyBorder="1" applyAlignment="1">
      <alignment horizontal="center"/>
    </xf>
    <xf numFmtId="0" fontId="33" fillId="0" borderId="33" xfId="0" applyFont="1" applyBorder="1"/>
    <xf numFmtId="0" fontId="33" fillId="8" borderId="0" xfId="0" applyFont="1" applyFill="1" applyAlignment="1">
      <alignment horizontal="center"/>
    </xf>
    <xf numFmtId="0" fontId="35" fillId="0" borderId="0" xfId="0" applyFont="1"/>
    <xf numFmtId="0" fontId="33" fillId="0" borderId="32" xfId="0" applyFont="1" applyBorder="1"/>
    <xf numFmtId="9" fontId="33" fillId="0" borderId="32" xfId="0" applyNumberFormat="1" applyFont="1" applyBorder="1"/>
    <xf numFmtId="0" fontId="33" fillId="12" borderId="0" xfId="0" applyFont="1" applyFill="1"/>
    <xf numFmtId="9" fontId="22" fillId="0" borderId="0" xfId="0" applyNumberFormat="1" applyFont="1"/>
    <xf numFmtId="1" fontId="22" fillId="0" borderId="0" xfId="0" applyNumberFormat="1" applyFont="1"/>
    <xf numFmtId="0" fontId="33" fillId="13" borderId="0" xfId="0" applyFont="1" applyFill="1"/>
    <xf numFmtId="0" fontId="33" fillId="14" borderId="0" xfId="0" applyFont="1" applyFill="1"/>
    <xf numFmtId="0" fontId="38" fillId="15" borderId="0" xfId="0" applyFont="1" applyFill="1"/>
    <xf numFmtId="0" fontId="39" fillId="16" borderId="36" xfId="0" applyFont="1" applyFill="1" applyBorder="1" applyAlignment="1">
      <alignment horizontal="center" vertical="center" wrapText="1"/>
    </xf>
    <xf numFmtId="0" fontId="40" fillId="0" borderId="36" xfId="0" applyFont="1" applyBorder="1"/>
    <xf numFmtId="0" fontId="0" fillId="0" borderId="36" xfId="0" applyBorder="1"/>
    <xf numFmtId="0" fontId="0" fillId="17" borderId="36" xfId="0" applyFill="1" applyBorder="1"/>
    <xf numFmtId="0" fontId="0" fillId="18" borderId="36" xfId="0" applyFill="1" applyBorder="1"/>
    <xf numFmtId="0" fontId="41" fillId="0" borderId="36" xfId="0" applyFont="1" applyBorder="1"/>
    <xf numFmtId="0" fontId="41" fillId="0" borderId="0" xfId="0" applyFont="1"/>
    <xf numFmtId="0" fontId="0" fillId="0" borderId="36" xfId="0" applyBorder="1" applyAlignment="1">
      <alignment vertical="top" wrapText="1"/>
    </xf>
    <xf numFmtId="0" fontId="40" fillId="0" borderId="0" xfId="0" applyFont="1"/>
    <xf numFmtId="9" fontId="0" fillId="17" borderId="0" xfId="0" applyNumberFormat="1" applyFill="1"/>
    <xf numFmtId="0" fontId="0" fillId="18" borderId="0" xfId="0" applyFill="1"/>
    <xf numFmtId="0" fontId="39" fillId="16" borderId="0" xfId="0" applyFont="1" applyFill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3" fontId="0" fillId="0" borderId="0" xfId="0" applyNumberFormat="1"/>
    <xf numFmtId="168" fontId="0" fillId="17" borderId="36" xfId="0" applyNumberFormat="1" applyFill="1" applyBorder="1"/>
    <xf numFmtId="168" fontId="0" fillId="18" borderId="0" xfId="0" applyNumberFormat="1" applyFill="1"/>
    <xf numFmtId="168" fontId="0" fillId="0" borderId="36" xfId="0" applyNumberFormat="1" applyBorder="1"/>
    <xf numFmtId="0" fontId="40" fillId="15" borderId="0" xfId="0" applyFont="1" applyFill="1"/>
    <xf numFmtId="168" fontId="0" fillId="18" borderId="36" xfId="0" applyNumberFormat="1" applyFill="1" applyBorder="1"/>
    <xf numFmtId="168" fontId="40" fillId="18" borderId="0" xfId="0" applyNumberFormat="1" applyFont="1" applyFill="1"/>
    <xf numFmtId="0" fontId="42" fillId="0" borderId="0" xfId="0" applyFont="1"/>
    <xf numFmtId="167" fontId="0" fillId="18" borderId="0" xfId="0" applyNumberFormat="1" applyFill="1"/>
    <xf numFmtId="3" fontId="0" fillId="0" borderId="36" xfId="0" applyNumberFormat="1" applyBorder="1"/>
    <xf numFmtId="3" fontId="0" fillId="18" borderId="0" xfId="0" applyNumberFormat="1" applyFill="1"/>
    <xf numFmtId="3" fontId="40" fillId="18" borderId="36" xfId="0" applyNumberFormat="1" applyFont="1" applyFill="1" applyBorder="1"/>
    <xf numFmtId="3" fontId="40" fillId="18" borderId="0" xfId="0" applyNumberFormat="1" applyFont="1" applyFill="1"/>
    <xf numFmtId="2" fontId="0" fillId="18" borderId="0" xfId="0" applyNumberFormat="1" applyFill="1"/>
    <xf numFmtId="2" fontId="40" fillId="18" borderId="0" xfId="0" applyNumberFormat="1" applyFont="1" applyFill="1"/>
    <xf numFmtId="3" fontId="0" fillId="17" borderId="36" xfId="0" applyNumberFormat="1" applyFill="1" applyBorder="1"/>
    <xf numFmtId="164" fontId="0" fillId="17" borderId="36" xfId="0" applyNumberFormat="1" applyFill="1" applyBorder="1"/>
    <xf numFmtId="3" fontId="0" fillId="18" borderId="36" xfId="0" applyNumberFormat="1" applyFill="1" applyBorder="1"/>
    <xf numFmtId="0" fontId="43" fillId="0" borderId="0" xfId="0" applyFont="1"/>
    <xf numFmtId="10" fontId="0" fillId="0" borderId="0" xfId="0" applyNumberFormat="1"/>
    <xf numFmtId="164" fontId="0" fillId="17" borderId="0" xfId="0" applyNumberFormat="1" applyFill="1"/>
    <xf numFmtId="0" fontId="0" fillId="17" borderId="0" xfId="0" applyFill="1"/>
    <xf numFmtId="170" fontId="0" fillId="18" borderId="0" xfId="0" applyNumberFormat="1" applyFill="1"/>
    <xf numFmtId="171" fontId="40" fillId="18" borderId="0" xfId="0" applyNumberFormat="1" applyFont="1" applyFill="1"/>
    <xf numFmtId="171" fontId="0" fillId="18" borderId="0" xfId="0" applyNumberFormat="1" applyFill="1"/>
    <xf numFmtId="170" fontId="40" fillId="18" borderId="0" xfId="0" applyNumberFormat="1" applyFont="1" applyFill="1"/>
    <xf numFmtId="164" fontId="0" fillId="18" borderId="0" xfId="0" applyNumberFormat="1" applyFill="1"/>
    <xf numFmtId="164" fontId="40" fillId="18" borderId="0" xfId="0" applyNumberFormat="1" applyFont="1" applyFill="1"/>
    <xf numFmtId="0" fontId="38" fillId="20" borderId="0" xfId="0" applyFont="1" applyFill="1"/>
    <xf numFmtId="170" fontId="40" fillId="20" borderId="0" xfId="0" applyNumberFormat="1" applyFont="1" applyFill="1"/>
    <xf numFmtId="171" fontId="40" fillId="20" borderId="0" xfId="0" applyNumberFormat="1" applyFont="1" applyFill="1"/>
    <xf numFmtId="170" fontId="0" fillId="20" borderId="0" xfId="0" applyNumberFormat="1" applyFill="1"/>
    <xf numFmtId="171" fontId="0" fillId="20" borderId="0" xfId="0" applyNumberFormat="1" applyFill="1"/>
    <xf numFmtId="164" fontId="40" fillId="20" borderId="0" xfId="0" applyNumberFormat="1" applyFont="1" applyFill="1"/>
    <xf numFmtId="0" fontId="40" fillId="20" borderId="0" xfId="0" applyFont="1" applyFill="1"/>
    <xf numFmtId="172" fontId="40" fillId="20" borderId="0" xfId="0" applyNumberFormat="1" applyFont="1" applyFill="1"/>
    <xf numFmtId="1" fontId="40" fillId="20" borderId="0" xfId="0" applyNumberFormat="1" applyFont="1" applyFill="1"/>
    <xf numFmtId="0" fontId="44" fillId="0" borderId="36" xfId="0" applyFont="1" applyBorder="1"/>
    <xf numFmtId="0" fontId="40" fillId="21" borderId="0" xfId="0" applyFont="1" applyFill="1"/>
    <xf numFmtId="172" fontId="0" fillId="21" borderId="36" xfId="0" applyNumberFormat="1" applyFill="1" applyBorder="1"/>
    <xf numFmtId="172" fontId="0" fillId="20" borderId="36" xfId="0" applyNumberFormat="1" applyFill="1" applyBorder="1"/>
    <xf numFmtId="171" fontId="40" fillId="18" borderId="36" xfId="0" applyNumberFormat="1" applyFont="1" applyFill="1" applyBorder="1"/>
    <xf numFmtId="172" fontId="0" fillId="18" borderId="36" xfId="0" applyNumberFormat="1" applyFill="1" applyBorder="1"/>
    <xf numFmtId="164" fontId="0" fillId="18" borderId="36" xfId="0" applyNumberFormat="1" applyFill="1" applyBorder="1"/>
    <xf numFmtId="0" fontId="40" fillId="15" borderId="0" xfId="0" applyFont="1" applyFill="1" applyAlignment="1">
      <alignment horizontal="center" vertical="center" wrapText="1"/>
    </xf>
    <xf numFmtId="0" fontId="41" fillId="0" borderId="0" xfId="0" applyFont="1" applyAlignment="1">
      <alignment wrapText="1"/>
    </xf>
    <xf numFmtId="0" fontId="40" fillId="18" borderId="0" xfId="0" applyFont="1" applyFill="1"/>
    <xf numFmtId="0" fontId="0" fillId="22" borderId="0" xfId="0" applyFill="1"/>
    <xf numFmtId="0" fontId="39" fillId="16" borderId="0" xfId="0" applyFont="1" applyFill="1"/>
    <xf numFmtId="171" fontId="0" fillId="0" borderId="0" xfId="0" applyNumberFormat="1"/>
    <xf numFmtId="172" fontId="0" fillId="18" borderId="0" xfId="0" applyNumberFormat="1" applyFill="1"/>
    <xf numFmtId="172" fontId="0" fillId="20" borderId="0" xfId="0" applyNumberFormat="1" applyFill="1"/>
    <xf numFmtId="164" fontId="0" fillId="20" borderId="0" xfId="0" applyNumberFormat="1" applyFill="1"/>
    <xf numFmtId="172" fontId="0" fillId="0" borderId="0" xfId="0" applyNumberFormat="1"/>
    <xf numFmtId="0" fontId="22" fillId="17" borderId="0" xfId="0" applyFont="1" applyFill="1"/>
    <xf numFmtId="0" fontId="40" fillId="0" borderId="0" xfId="0" applyFont="1" applyAlignment="1">
      <alignment wrapText="1"/>
    </xf>
    <xf numFmtId="0" fontId="40" fillId="15" borderId="0" xfId="0" applyFont="1" applyFill="1" applyAlignment="1">
      <alignment wrapText="1"/>
    </xf>
    <xf numFmtId="0" fontId="28" fillId="0" borderId="0" xfId="0" applyFont="1" applyAlignment="1">
      <alignment wrapText="1"/>
    </xf>
    <xf numFmtId="0" fontId="47" fillId="23" borderId="37" xfId="0" applyFont="1" applyFill="1" applyBorder="1"/>
    <xf numFmtId="0" fontId="0" fillId="0" borderId="37" xfId="0" applyBorder="1"/>
    <xf numFmtId="164" fontId="0" fillId="24" borderId="37" xfId="0" applyNumberFormat="1" applyFill="1" applyBorder="1"/>
    <xf numFmtId="1" fontId="0" fillId="24" borderId="37" xfId="0" applyNumberFormat="1" applyFill="1" applyBorder="1"/>
    <xf numFmtId="3" fontId="0" fillId="25" borderId="0" xfId="0" applyNumberFormat="1" applyFill="1"/>
    <xf numFmtId="0" fontId="47" fillId="0" borderId="0" xfId="0" applyFont="1"/>
    <xf numFmtId="4" fontId="0" fillId="17" borderId="36" xfId="0" applyNumberFormat="1" applyFill="1" applyBorder="1"/>
    <xf numFmtId="167" fontId="0" fillId="17" borderId="36" xfId="0" applyNumberFormat="1" applyFill="1" applyBorder="1"/>
    <xf numFmtId="0" fontId="39" fillId="16" borderId="38" xfId="0" applyFont="1" applyFill="1" applyBorder="1" applyAlignment="1">
      <alignment horizontal="center" vertical="center" wrapText="1"/>
    </xf>
    <xf numFmtId="0" fontId="0" fillId="18" borderId="38" xfId="0" applyFill="1" applyBorder="1"/>
    <xf numFmtId="0" fontId="39" fillId="0" borderId="0" xfId="0" applyFont="1" applyAlignment="1">
      <alignment horizontal="center" vertical="center" wrapText="1"/>
    </xf>
    <xf numFmtId="0" fontId="49" fillId="0" borderId="0" xfId="0" applyFont="1"/>
    <xf numFmtId="0" fontId="47" fillId="23" borderId="38" xfId="0" applyFont="1" applyFill="1" applyBorder="1"/>
    <xf numFmtId="0" fontId="0" fillId="0" borderId="38" xfId="0" applyBorder="1"/>
    <xf numFmtId="0" fontId="48" fillId="0" borderId="0" xfId="0" applyFont="1"/>
    <xf numFmtId="0" fontId="22" fillId="0" borderId="36" xfId="0" applyFont="1" applyBorder="1"/>
    <xf numFmtId="0" fontId="50" fillId="26" borderId="0" xfId="0" applyFont="1" applyFill="1"/>
    <xf numFmtId="0" fontId="25" fillId="26" borderId="0" xfId="0" applyFont="1" applyFill="1"/>
    <xf numFmtId="0" fontId="51" fillId="26" borderId="0" xfId="0" applyFont="1" applyFill="1"/>
    <xf numFmtId="0" fontId="45" fillId="0" borderId="0" xfId="0" applyFont="1"/>
    <xf numFmtId="0" fontId="0" fillId="0" borderId="0" xfId="0"/>
    <xf numFmtId="0" fontId="46" fillId="0" borderId="0" xfId="0" applyFont="1" applyAlignment="1">
      <alignment wrapText="1"/>
    </xf>
    <xf numFmtId="0" fontId="0" fillId="0" borderId="0" xfId="0" applyAlignment="1">
      <alignment wrapText="1"/>
    </xf>
    <xf numFmtId="0" fontId="37" fillId="0" borderId="0" xfId="0" applyFont="1"/>
    <xf numFmtId="0" fontId="38" fillId="15" borderId="0" xfId="0" applyFont="1" applyFill="1"/>
    <xf numFmtId="0" fontId="41" fillId="0" borderId="0" xfId="0" applyFont="1" applyAlignment="1">
      <alignment wrapText="1"/>
    </xf>
    <xf numFmtId="0" fontId="38" fillId="20" borderId="0" xfId="0" applyFont="1" applyFill="1"/>
    <xf numFmtId="0" fontId="38" fillId="19" borderId="0" xfId="0" applyFont="1" applyFill="1"/>
    <xf numFmtId="0" fontId="41" fillId="0" borderId="0" xfId="0" applyFont="1"/>
    <xf numFmtId="0" fontId="38" fillId="17" borderId="0" xfId="0" applyFont="1" applyFill="1"/>
    <xf numFmtId="0" fontId="36" fillId="0" borderId="0" xfId="0" applyFont="1"/>
    <xf numFmtId="0" fontId="22" fillId="0" borderId="0" xfId="0" applyFont="1"/>
    <xf numFmtId="0" fontId="38" fillId="0" borderId="0" xfId="0" applyFont="1"/>
    <xf numFmtId="0" fontId="33" fillId="0" borderId="0" xfId="0" applyFont="1"/>
    <xf numFmtId="0" fontId="33" fillId="0" borderId="32" xfId="0" applyFont="1" applyBorder="1" applyAlignment="1">
      <alignment horizontal="left" wrapText="1"/>
    </xf>
    <xf numFmtId="0" fontId="0" fillId="0" borderId="32" xfId="0" applyBorder="1"/>
    <xf numFmtId="0" fontId="40" fillId="0" borderId="0" xfId="0" applyFont="1"/>
    <xf numFmtId="0" fontId="35" fillId="0" borderId="0" xfId="0" applyFont="1" applyAlignment="1">
      <alignment horizontal="center"/>
    </xf>
    <xf numFmtId="0" fontId="33" fillId="0" borderId="0" xfId="0" applyFont="1" applyAlignment="1">
      <alignment horizontal="left" vertical="top" wrapText="1"/>
    </xf>
    <xf numFmtId="0" fontId="33" fillId="0" borderId="26" xfId="0" applyFont="1" applyBorder="1" applyAlignment="1">
      <alignment horizontal="left" wrapText="1"/>
    </xf>
    <xf numFmtId="0" fontId="0" fillId="0" borderId="26" xfId="0" applyBorder="1"/>
    <xf numFmtId="0" fontId="33" fillId="0" borderId="32" xfId="0" applyFont="1" applyBorder="1" applyAlignment="1">
      <alignment horizontal="left"/>
    </xf>
    <xf numFmtId="9" fontId="29" fillId="0" borderId="20" xfId="0" applyNumberFormat="1" applyFont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0" fontId="2" fillId="9" borderId="6" xfId="0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9" fontId="29" fillId="0" borderId="9" xfId="0" applyNumberFormat="1" applyFont="1" applyBorder="1" applyAlignment="1">
      <alignment horizontal="center" vertical="center"/>
    </xf>
    <xf numFmtId="0" fontId="0" fillId="0" borderId="10" xfId="0" applyBorder="1"/>
    <xf numFmtId="0" fontId="2" fillId="9" borderId="6" xfId="0" applyFont="1" applyFill="1" applyBorder="1" applyAlignment="1">
      <alignment horizontal="center" wrapText="1"/>
    </xf>
    <xf numFmtId="0" fontId="2" fillId="0" borderId="0" xfId="0" applyFont="1" applyAlignment="1">
      <alignment horizontal="left"/>
    </xf>
    <xf numFmtId="0" fontId="1" fillId="2" borderId="0" xfId="0" applyFont="1" applyFill="1" applyAlignment="1">
      <alignment wrapText="1"/>
    </xf>
    <xf numFmtId="0" fontId="1" fillId="0" borderId="0" xfId="0" applyFont="1"/>
    <xf numFmtId="0" fontId="4" fillId="4" borderId="0" xfId="0" applyFont="1" applyFill="1"/>
    <xf numFmtId="0" fontId="1" fillId="0" borderId="15" xfId="0" applyFont="1" applyBorder="1"/>
    <xf numFmtId="0" fontId="0" fillId="0" borderId="15" xfId="0" applyBorder="1"/>
    <xf numFmtId="0" fontId="1" fillId="0" borderId="0" xfId="0" applyFont="1" applyAlignment="1">
      <alignment horizontal="left" wrapText="1"/>
    </xf>
    <xf numFmtId="0" fontId="2" fillId="5" borderId="0" xfId="0" applyFont="1" applyFill="1"/>
    <xf numFmtId="0" fontId="1" fillId="2" borderId="7" xfId="0" applyFont="1" applyFill="1" applyBorder="1" applyAlignment="1">
      <alignment horizontal="left" wrapText="1"/>
    </xf>
    <xf numFmtId="0" fontId="0" fillId="0" borderId="7" xfId="0" applyBorder="1"/>
    <xf numFmtId="0" fontId="4" fillId="0" borderId="0" xfId="0" applyFont="1"/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 wrapText="1"/>
    </xf>
    <xf numFmtId="0" fontId="21" fillId="0" borderId="6" xfId="0" applyFont="1" applyBorder="1" applyAlignment="1">
      <alignment horizontal="left" wrapText="1"/>
    </xf>
    <xf numFmtId="0" fontId="21" fillId="0" borderId="6" xfId="0" applyFont="1" applyBorder="1" applyAlignment="1">
      <alignment wrapText="1"/>
    </xf>
    <xf numFmtId="0" fontId="20" fillId="6" borderId="6" xfId="0" applyFont="1" applyFill="1" applyBorder="1" applyAlignment="1">
      <alignment horizontal="center" vertical="top" wrapText="1"/>
    </xf>
    <xf numFmtId="0" fontId="14" fillId="2" borderId="6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19" fillId="2" borderId="6" xfId="0" applyFont="1" applyFill="1" applyBorder="1" applyAlignment="1">
      <alignment horizontal="center" vertical="center"/>
    </xf>
    <xf numFmtId="0" fontId="20" fillId="6" borderId="6" xfId="0" applyFont="1" applyFill="1" applyBorder="1" applyAlignment="1">
      <alignment horizontal="center" wrapText="1"/>
    </xf>
  </cellXfs>
  <cellStyles count="4">
    <cellStyle name="Гиперссылка" xfId="3" builtinId="8"/>
    <cellStyle name="Обычный" xfId="0" builtinId="0"/>
    <cellStyle name="Процентный" xfId="2" builtinId="5"/>
    <cellStyle name="Финансовый" xfId="1" builtinId="3"/>
  </cellStyles>
  <dxfs count="7">
    <dxf>
      <font>
        <b/>
      </font>
      <fill>
        <patternFill patternType="solid">
          <fgColor rgb="FFF8CBAD"/>
        </patternFill>
      </fill>
    </dxf>
    <dxf>
      <font>
        <b/>
      </font>
      <fill>
        <patternFill patternType="solid">
          <fgColor rgb="FFFFE699"/>
        </patternFill>
      </fill>
    </dxf>
    <dxf>
      <font>
        <b/>
      </font>
      <fill>
        <patternFill patternType="solid">
          <fgColor rgb="FFC6E0B4"/>
        </patternFill>
      </fill>
    </dxf>
    <dxf>
      <font>
        <b/>
        <color rgb="FFC00000"/>
      </font>
      <fill>
        <patternFill patternType="solid">
          <fgColor rgb="FFF8CBAD"/>
        </patternFill>
      </fill>
    </dxf>
    <dxf>
      <font>
        <b/>
        <color rgb="FF1F6228"/>
      </font>
      <fill>
        <patternFill patternType="solid">
          <fgColor rgb="FFC6E0B4"/>
        </patternFill>
      </fill>
    </dxf>
    <dxf>
      <font>
        <b/>
        <color rgb="FFC00000"/>
      </font>
      <fill>
        <patternFill patternType="solid">
          <fgColor rgb="FFF8CBAD"/>
        </patternFill>
      </fill>
    </dxf>
    <dxf>
      <font>
        <b/>
        <color rgb="FF1F6228"/>
      </font>
      <fill>
        <patternFill patternType="solid">
          <fgColor rgb="FFC6E0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Струкутра </a:t>
            </a:r>
            <a:r>
              <a:rPr lang="en-US"/>
              <a:t>OPEX,</a:t>
            </a:r>
            <a:r>
              <a:rPr lang="en-US" baseline="0"/>
              <a:t> </a:t>
            </a:r>
            <a:r>
              <a:rPr lang="ru-RU" baseline="0"/>
              <a:t>млн руб.</a:t>
            </a:r>
            <a:endParaRPr lang="ru-RU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7A7-6F4C-A534-81C40541F45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7A7-6F4C-A534-81C40541F45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7A7-6F4C-A534-81C40541F45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7A7-6F4C-A534-81C40541F45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7A7-6F4C-A534-81C40541F455}"/>
              </c:ext>
            </c:extLst>
          </c:dPt>
          <c:cat>
            <c:strRef>
              <c:f>Графики!$A$17:$A$21</c:f>
              <c:strCache>
                <c:ptCount val="5"/>
                <c:pt idx="0">
                  <c:v>CoS</c:v>
                </c:pt>
                <c:pt idx="1">
                  <c:v>Staff costs</c:v>
                </c:pt>
                <c:pt idx="2">
                  <c:v>Marketing</c:v>
                </c:pt>
                <c:pt idx="3">
                  <c:v>IT</c:v>
                </c:pt>
                <c:pt idx="4">
                  <c:v>G&amp;A</c:v>
                </c:pt>
              </c:strCache>
            </c:strRef>
          </c:cat>
          <c:val>
            <c:numRef>
              <c:f>Графики!$B$17:$B$21</c:f>
              <c:numCache>
                <c:formatCode>#\ ##0.0</c:formatCode>
                <c:ptCount val="5"/>
                <c:pt idx="0">
                  <c:v>10.621329096996304</c:v>
                </c:pt>
                <c:pt idx="1">
                  <c:v>114.23656437179328</c:v>
                </c:pt>
                <c:pt idx="2">
                  <c:v>26.225238907939961</c:v>
                </c:pt>
                <c:pt idx="3">
                  <c:v>4.5</c:v>
                </c:pt>
                <c:pt idx="4">
                  <c:v>5.7118282185896634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7A7-6F4C-A534-81C40541F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/>
              <a:t>Динамика </a:t>
            </a:r>
            <a:r>
              <a:rPr lang="en"/>
              <a:t>Revenue AS IS / Increment / TO BE 2026-2030 (</a:t>
            </a:r>
            <a:r>
              <a:rPr lang="ru-RU"/>
              <a:t>млн ₽)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8634988587591584E-2"/>
          <c:y val="3.8805555555555558E-2"/>
          <c:w val="0.76157305579521006"/>
          <c:h val="0.87754472222222224"/>
        </c:manualLayout>
      </c:layout>
      <c:lineChart>
        <c:grouping val="standard"/>
        <c:varyColors val="1"/>
        <c:ser>
          <c:idx val="0"/>
          <c:order val="0"/>
          <c:tx>
            <c:strRef>
              <c:f>Графики!$B$4</c:f>
              <c:strCache>
                <c:ptCount val="1"/>
                <c:pt idx="0">
                  <c:v>Revenue AS IS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Графики!$A$5:$A$9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Графики!$B$5:$B$9</c:f>
              <c:numCache>
                <c:formatCode>#\ ##0.0</c:formatCode>
                <c:ptCount val="5"/>
                <c:pt idx="0">
                  <c:v>409.36014353987309</c:v>
                </c:pt>
                <c:pt idx="1">
                  <c:v>412.94305636841261</c:v>
                </c:pt>
                <c:pt idx="2">
                  <c:v>429.46077862314945</c:v>
                </c:pt>
                <c:pt idx="3">
                  <c:v>446.63920976807572</c:v>
                </c:pt>
                <c:pt idx="4">
                  <c:v>464.50477815879924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FAA-E740-920E-AD94A3E28392}"/>
            </c:ext>
          </c:extLst>
        </c:ser>
        <c:ser>
          <c:idx val="1"/>
          <c:order val="1"/>
          <c:tx>
            <c:strRef>
              <c:f>Графики!$C$4</c:f>
              <c:strCache>
                <c:ptCount val="1"/>
                <c:pt idx="0">
                  <c:v>Revenue INCR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Графики!$A$5:$A$9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Графики!$C$5:$C$9</c:f>
              <c:numCache>
                <c:formatCode>#\ ##0.0</c:formatCode>
                <c:ptCount val="5"/>
                <c:pt idx="0">
                  <c:v>12.398920074318761</c:v>
                </c:pt>
                <c:pt idx="1">
                  <c:v>29.299166692956312</c:v>
                </c:pt>
                <c:pt idx="2">
                  <c:v>30.769893576545474</c:v>
                </c:pt>
                <c:pt idx="3">
                  <c:v>32.000806062285463</c:v>
                </c:pt>
                <c:pt idx="4">
                  <c:v>33.280838345507973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FAA-E740-920E-AD94A3E28392}"/>
            </c:ext>
          </c:extLst>
        </c:ser>
        <c:ser>
          <c:idx val="2"/>
          <c:order val="2"/>
          <c:tx>
            <c:strRef>
              <c:f>Графики!$D$4</c:f>
              <c:strCache>
                <c:ptCount val="1"/>
                <c:pt idx="0">
                  <c:v>Revenue TO BE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Графики!$A$5:$A$9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Графики!$D$5:$D$9</c:f>
              <c:numCache>
                <c:formatCode>#\ ##0.0</c:formatCode>
                <c:ptCount val="5"/>
                <c:pt idx="0">
                  <c:v>421.75906361419186</c:v>
                </c:pt>
                <c:pt idx="1">
                  <c:v>442.24222306136892</c:v>
                </c:pt>
                <c:pt idx="2">
                  <c:v>460.23067219969494</c:v>
                </c:pt>
                <c:pt idx="3">
                  <c:v>478.64001583036116</c:v>
                </c:pt>
                <c:pt idx="4">
                  <c:v>497.7856165043072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FAA-E740-920E-AD94A3E28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Год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млн ₽</a:t>
                </a:r>
              </a:p>
            </c:rich>
          </c:tx>
          <c:overlay val="1"/>
        </c:title>
        <c:numFmt formatCode="#\ ##0.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/>
              <a:t>Динамика </a:t>
            </a:r>
            <a:r>
              <a:rPr lang="en"/>
              <a:t>EBITDA: AS IS / Increment / TO BE 2026-2030 (</a:t>
            </a:r>
            <a:r>
              <a:rPr lang="ru-RU"/>
              <a:t>млн ₽)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8602554387814489E-2"/>
          <c:y val="3.8805555555555558E-2"/>
          <c:w val="0.76292107315037505"/>
          <c:h val="0.87754472222222224"/>
        </c:manualLayout>
      </c:layout>
      <c:lineChart>
        <c:grouping val="standard"/>
        <c:varyColors val="1"/>
        <c:ser>
          <c:idx val="0"/>
          <c:order val="0"/>
          <c:tx>
            <c:strRef>
              <c:f>Графики!$E$4</c:f>
              <c:strCache>
                <c:ptCount val="1"/>
                <c:pt idx="0">
                  <c:v>EBITDA AS IS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Графики!$A$5:$A$9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Графики!$E$5:$E$9</c:f>
              <c:numCache>
                <c:formatCode>#\ ##0.0</c:formatCode>
                <c:ptCount val="5"/>
                <c:pt idx="0">
                  <c:v>289.50493349208205</c:v>
                </c:pt>
                <c:pt idx="1">
                  <c:v>286.66304242262368</c:v>
                </c:pt>
                <c:pt idx="2">
                  <c:v>295.41834411952902</c:v>
                </c:pt>
                <c:pt idx="3">
                  <c:v>304.32567248431036</c:v>
                </c:pt>
                <c:pt idx="4">
                  <c:v>313.37723560568321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5F2-864F-A916-B9615A31CAF7}"/>
            </c:ext>
          </c:extLst>
        </c:ser>
        <c:ser>
          <c:idx val="1"/>
          <c:order val="1"/>
          <c:tx>
            <c:strRef>
              <c:f>Графики!$F$4</c:f>
              <c:strCache>
                <c:ptCount val="1"/>
                <c:pt idx="0">
                  <c:v>EBITDA INCR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Графики!$A$5:$A$9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Графики!$F$5:$F$9</c:f>
              <c:numCache>
                <c:formatCode>#\ ##0.0</c:formatCode>
                <c:ptCount val="5"/>
                <c:pt idx="0">
                  <c:v>-5.3998879953206576</c:v>
                </c:pt>
                <c:pt idx="1">
                  <c:v>18.904248483904723</c:v>
                </c:pt>
                <c:pt idx="2">
                  <c:v>21.251706350923655</c:v>
                </c:pt>
                <c:pt idx="3">
                  <c:v>22.168264933454843</c:v>
                </c:pt>
                <c:pt idx="4">
                  <c:v>23.113420303304714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5F2-864F-A916-B9615A31CAF7}"/>
            </c:ext>
          </c:extLst>
        </c:ser>
        <c:ser>
          <c:idx val="2"/>
          <c:order val="2"/>
          <c:tx>
            <c:strRef>
              <c:f>Графики!$G$4</c:f>
              <c:strCache>
                <c:ptCount val="1"/>
                <c:pt idx="0">
                  <c:v>EBITDA TO BE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Графики!$A$5:$A$9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Графики!$G$5:$G$9</c:f>
              <c:numCache>
                <c:formatCode>#\ ##0.0</c:formatCode>
                <c:ptCount val="5"/>
                <c:pt idx="0">
                  <c:v>284.10504549676136</c:v>
                </c:pt>
                <c:pt idx="1">
                  <c:v>305.5672909065284</c:v>
                </c:pt>
                <c:pt idx="2">
                  <c:v>316.67005047045268</c:v>
                </c:pt>
                <c:pt idx="3">
                  <c:v>326.49393741776521</c:v>
                </c:pt>
                <c:pt idx="4">
                  <c:v>336.49065590898795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5F2-864F-A916-B9615A31CA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Год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млн ₽</a:t>
                </a:r>
              </a:p>
            </c:rich>
          </c:tx>
          <c:overlay val="1"/>
        </c:title>
        <c:numFmt formatCode="#\ ##0.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LTV </a:t>
            </a:r>
            <a:r>
              <a:rPr lang="ru-RU"/>
              <a:t>и </a:t>
            </a:r>
            <a:r>
              <a:rPr lang="en-US"/>
              <a:t>Retentiom</a:t>
            </a:r>
            <a:endParaRPr lang="ru-RU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'Монетизация и юнит'!$J$28:$J$46</c:f>
              <c:numCache>
                <c:formatCode>0%</c:formatCode>
                <c:ptCount val="19"/>
                <c:pt idx="0">
                  <c:v>0.95</c:v>
                </c:pt>
                <c:pt idx="1">
                  <c:v>0.9</c:v>
                </c:pt>
                <c:pt idx="2">
                  <c:v>0.85</c:v>
                </c:pt>
                <c:pt idx="3">
                  <c:v>0.8</c:v>
                </c:pt>
                <c:pt idx="4">
                  <c:v>0.75</c:v>
                </c:pt>
                <c:pt idx="5">
                  <c:v>0.7</c:v>
                </c:pt>
                <c:pt idx="6">
                  <c:v>0.65</c:v>
                </c:pt>
                <c:pt idx="7">
                  <c:v>0.6</c:v>
                </c:pt>
                <c:pt idx="8">
                  <c:v>0.55000000000000104</c:v>
                </c:pt>
                <c:pt idx="9">
                  <c:v>0.500000000000001</c:v>
                </c:pt>
                <c:pt idx="10">
                  <c:v>0.45000000000000101</c:v>
                </c:pt>
                <c:pt idx="11">
                  <c:v>0.40000000000000102</c:v>
                </c:pt>
                <c:pt idx="12">
                  <c:v>0.35000000000000098</c:v>
                </c:pt>
                <c:pt idx="13">
                  <c:v>0.30000000000000099</c:v>
                </c:pt>
                <c:pt idx="14">
                  <c:v>0.250000000000001</c:v>
                </c:pt>
                <c:pt idx="15">
                  <c:v>0.20000000000000101</c:v>
                </c:pt>
                <c:pt idx="16">
                  <c:v>0.15000000000000099</c:v>
                </c:pt>
                <c:pt idx="17">
                  <c:v>0.100000000000001</c:v>
                </c:pt>
                <c:pt idx="18">
                  <c:v>5.0000000000000898E-2</c:v>
                </c:pt>
              </c:numCache>
            </c:numRef>
          </c:xVal>
          <c:yVal>
            <c:numRef>
              <c:f>'Монетизация и юнит'!$M$28:$M$46</c:f>
              <c:numCache>
                <c:formatCode>0</c:formatCode>
                <c:ptCount val="19"/>
                <c:pt idx="0">
                  <c:v>1673.9999999999986</c:v>
                </c:pt>
                <c:pt idx="1">
                  <c:v>837.00000000000011</c:v>
                </c:pt>
                <c:pt idx="2">
                  <c:v>557.99999999999989</c:v>
                </c:pt>
                <c:pt idx="3">
                  <c:v>418.50000000000006</c:v>
                </c:pt>
                <c:pt idx="4">
                  <c:v>334.8</c:v>
                </c:pt>
                <c:pt idx="5">
                  <c:v>278.99999999999994</c:v>
                </c:pt>
                <c:pt idx="6">
                  <c:v>239.14285714285711</c:v>
                </c:pt>
                <c:pt idx="7">
                  <c:v>209.25</c:v>
                </c:pt>
                <c:pt idx="8">
                  <c:v>186.0000000000004</c:v>
                </c:pt>
                <c:pt idx="9">
                  <c:v>167.40000000000035</c:v>
                </c:pt>
                <c:pt idx="10">
                  <c:v>152.18181818181847</c:v>
                </c:pt>
                <c:pt idx="11">
                  <c:v>139.50000000000023</c:v>
                </c:pt>
                <c:pt idx="12">
                  <c:v>128.76923076923094</c:v>
                </c:pt>
                <c:pt idx="13">
                  <c:v>119.57142857142871</c:v>
                </c:pt>
                <c:pt idx="14">
                  <c:v>111.60000000000014</c:v>
                </c:pt>
                <c:pt idx="15">
                  <c:v>104.62500000000016</c:v>
                </c:pt>
                <c:pt idx="16">
                  <c:v>98.470588235294215</c:v>
                </c:pt>
                <c:pt idx="17">
                  <c:v>93.000000000000099</c:v>
                </c:pt>
                <c:pt idx="18">
                  <c:v>88.105263157894811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0A-C545-AF73-002360D40850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'Монетизация и юнит'!$J$28:$J$46</c:f>
              <c:numCache>
                <c:formatCode>0%</c:formatCode>
                <c:ptCount val="19"/>
                <c:pt idx="0">
                  <c:v>0.95</c:v>
                </c:pt>
                <c:pt idx="1">
                  <c:v>0.9</c:v>
                </c:pt>
                <c:pt idx="2">
                  <c:v>0.85</c:v>
                </c:pt>
                <c:pt idx="3">
                  <c:v>0.8</c:v>
                </c:pt>
                <c:pt idx="4">
                  <c:v>0.75</c:v>
                </c:pt>
                <c:pt idx="5">
                  <c:v>0.7</c:v>
                </c:pt>
                <c:pt idx="6">
                  <c:v>0.65</c:v>
                </c:pt>
                <c:pt idx="7">
                  <c:v>0.6</c:v>
                </c:pt>
                <c:pt idx="8">
                  <c:v>0.55000000000000104</c:v>
                </c:pt>
                <c:pt idx="9">
                  <c:v>0.500000000000001</c:v>
                </c:pt>
                <c:pt idx="10">
                  <c:v>0.45000000000000101</c:v>
                </c:pt>
                <c:pt idx="11">
                  <c:v>0.40000000000000102</c:v>
                </c:pt>
                <c:pt idx="12">
                  <c:v>0.35000000000000098</c:v>
                </c:pt>
                <c:pt idx="13">
                  <c:v>0.30000000000000099</c:v>
                </c:pt>
                <c:pt idx="14">
                  <c:v>0.250000000000001</c:v>
                </c:pt>
                <c:pt idx="15">
                  <c:v>0.20000000000000101</c:v>
                </c:pt>
                <c:pt idx="16">
                  <c:v>0.15000000000000099</c:v>
                </c:pt>
                <c:pt idx="17">
                  <c:v>0.100000000000001</c:v>
                </c:pt>
                <c:pt idx="18">
                  <c:v>5.0000000000000898E-2</c:v>
                </c:pt>
              </c:numCache>
            </c:numRef>
          </c:xVal>
          <c:yVal>
            <c:numRef>
              <c:f>'Монетизация и юнит'!$N$28:$N$46</c:f>
              <c:numCache>
                <c:formatCode>General</c:formatCode>
                <c:ptCount val="19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300</c:v>
                </c:pt>
                <c:pt idx="17">
                  <c:v>300</c:v>
                </c:pt>
                <c:pt idx="18">
                  <c:v>300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80A-C545-AF73-002360D40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2162176"/>
        <c:axId val="1322000528"/>
      </c:scatterChart>
      <c:valAx>
        <c:axId val="1322162176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Retention, %</a:t>
                </a:r>
                <a:endParaRPr lang="ru-RU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22000528"/>
        <c:crosses val="autoZero"/>
        <c:crossBetween val="midCat"/>
      </c:valAx>
      <c:valAx>
        <c:axId val="132200052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LTV, </a:t>
                </a:r>
                <a:r>
                  <a:rPr lang="ru-RU"/>
                  <a:t>руб.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22162176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Rev Baseline 26, mln rub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'Baseline TOP-down'!$D$24:$O$24</c:f>
              <c:numCache>
                <c:formatCode>_-* #\ ##0.0_-;\-* #\ ##0.0_-;_-* "-"??_-;_-@_-</c:formatCode>
                <c:ptCount val="12"/>
                <c:pt idx="0">
                  <c:v>20454.545454545452</c:v>
                </c:pt>
                <c:pt idx="1">
                  <c:v>41043.01662745358</c:v>
                </c:pt>
                <c:pt idx="2">
                  <c:v>32941.904627014665</c:v>
                </c:pt>
                <c:pt idx="3">
                  <c:v>33049.747850693522</c:v>
                </c:pt>
                <c:pt idx="4">
                  <c:v>33157.944125023983</c:v>
                </c:pt>
                <c:pt idx="5">
                  <c:v>33266.494605801992</c:v>
                </c:pt>
                <c:pt idx="6">
                  <c:v>33375.400452607319</c:v>
                </c:pt>
                <c:pt idx="7">
                  <c:v>33484.662828815839</c:v>
                </c:pt>
                <c:pt idx="8">
                  <c:v>33594.282901612045</c:v>
                </c:pt>
                <c:pt idx="9">
                  <c:v>33704.261842001499</c:v>
                </c:pt>
                <c:pt idx="10">
                  <c:v>40577.520989787976</c:v>
                </c:pt>
                <c:pt idx="11">
                  <c:v>40710.361234515258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5C-5240-B41C-4179C60AF992}"/>
            </c:ext>
          </c:extLst>
        </c:ser>
        <c:ser>
          <c:idx val="1"/>
          <c:order val="1"/>
          <c:tx>
            <c:v>Rev New 26, mln rub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'Baseline TOP-down'!$D$52:$O$52</c:f>
              <c:numCache>
                <c:formatCode>_-* #\ ##0.0_-;\-* #\ ##0.0_-;_-* "-"??_-;_-@_-</c:formatCode>
                <c:ptCount val="12"/>
                <c:pt idx="0">
                  <c:v>20740.532400000004</c:v>
                </c:pt>
                <c:pt idx="1">
                  <c:v>41616.86301204373</c:v>
                </c:pt>
                <c:pt idx="2">
                  <c:v>41753.105792096576</c:v>
                </c:pt>
                <c:pt idx="3">
                  <c:v>41889.794595558524</c:v>
                </c:pt>
                <c:pt idx="4">
                  <c:v>42026.930882594141</c:v>
                </c:pt>
                <c:pt idx="5">
                  <c:v>42164.516118148211</c:v>
                </c:pt>
                <c:pt idx="6">
                  <c:v>42302.551771961364</c:v>
                </c:pt>
                <c:pt idx="7">
                  <c:v>42441.039318585754</c:v>
                </c:pt>
                <c:pt idx="8">
                  <c:v>42579.98023740088</c:v>
                </c:pt>
                <c:pt idx="9">
                  <c:v>42719.376012629313</c:v>
                </c:pt>
                <c:pt idx="10">
                  <c:v>51431.073760023079</c:v>
                </c:pt>
                <c:pt idx="11">
                  <c:v>51599.445712232482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5C-5240-B41C-4179C60AF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4422576"/>
        <c:axId val="1549012656"/>
      </c:lineChart>
      <c:catAx>
        <c:axId val="20944225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Месяцы,</a:t>
                </a:r>
                <a:r>
                  <a:rPr lang="ru-RU" baseline="0"/>
                  <a:t> 2026 г.</a:t>
                </a:r>
                <a:endParaRPr lang="ru-RU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49012656"/>
        <c:crosses val="autoZero"/>
        <c:auto val="1"/>
        <c:lblAlgn val="ctr"/>
        <c:lblOffset val="100"/>
        <c:noMultiLvlLbl val="0"/>
      </c:catAx>
      <c:valAx>
        <c:axId val="154901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Выручка, тыс. руб.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_-* #\ ##0.0_-;\-* #\ ##0.0_-;_-* &quot;-&quot;??_-;_-@_-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9442257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40821</xdr:colOff>
      <xdr:row>23</xdr:row>
      <xdr:rowOff>144236</xdr:rowOff>
    </xdr:from>
    <xdr:to>
      <xdr:col>22</xdr:col>
      <xdr:colOff>408215</xdr:colOff>
      <xdr:row>52</xdr:row>
      <xdr:rowOff>136072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9</xdr:col>
      <xdr:colOff>0</xdr:colOff>
      <xdr:row>2</xdr:row>
      <xdr:rowOff>0</xdr:rowOff>
    </xdr:from>
    <xdr:ext cx="91567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22</xdr:col>
      <xdr:colOff>476250</xdr:colOff>
      <xdr:row>2</xdr:row>
      <xdr:rowOff>45357</xdr:rowOff>
    </xdr:from>
    <xdr:ext cx="9105900" cy="3600000"/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426118</xdr:colOff>
      <xdr:row>7</xdr:row>
      <xdr:rowOff>38100</xdr:rowOff>
    </xdr:from>
    <xdr:to>
      <xdr:col>14</xdr:col>
      <xdr:colOff>673100</xdr:colOff>
      <xdr:row>23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32455</xdr:colOff>
      <xdr:row>466</xdr:row>
      <xdr:rowOff>35592</xdr:rowOff>
    </xdr:from>
    <xdr:to>
      <xdr:col>8</xdr:col>
      <xdr:colOff>780642</xdr:colOff>
      <xdr:row>495</xdr:row>
      <xdr:rowOff>139816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dek.ru/ru/business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companies.rbc.ru/news/sC0u2z43j7/ryinok-zootovarov-v-rossii-vyiros-do-590-mlrd-rublej/" TargetMode="External"/><Relationship Id="rId2" Type="http://schemas.openxmlformats.org/officeDocument/2006/relationships/hyperlink" Target="https://companies.rbc.ru/news/sC0u2z43j7/ryinok-zootovarov-v-rossii-vyiros-do-590-mlrd-rublej/" TargetMode="External"/><Relationship Id="rId1" Type="http://schemas.openxmlformats.org/officeDocument/2006/relationships/hyperlink" Target="https://companies.rbc.ru/news/sC0u2z43j7/ryinok-zootovarov-v-rossii-vyiros-do-590-mlrd-rublej/" TargetMode="External"/><Relationship Id="rId4" Type="http://schemas.openxmlformats.org/officeDocument/2006/relationships/hyperlink" Target="https://companies.rbc.ru/news/sC0u2z43j7/ryinok-zootovarov-v-rossii-vyiros-do-590-mlrd-rublej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8"/>
  <sheetViews>
    <sheetView tabSelected="1" workbookViewId="0">
      <pane xSplit="1" ySplit="12" topLeftCell="B14" activePane="bottomRight" state="frozen"/>
      <selection pane="topRight"/>
      <selection pane="bottomLeft"/>
      <selection pane="bottomRight" activeCell="C12" sqref="C12"/>
    </sheetView>
  </sheetViews>
  <sheetFormatPr baseColWidth="10" defaultColWidth="8.83203125" defaultRowHeight="13" x14ac:dyDescent="0.15"/>
  <cols>
    <col min="1" max="1" width="5" customWidth="1"/>
    <col min="2" max="2" width="38" customWidth="1"/>
    <col min="3" max="3" width="8" customWidth="1"/>
    <col min="4" max="4" width="21.6640625" customWidth="1"/>
    <col min="5" max="10" width="14" customWidth="1"/>
    <col min="11" max="11" width="29.83203125" bestFit="1" customWidth="1"/>
    <col min="12" max="12" width="14" customWidth="1"/>
  </cols>
  <sheetData>
    <row r="1" spans="1:12" x14ac:dyDescent="0.15">
      <c r="A1" s="230" t="s">
        <v>93</v>
      </c>
    </row>
    <row r="3" spans="1:12" ht="16" customHeight="1" x14ac:dyDescent="0.2">
      <c r="A3">
        <v>1</v>
      </c>
      <c r="B3" s="223" t="s">
        <v>94</v>
      </c>
    </row>
    <row r="4" spans="1:12" x14ac:dyDescent="0.15">
      <c r="B4" t="s">
        <v>95</v>
      </c>
      <c r="D4" s="291" t="s">
        <v>96</v>
      </c>
    </row>
    <row r="5" spans="1:12" x14ac:dyDescent="0.15">
      <c r="B5" t="s">
        <v>97</v>
      </c>
      <c r="D5" s="258" t="s">
        <v>98</v>
      </c>
      <c r="K5" t="s">
        <v>99</v>
      </c>
      <c r="L5" s="261">
        <f>CashFlow!BK30</f>
        <v>100.73240958686891</v>
      </c>
    </row>
    <row r="6" spans="1:12" x14ac:dyDescent="0.15">
      <c r="K6" t="s">
        <v>100</v>
      </c>
      <c r="L6" s="261">
        <f>CashFlow!C33</f>
        <v>-8.361299339017247</v>
      </c>
    </row>
    <row r="7" spans="1:12" x14ac:dyDescent="0.15">
      <c r="K7" t="s">
        <v>101</v>
      </c>
      <c r="L7" s="261">
        <f>CashFlow!C33</f>
        <v>-8.361299339017247</v>
      </c>
    </row>
    <row r="8" spans="1:12" x14ac:dyDescent="0.15">
      <c r="K8" t="s">
        <v>102</v>
      </c>
      <c r="L8" s="261">
        <f>CashFlow!C36</f>
        <v>47.843436494391931</v>
      </c>
    </row>
    <row r="12" spans="1:12" x14ac:dyDescent="0.15">
      <c r="B12" s="232" t="s">
        <v>103</v>
      </c>
      <c r="C12" s="232" t="s">
        <v>104</v>
      </c>
      <c r="D12" s="232" t="s">
        <v>105</v>
      </c>
      <c r="E12" s="235">
        <v>2026</v>
      </c>
      <c r="F12" s="235">
        <v>2027</v>
      </c>
      <c r="G12" s="235">
        <v>2028</v>
      </c>
      <c r="H12" s="235">
        <v>2029</v>
      </c>
      <c r="I12" s="235">
        <v>2030</v>
      </c>
    </row>
    <row r="13" spans="1:12" ht="16" customHeight="1" x14ac:dyDescent="0.2">
      <c r="A13">
        <v>2</v>
      </c>
      <c r="B13" s="223" t="s">
        <v>106</v>
      </c>
    </row>
    <row r="14" spans="1:12" x14ac:dyDescent="0.15">
      <c r="B14" t="s">
        <v>107</v>
      </c>
      <c r="D14" s="258" t="s">
        <v>108</v>
      </c>
    </row>
    <row r="15" spans="1:12" x14ac:dyDescent="0.15">
      <c r="B15" t="s">
        <v>109</v>
      </c>
      <c r="D15" s="263">
        <f>PnL!B10</f>
        <v>0.26300000000000001</v>
      </c>
    </row>
    <row r="16" spans="1:12" x14ac:dyDescent="0.15">
      <c r="B16" t="s">
        <v>110</v>
      </c>
      <c r="D16" s="263">
        <f>PnL!B11</f>
        <v>0.05</v>
      </c>
    </row>
    <row r="17" spans="1:12" x14ac:dyDescent="0.15">
      <c r="B17" t="s">
        <v>111</v>
      </c>
      <c r="E17" s="233">
        <v>0.05</v>
      </c>
      <c r="F17" s="233">
        <v>0.05</v>
      </c>
      <c r="G17" s="233">
        <v>0.05</v>
      </c>
      <c r="H17" s="233">
        <v>0.05</v>
      </c>
      <c r="I17" s="233">
        <v>0.05</v>
      </c>
    </row>
    <row r="18" spans="1:12" x14ac:dyDescent="0.15">
      <c r="B18" t="s">
        <v>839</v>
      </c>
      <c r="E18" s="233">
        <v>0.2</v>
      </c>
      <c r="F18" s="233">
        <v>0.22</v>
      </c>
      <c r="G18" s="233">
        <v>0.22</v>
      </c>
      <c r="H18" s="233">
        <v>0.22</v>
      </c>
      <c r="I18" s="233">
        <v>0.22</v>
      </c>
    </row>
    <row r="21" spans="1:12" x14ac:dyDescent="0.15">
      <c r="B21" t="s">
        <v>112</v>
      </c>
      <c r="D21" s="258" t="s">
        <v>113</v>
      </c>
      <c r="E21" s="230" t="s">
        <v>114</v>
      </c>
    </row>
    <row r="22" spans="1:12" x14ac:dyDescent="0.15">
      <c r="B22" t="s">
        <v>115</v>
      </c>
      <c r="D22" t="s">
        <v>116</v>
      </c>
    </row>
    <row r="23" spans="1:12" ht="28" customHeight="1" x14ac:dyDescent="0.15">
      <c r="B23" t="s">
        <v>117</v>
      </c>
      <c r="D23" s="74" t="s">
        <v>118</v>
      </c>
      <c r="E23" s="320" t="s">
        <v>119</v>
      </c>
      <c r="F23" s="315"/>
      <c r="G23" s="315"/>
      <c r="H23" s="315"/>
      <c r="I23" s="315"/>
      <c r="J23" s="315"/>
      <c r="K23" s="315"/>
      <c r="L23" s="315"/>
    </row>
    <row r="24" spans="1:12" x14ac:dyDescent="0.15">
      <c r="B24" t="s">
        <v>120</v>
      </c>
      <c r="D24" t="s">
        <v>121</v>
      </c>
    </row>
    <row r="27" spans="1:12" ht="16" customHeight="1" x14ac:dyDescent="0.2">
      <c r="A27">
        <v>3</v>
      </c>
      <c r="B27" s="322" t="s">
        <v>122</v>
      </c>
      <c r="C27" s="315"/>
      <c r="D27" s="315"/>
      <c r="E27" s="315"/>
      <c r="F27" s="315"/>
      <c r="G27" s="315"/>
      <c r="H27" s="315"/>
      <c r="I27" s="315"/>
      <c r="J27" s="315"/>
      <c r="K27" s="315"/>
      <c r="L27" s="315"/>
    </row>
    <row r="28" spans="1:12" x14ac:dyDescent="0.15">
      <c r="B28" s="232" t="s">
        <v>123</v>
      </c>
      <c r="C28" t="s">
        <v>124</v>
      </c>
      <c r="E28" s="287">
        <f>PnL!BL20</f>
        <v>409.36014353987309</v>
      </c>
      <c r="F28" s="287">
        <f>PnL!BM20</f>
        <v>412.94305636841261</v>
      </c>
      <c r="G28" s="287">
        <f>PnL!BN20</f>
        <v>429.46077862314945</v>
      </c>
      <c r="H28" s="287">
        <f>PnL!BO20</f>
        <v>446.63920976807572</v>
      </c>
      <c r="I28" s="287">
        <f>PnL!BP20</f>
        <v>464.50477815879924</v>
      </c>
    </row>
    <row r="29" spans="1:12" x14ac:dyDescent="0.15">
      <c r="B29" t="s">
        <v>125</v>
      </c>
      <c r="C29" t="s">
        <v>124</v>
      </c>
      <c r="E29" s="287">
        <f>PnL!BL21</f>
        <v>-8.1872028707974636</v>
      </c>
      <c r="F29" s="287">
        <f>PnL!BM21</f>
        <v>-8.2588611273682524</v>
      </c>
      <c r="G29" s="287">
        <f>PnL!BN21</f>
        <v>-8.5892155724629902</v>
      </c>
      <c r="H29" s="287">
        <f>PnL!BO21</f>
        <v>-8.9327841953615152</v>
      </c>
      <c r="I29" s="287">
        <f>PnL!BP21</f>
        <v>-9.2900955631759849</v>
      </c>
    </row>
    <row r="30" spans="1:12" x14ac:dyDescent="0.15">
      <c r="B30" t="s">
        <v>126</v>
      </c>
      <c r="C30" t="s">
        <v>124</v>
      </c>
      <c r="E30" s="287">
        <f>PnL!BL22</f>
        <v>-84</v>
      </c>
      <c r="F30" s="287">
        <f>PnL!BM22</f>
        <v>-89.88</v>
      </c>
      <c r="G30" s="287">
        <f>PnL!BN22</f>
        <v>-96.171600000000026</v>
      </c>
      <c r="H30" s="287">
        <f>PnL!BO22</f>
        <v>-102.90361199999997</v>
      </c>
      <c r="I30" s="287">
        <f>PnL!BP22</f>
        <v>-110.10686484</v>
      </c>
    </row>
    <row r="31" spans="1:12" x14ac:dyDescent="0.15">
      <c r="B31" t="s">
        <v>127</v>
      </c>
      <c r="C31" t="s">
        <v>124</v>
      </c>
      <c r="E31" s="287">
        <f>PnL!BL23</f>
        <v>-20.468007176993659</v>
      </c>
      <c r="F31" s="287">
        <f>PnL!BM23</f>
        <v>-20.647152818420629</v>
      </c>
      <c r="G31" s="287">
        <f>PnL!BN23</f>
        <v>-21.473038931157468</v>
      </c>
      <c r="H31" s="287">
        <f>PnL!BO23</f>
        <v>-22.331960488403784</v>
      </c>
      <c r="I31" s="287">
        <f>PnL!BP23</f>
        <v>-23.225238907939961</v>
      </c>
    </row>
    <row r="32" spans="1:12" x14ac:dyDescent="0.15">
      <c r="B32" t="s">
        <v>128</v>
      </c>
      <c r="C32" t="s">
        <v>124</v>
      </c>
      <c r="E32" s="287">
        <f>PnL!BL24</f>
        <v>0</v>
      </c>
      <c r="F32" s="287">
        <f>PnL!BM24</f>
        <v>0</v>
      </c>
      <c r="G32" s="287">
        <f>PnL!BN24</f>
        <v>0</v>
      </c>
      <c r="H32" s="287">
        <f>PnL!BO24</f>
        <v>0</v>
      </c>
      <c r="I32" s="287">
        <f>PnL!BP24</f>
        <v>0</v>
      </c>
    </row>
    <row r="33" spans="1:12" x14ac:dyDescent="0.15">
      <c r="B33" t="s">
        <v>129</v>
      </c>
      <c r="C33" t="s">
        <v>124</v>
      </c>
      <c r="E33" s="287">
        <f>PnL!BL25</f>
        <v>-3</v>
      </c>
      <c r="F33" s="287">
        <f>PnL!BM25</f>
        <v>-3</v>
      </c>
      <c r="G33" s="287">
        <f>PnL!BN25</f>
        <v>-3</v>
      </c>
      <c r="H33" s="287">
        <f>PnL!BO25</f>
        <v>-3</v>
      </c>
      <c r="I33" s="287">
        <f>PnL!BP25</f>
        <v>-3</v>
      </c>
    </row>
    <row r="34" spans="1:12" x14ac:dyDescent="0.15">
      <c r="B34" t="s">
        <v>130</v>
      </c>
      <c r="C34" t="s">
        <v>124</v>
      </c>
      <c r="E34" s="287">
        <f>PnL!BL26</f>
        <v>-4.2</v>
      </c>
      <c r="F34" s="287">
        <f>PnL!BM26</f>
        <v>-4.4939999999999998</v>
      </c>
      <c r="G34" s="287">
        <f>PnL!BN26</f>
        <v>-4.8085800000000001</v>
      </c>
      <c r="H34" s="287">
        <f>PnL!BO26</f>
        <v>-5.1451806000000007</v>
      </c>
      <c r="I34" s="287">
        <f>PnL!BP26</f>
        <v>-5.5053432419999995</v>
      </c>
    </row>
    <row r="35" spans="1:12" x14ac:dyDescent="0.15">
      <c r="B35" t="s">
        <v>131</v>
      </c>
      <c r="C35" t="s">
        <v>124</v>
      </c>
      <c r="E35" s="287">
        <f>PnL!BL27</f>
        <v>0</v>
      </c>
      <c r="F35" s="287">
        <f>PnL!BM27</f>
        <v>0</v>
      </c>
      <c r="G35" s="287">
        <f>PnL!BN27</f>
        <v>0</v>
      </c>
      <c r="H35" s="287">
        <f>PnL!BO27</f>
        <v>0</v>
      </c>
      <c r="I35" s="287">
        <f>PnL!BP27</f>
        <v>0</v>
      </c>
    </row>
    <row r="36" spans="1:12" x14ac:dyDescent="0.15">
      <c r="B36" s="232" t="s">
        <v>132</v>
      </c>
      <c r="C36" t="s">
        <v>124</v>
      </c>
      <c r="E36" s="287">
        <f>PnL!BL28</f>
        <v>289.50493349208205</v>
      </c>
      <c r="F36" s="287">
        <f>PnL!BM28</f>
        <v>286.66304242262368</v>
      </c>
      <c r="G36" s="287">
        <f>PnL!BN28</f>
        <v>295.41834411952902</v>
      </c>
      <c r="H36" s="287">
        <f>PnL!BO28</f>
        <v>304.32567248431036</v>
      </c>
      <c r="I36" s="287">
        <f>PnL!BP28</f>
        <v>313.37723560568321</v>
      </c>
    </row>
    <row r="37" spans="1:12" x14ac:dyDescent="0.15">
      <c r="B37" t="s">
        <v>111</v>
      </c>
      <c r="C37" t="s">
        <v>124</v>
      </c>
      <c r="E37" s="287">
        <f>PnL!BL30</f>
        <v>-14.475246674604101</v>
      </c>
      <c r="F37" s="287">
        <f>PnL!BM30</f>
        <v>-14.333152121131185</v>
      </c>
      <c r="G37" s="287">
        <f>PnL!BN30</f>
        <v>-14.770917205976451</v>
      </c>
      <c r="H37" s="287">
        <f>PnL!BO30</f>
        <v>-15.216283624215523</v>
      </c>
      <c r="I37" s="287">
        <f>PnL!BP30</f>
        <v>-15.668861780284162</v>
      </c>
    </row>
    <row r="38" spans="1:12" x14ac:dyDescent="0.15">
      <c r="B38" t="s">
        <v>133</v>
      </c>
      <c r="C38" t="s">
        <v>134</v>
      </c>
      <c r="E38" s="263">
        <f>IFERROR(PnL!BL28/PnL!BL20,0)</f>
        <v>0.70721328898469882</v>
      </c>
      <c r="F38" s="263">
        <f>IFERROR(PnL!BM28/PnL!BM20,0)</f>
        <v>0.69419509058622708</v>
      </c>
      <c r="G38" s="263">
        <f>IFERROR(PnL!BN28/PnL!BN20,0)</f>
        <v>0.68788201117373216</v>
      </c>
      <c r="H38" s="263">
        <f>IFERROR(PnL!BO28/PnL!BO20,0)</f>
        <v>0.68136801657502521</v>
      </c>
      <c r="I38" s="263">
        <f>IFERROR(PnL!BP28/PnL!BP20,0)</f>
        <v>0.67464803451074429</v>
      </c>
    </row>
    <row r="39" spans="1:12" x14ac:dyDescent="0.15">
      <c r="B39" t="s">
        <v>135</v>
      </c>
      <c r="C39" t="s">
        <v>124</v>
      </c>
      <c r="E39" s="287">
        <f>PnL!BL35</f>
        <v>-74.521271896198371</v>
      </c>
      <c r="F39" s="287">
        <f>PnL!BM35</f>
        <v>-2.9798508758480295</v>
      </c>
      <c r="G39" s="287">
        <f>PnL!BN35</f>
        <v>-3.0975749108818889</v>
      </c>
      <c r="H39" s="287">
        <f>PnL!BO35</f>
        <v>-3.2199050073171946</v>
      </c>
      <c r="I39" s="287">
        <f>PnL!BP35</f>
        <v>-3.3470182046098955</v>
      </c>
    </row>
    <row r="40" spans="1:12" x14ac:dyDescent="0.15">
      <c r="B40" s="232" t="s">
        <v>136</v>
      </c>
      <c r="C40" t="s">
        <v>124</v>
      </c>
      <c r="E40" s="287">
        <f>PnL!BL36</f>
        <v>200.5084149212795</v>
      </c>
      <c r="F40" s="287">
        <f>PnL!BM36</f>
        <v>269.35003942564447</v>
      </c>
      <c r="G40" s="287">
        <f>PnL!BN36</f>
        <v>277.5498520026706</v>
      </c>
      <c r="H40" s="287">
        <f>PnL!BO36</f>
        <v>285.88948385277769</v>
      </c>
      <c r="I40" s="287">
        <f>PnL!BP36</f>
        <v>294.36135562078914</v>
      </c>
    </row>
    <row r="44" spans="1:12" ht="16" customHeight="1" x14ac:dyDescent="0.2">
      <c r="A44">
        <v>4</v>
      </c>
      <c r="B44" s="324" t="s">
        <v>137</v>
      </c>
      <c r="C44" s="315"/>
      <c r="D44" s="315"/>
      <c r="E44" s="315"/>
      <c r="F44" s="315"/>
      <c r="G44" s="315"/>
      <c r="H44" s="315"/>
      <c r="I44" s="315"/>
      <c r="J44" s="315"/>
      <c r="K44" s="315"/>
      <c r="L44" s="315"/>
    </row>
    <row r="45" spans="1:12" x14ac:dyDescent="0.15">
      <c r="B45" s="232" t="s">
        <v>123</v>
      </c>
      <c r="C45" t="s">
        <v>124</v>
      </c>
      <c r="E45" s="287">
        <f>PnL!BL39</f>
        <v>12.398920074318761</v>
      </c>
      <c r="F45" s="287">
        <f>PnL!BM39</f>
        <v>29.299166692956312</v>
      </c>
      <c r="G45" s="287">
        <f>PnL!BN39</f>
        <v>30.769893576545474</v>
      </c>
      <c r="H45" s="287">
        <f>PnL!BO39</f>
        <v>32.000806062285463</v>
      </c>
      <c r="I45" s="287">
        <f>PnL!BP39</f>
        <v>33.280838345507973</v>
      </c>
    </row>
    <row r="46" spans="1:12" x14ac:dyDescent="0.15">
      <c r="B46" t="s">
        <v>125</v>
      </c>
      <c r="C46" t="s">
        <v>124</v>
      </c>
      <c r="E46" s="287">
        <f>PnL!BL40</f>
        <v>-0.49595680297275047</v>
      </c>
      <c r="F46" s="287">
        <f>PnL!BM40</f>
        <v>-1.1719666677182523</v>
      </c>
      <c r="G46" s="287">
        <f>PnL!BN40</f>
        <v>-1.2307957430618188</v>
      </c>
      <c r="H46" s="287">
        <f>PnL!BO40</f>
        <v>-1.2800322424914186</v>
      </c>
      <c r="I46" s="287">
        <f>PnL!BP40</f>
        <v>-1.3312335338203194</v>
      </c>
    </row>
    <row r="47" spans="1:12" x14ac:dyDescent="0.15">
      <c r="B47" t="s">
        <v>126</v>
      </c>
      <c r="C47" t="s">
        <v>124</v>
      </c>
      <c r="E47" s="287">
        <f>PnL!BL41</f>
        <v>-12.510652</v>
      </c>
      <c r="F47" s="287">
        <f>PnL!BM41</f>
        <v>-3.3710649599999987</v>
      </c>
      <c r="G47" s="287">
        <f>PnL!BN41</f>
        <v>-3.6070395072000014</v>
      </c>
      <c r="H47" s="287">
        <f>PnL!BO41</f>
        <v>-3.8595322727039991</v>
      </c>
      <c r="I47" s="287">
        <f>PnL!BP41</f>
        <v>-4.1296995317932801</v>
      </c>
    </row>
    <row r="48" spans="1:12" x14ac:dyDescent="0.15">
      <c r="B48" t="s">
        <v>127</v>
      </c>
      <c r="C48" t="s">
        <v>124</v>
      </c>
      <c r="E48" s="287">
        <f>PnL!BL42</f>
        <v>-1.6666666666666665</v>
      </c>
      <c r="F48" s="287">
        <f>PnL!BM42</f>
        <v>-3.583333333333333</v>
      </c>
      <c r="G48" s="287">
        <f>PnL!BN42</f>
        <v>-3</v>
      </c>
      <c r="H48" s="287">
        <f>PnL!BO42</f>
        <v>-3</v>
      </c>
      <c r="I48" s="287">
        <f>PnL!BP42</f>
        <v>-3</v>
      </c>
    </row>
    <row r="49" spans="1:12" x14ac:dyDescent="0.15">
      <c r="B49" t="s">
        <v>128</v>
      </c>
      <c r="C49" t="s">
        <v>124</v>
      </c>
      <c r="E49" s="287">
        <f>PnL!BL43</f>
        <v>0</v>
      </c>
      <c r="F49" s="287">
        <f>PnL!BM43</f>
        <v>0</v>
      </c>
      <c r="G49" s="287">
        <f>PnL!BN43</f>
        <v>0</v>
      </c>
      <c r="H49" s="287">
        <f>PnL!BO43</f>
        <v>0</v>
      </c>
      <c r="I49" s="287">
        <f>PnL!BP43</f>
        <v>0</v>
      </c>
    </row>
    <row r="50" spans="1:12" x14ac:dyDescent="0.15">
      <c r="B50" t="s">
        <v>129</v>
      </c>
      <c r="C50" t="s">
        <v>124</v>
      </c>
      <c r="E50" s="287">
        <f>PnL!BL44</f>
        <v>-2.5</v>
      </c>
      <c r="F50" s="287">
        <f>PnL!BM44</f>
        <v>-2.1</v>
      </c>
      <c r="G50" s="287">
        <f>PnL!BN44</f>
        <v>-1.5</v>
      </c>
      <c r="H50" s="287">
        <f>PnL!BO44</f>
        <v>-1.5</v>
      </c>
      <c r="I50" s="287">
        <f>PnL!BP44</f>
        <v>-1.5</v>
      </c>
    </row>
    <row r="51" spans="1:12" x14ac:dyDescent="0.15">
      <c r="B51" t="s">
        <v>130</v>
      </c>
      <c r="C51" t="s">
        <v>124</v>
      </c>
      <c r="E51" s="287">
        <f>PnL!BL45</f>
        <v>-0.62553260000000022</v>
      </c>
      <c r="F51" s="287">
        <f>PnL!BM45</f>
        <v>-0.16855324800000002</v>
      </c>
      <c r="G51" s="287">
        <f>PnL!BN45</f>
        <v>-0.18035197536000003</v>
      </c>
      <c r="H51" s="287">
        <f>PnL!BO45</f>
        <v>-0.1929766136352</v>
      </c>
      <c r="I51" s="287">
        <f>PnL!BP45</f>
        <v>-0.20648497658966405</v>
      </c>
    </row>
    <row r="52" spans="1:12" x14ac:dyDescent="0.15">
      <c r="B52" t="s">
        <v>131</v>
      </c>
      <c r="C52" t="s">
        <v>124</v>
      </c>
      <c r="E52" s="287">
        <f>PnL!BL46</f>
        <v>0</v>
      </c>
      <c r="F52" s="287">
        <f>PnL!BM46</f>
        <v>0</v>
      </c>
      <c r="G52" s="287">
        <f>PnL!BN46</f>
        <v>0</v>
      </c>
      <c r="H52" s="287">
        <f>PnL!BO46</f>
        <v>0</v>
      </c>
      <c r="I52" s="287">
        <f>PnL!BP46</f>
        <v>0</v>
      </c>
    </row>
    <row r="53" spans="1:12" x14ac:dyDescent="0.15">
      <c r="B53" s="232" t="s">
        <v>132</v>
      </c>
      <c r="C53" t="s">
        <v>124</v>
      </c>
      <c r="E53" s="287">
        <f>PnL!BL47</f>
        <v>-5.3998879953206576</v>
      </c>
      <c r="F53" s="287">
        <f>PnL!BM47</f>
        <v>18.904248483904723</v>
      </c>
      <c r="G53" s="287">
        <f>PnL!BN47</f>
        <v>21.251706350923655</v>
      </c>
      <c r="H53" s="287">
        <f>PnL!BO47</f>
        <v>22.168264933454843</v>
      </c>
      <c r="I53" s="287">
        <f>PnL!BP47</f>
        <v>23.113420303304714</v>
      </c>
    </row>
    <row r="54" spans="1:12" x14ac:dyDescent="0.15">
      <c r="B54" t="s">
        <v>111</v>
      </c>
      <c r="C54" t="s">
        <v>124</v>
      </c>
      <c r="E54" s="287">
        <f>PnL!BL49</f>
        <v>-0.18637837602210586</v>
      </c>
      <c r="F54" s="287">
        <f>PnL!BM49</f>
        <v>-0.94521242419523621</v>
      </c>
      <c r="G54" s="287">
        <f>PnL!BN49</f>
        <v>-1.0625853175461828</v>
      </c>
      <c r="H54" s="287">
        <f>PnL!BO49</f>
        <v>-1.1084132466727423</v>
      </c>
      <c r="I54" s="287">
        <f>PnL!BP49</f>
        <v>-1.1556710151652358</v>
      </c>
    </row>
    <row r="55" spans="1:12" x14ac:dyDescent="0.15">
      <c r="B55" t="s">
        <v>133</v>
      </c>
      <c r="C55" t="s">
        <v>134</v>
      </c>
      <c r="E55" s="263">
        <f>IFERROR(PnL!BL47/PnL!BL39,0)</f>
        <v>-0.43551276747925532</v>
      </c>
      <c r="F55" s="263">
        <f>IFERROR(PnL!BM47/PnL!BM39,0)</f>
        <v>0.64521454422283664</v>
      </c>
      <c r="G55" s="263">
        <f>IFERROR(PnL!BN47/PnL!BN39,0)</f>
        <v>0.69066557861359934</v>
      </c>
      <c r="H55" s="263">
        <f>IFERROR(PnL!BO47/PnL!BO39,0)</f>
        <v>0.69274082941245796</v>
      </c>
      <c r="I55" s="263">
        <f>IFERROR(PnL!BP47/PnL!BP39,0)</f>
        <v>0.69449633640086506</v>
      </c>
    </row>
    <row r="56" spans="1:12" x14ac:dyDescent="0.15">
      <c r="B56" t="s">
        <v>135</v>
      </c>
      <c r="C56" t="s">
        <v>124</v>
      </c>
      <c r="E56" s="287">
        <f>PnL!BL54</f>
        <v>-3.9805449829013462</v>
      </c>
      <c r="F56" s="287">
        <f>PnL!BM54</f>
        <v>-1.0653393925979007</v>
      </c>
      <c r="G56" s="287">
        <f>PnL!BN54</f>
        <v>-0.23132688662727041</v>
      </c>
      <c r="H56" s="287">
        <f>PnL!BO54</f>
        <v>-0.2401868072492146</v>
      </c>
      <c r="I56" s="287">
        <f>PnL!BP54</f>
        <v>-0.24973103974755428</v>
      </c>
    </row>
    <row r="57" spans="1:12" x14ac:dyDescent="0.15">
      <c r="B57" s="232" t="s">
        <v>136</v>
      </c>
      <c r="C57" t="s">
        <v>124</v>
      </c>
      <c r="E57" s="287">
        <f>PnL!BL55</f>
        <v>-9.5668113542441091</v>
      </c>
      <c r="F57" s="287">
        <f>PnL!BM55</f>
        <v>16.893696667111584</v>
      </c>
      <c r="G57" s="287">
        <f>PnL!BN55</f>
        <v>19.957794146750203</v>
      </c>
      <c r="H57" s="287">
        <f>PnL!BO55</f>
        <v>20.819664879532887</v>
      </c>
      <c r="I57" s="287">
        <f>PnL!BP55</f>
        <v>21.708018248391923</v>
      </c>
    </row>
    <row r="61" spans="1:12" ht="16" customHeight="1" x14ac:dyDescent="0.2">
      <c r="A61">
        <v>5</v>
      </c>
      <c r="B61" s="321" t="s">
        <v>138</v>
      </c>
      <c r="C61" s="315"/>
      <c r="D61" s="315"/>
      <c r="E61" s="315"/>
      <c r="F61" s="315"/>
      <c r="G61" s="315"/>
      <c r="H61" s="315"/>
      <c r="I61" s="315"/>
      <c r="J61" s="315"/>
      <c r="K61" s="315"/>
      <c r="L61" s="315"/>
    </row>
    <row r="62" spans="1:12" x14ac:dyDescent="0.15">
      <c r="B62" s="232" t="s">
        <v>123</v>
      </c>
      <c r="C62" t="s">
        <v>124</v>
      </c>
      <c r="E62" s="288">
        <f>PnL!BL58</f>
        <v>421.75906361419186</v>
      </c>
      <c r="F62" s="288">
        <f>PnL!BM58</f>
        <v>442.24222306136892</v>
      </c>
      <c r="G62" s="288">
        <f>PnL!BN58</f>
        <v>460.23067219969494</v>
      </c>
      <c r="H62" s="288">
        <f>PnL!BO58</f>
        <v>478.64001583036116</v>
      </c>
      <c r="I62" s="288">
        <f>PnL!BP58</f>
        <v>497.7856165043072</v>
      </c>
    </row>
    <row r="63" spans="1:12" x14ac:dyDescent="0.15">
      <c r="B63" t="s">
        <v>125</v>
      </c>
      <c r="C63" t="s">
        <v>124</v>
      </c>
      <c r="E63" s="288">
        <f>PnL!BL59</f>
        <v>-8.6831596737702146</v>
      </c>
      <c r="F63" s="288">
        <f>PnL!BM59</f>
        <v>-9.430827795086504</v>
      </c>
      <c r="G63" s="288">
        <f>PnL!BN59</f>
        <v>-9.820011315524809</v>
      </c>
      <c r="H63" s="288">
        <f>PnL!BO59</f>
        <v>-10.212816437852934</v>
      </c>
      <c r="I63" s="288">
        <f>PnL!BP59</f>
        <v>-10.621329096996304</v>
      </c>
    </row>
    <row r="64" spans="1:12" x14ac:dyDescent="0.15">
      <c r="B64" t="s">
        <v>126</v>
      </c>
      <c r="C64" t="s">
        <v>124</v>
      </c>
      <c r="E64" s="288">
        <f>PnL!BL60</f>
        <v>-96.510651999999993</v>
      </c>
      <c r="F64" s="288">
        <f>PnL!BM60</f>
        <v>-93.251064959999994</v>
      </c>
      <c r="G64" s="288">
        <f>PnL!BN60</f>
        <v>-99.778639507200026</v>
      </c>
      <c r="H64" s="288">
        <f>PnL!BO60</f>
        <v>-106.76314427270397</v>
      </c>
      <c r="I64" s="288">
        <f>PnL!BP60</f>
        <v>-114.23656437179328</v>
      </c>
    </row>
    <row r="65" spans="1:12" x14ac:dyDescent="0.15">
      <c r="B65" t="s">
        <v>127</v>
      </c>
      <c r="C65" t="s">
        <v>124</v>
      </c>
      <c r="E65" s="288">
        <f>PnL!BL61</f>
        <v>-22.134673843660327</v>
      </c>
      <c r="F65" s="288">
        <f>PnL!BM61</f>
        <v>-24.230486151753961</v>
      </c>
      <c r="G65" s="288">
        <f>PnL!BN61</f>
        <v>-24.473038931157468</v>
      </c>
      <c r="H65" s="288">
        <f>PnL!BO61</f>
        <v>-25.331960488403784</v>
      </c>
      <c r="I65" s="288">
        <f>PnL!BP61</f>
        <v>-26.225238907939961</v>
      </c>
    </row>
    <row r="66" spans="1:12" x14ac:dyDescent="0.15">
      <c r="B66" t="s">
        <v>128</v>
      </c>
      <c r="C66" t="s">
        <v>124</v>
      </c>
      <c r="E66" s="288">
        <f>PnL!BL62</f>
        <v>0</v>
      </c>
      <c r="F66" s="288">
        <f>PnL!BM62</f>
        <v>0</v>
      </c>
      <c r="G66" s="288">
        <f>PnL!BN62</f>
        <v>0</v>
      </c>
      <c r="H66" s="288">
        <f>PnL!BO62</f>
        <v>0</v>
      </c>
      <c r="I66" s="288">
        <f>PnL!BP62</f>
        <v>0</v>
      </c>
    </row>
    <row r="67" spans="1:12" x14ac:dyDescent="0.15">
      <c r="B67" t="s">
        <v>129</v>
      </c>
      <c r="C67" t="s">
        <v>124</v>
      </c>
      <c r="E67" s="288">
        <f>PnL!BL63</f>
        <v>-5.5</v>
      </c>
      <c r="F67" s="288">
        <f>PnL!BM63</f>
        <v>-5.0999999999999996</v>
      </c>
      <c r="G67" s="288">
        <f>PnL!BN63</f>
        <v>-4.5</v>
      </c>
      <c r="H67" s="288">
        <f>PnL!BO63</f>
        <v>-4.5</v>
      </c>
      <c r="I67" s="288">
        <f>PnL!BP63</f>
        <v>-4.5</v>
      </c>
    </row>
    <row r="68" spans="1:12" x14ac:dyDescent="0.15">
      <c r="B68" t="s">
        <v>130</v>
      </c>
      <c r="C68" t="s">
        <v>124</v>
      </c>
      <c r="E68" s="288">
        <f>PnL!BL64</f>
        <v>-4.8255326000000007</v>
      </c>
      <c r="F68" s="288">
        <f>PnL!BM64</f>
        <v>-4.662553248</v>
      </c>
      <c r="G68" s="288">
        <f>PnL!BN64</f>
        <v>-4.9889319753599999</v>
      </c>
      <c r="H68" s="288">
        <f>PnL!BO64</f>
        <v>-5.3381572136352009</v>
      </c>
      <c r="I68" s="288">
        <f>PnL!BP64</f>
        <v>-5.7118282185896634</v>
      </c>
    </row>
    <row r="69" spans="1:12" x14ac:dyDescent="0.15">
      <c r="B69" t="s">
        <v>131</v>
      </c>
      <c r="C69" t="s">
        <v>124</v>
      </c>
      <c r="E69" s="288">
        <f>PnL!BL65</f>
        <v>0</v>
      </c>
      <c r="F69" s="288">
        <f>PnL!BM65</f>
        <v>0</v>
      </c>
      <c r="G69" s="288">
        <f>PnL!BN65</f>
        <v>0</v>
      </c>
      <c r="H69" s="288">
        <f>PnL!BO65</f>
        <v>0</v>
      </c>
      <c r="I69" s="288">
        <f>PnL!BP65</f>
        <v>0</v>
      </c>
    </row>
    <row r="70" spans="1:12" x14ac:dyDescent="0.15">
      <c r="B70" s="232" t="s">
        <v>132</v>
      </c>
      <c r="C70" t="s">
        <v>124</v>
      </c>
      <c r="E70" s="288">
        <f>PnL!BL66</f>
        <v>284.10504549676136</v>
      </c>
      <c r="F70" s="288">
        <f>PnL!BM66</f>
        <v>305.5672909065284</v>
      </c>
      <c r="G70" s="288">
        <f>PnL!BN66</f>
        <v>316.67005047045268</v>
      </c>
      <c r="H70" s="288">
        <f>PnL!BO66</f>
        <v>326.49393741776521</v>
      </c>
      <c r="I70" s="288">
        <f>PnL!BP66</f>
        <v>336.49065590898795</v>
      </c>
    </row>
    <row r="71" spans="1:12" x14ac:dyDescent="0.15">
      <c r="B71" t="s">
        <v>111</v>
      </c>
      <c r="C71" t="s">
        <v>124</v>
      </c>
      <c r="E71" s="288">
        <f>PnL!BL68</f>
        <v>-14.661625050626206</v>
      </c>
      <c r="F71" s="288">
        <f>PnL!BM68</f>
        <v>-15.278364545326422</v>
      </c>
      <c r="G71" s="288">
        <f>PnL!BN68</f>
        <v>-15.833502523522634</v>
      </c>
      <c r="H71" s="288">
        <f>PnL!BO68</f>
        <v>-16.324696870888264</v>
      </c>
      <c r="I71" s="288">
        <f>PnL!BP68</f>
        <v>-16.824532795449397</v>
      </c>
    </row>
    <row r="72" spans="1:12" x14ac:dyDescent="0.15">
      <c r="B72" t="s">
        <v>133</v>
      </c>
      <c r="C72" t="s">
        <v>134</v>
      </c>
      <c r="E72" s="289">
        <f>IFERROR(PnL!BL66/PnL!BL58,0)</f>
        <v>0.67361930070256693</v>
      </c>
      <c r="F72" s="289">
        <f>IFERROR(PnL!BM66/PnL!BM58,0)</f>
        <v>0.69095006078631604</v>
      </c>
      <c r="G72" s="289">
        <f>IFERROR(PnL!BN66/PnL!BN58,0)</f>
        <v>0.68806811366333476</v>
      </c>
      <c r="H72" s="289">
        <f>IFERROR(PnL!BO66/PnL!BO58,0)</f>
        <v>0.68212837752679811</v>
      </c>
      <c r="I72" s="289">
        <f>IFERROR(PnL!BP66/PnL!BP58,0)</f>
        <v>0.67597504779665807</v>
      </c>
    </row>
    <row r="73" spans="1:12" x14ac:dyDescent="0.15">
      <c r="B73" t="s">
        <v>135</v>
      </c>
      <c r="C73" t="s">
        <v>124</v>
      </c>
      <c r="E73" s="288">
        <f>PnL!BL73</f>
        <v>-78.501816879099721</v>
      </c>
      <c r="F73" s="288">
        <f>PnL!BM73</f>
        <v>-4.0451902684459302</v>
      </c>
      <c r="G73" s="288">
        <f>PnL!BN73</f>
        <v>-3.3289017975091593</v>
      </c>
      <c r="H73" s="288">
        <f>PnL!BO73</f>
        <v>-3.4600918145664092</v>
      </c>
      <c r="I73" s="288">
        <f>PnL!BP73</f>
        <v>-3.5967492443574498</v>
      </c>
    </row>
    <row r="74" spans="1:12" x14ac:dyDescent="0.15">
      <c r="B74" s="232" t="s">
        <v>136</v>
      </c>
      <c r="C74" t="s">
        <v>124</v>
      </c>
      <c r="E74" s="288">
        <f>PnL!BL74</f>
        <v>190.94160356703537</v>
      </c>
      <c r="F74" s="288">
        <f>PnL!BM74</f>
        <v>286.24373609275608</v>
      </c>
      <c r="G74" s="288">
        <f>PnL!BN74</f>
        <v>297.50764614942079</v>
      </c>
      <c r="H74" s="288">
        <f>PnL!BO74</f>
        <v>306.70914873231055</v>
      </c>
      <c r="I74" s="288">
        <f>PnL!BP74</f>
        <v>316.06937386918105</v>
      </c>
    </row>
    <row r="78" spans="1:12" ht="16" customHeight="1" x14ac:dyDescent="0.2">
      <c r="A78">
        <v>6</v>
      </c>
      <c r="B78" s="319" t="s">
        <v>139</v>
      </c>
      <c r="C78" s="315"/>
      <c r="D78" s="315"/>
      <c r="E78" s="315"/>
      <c r="F78" s="315"/>
      <c r="G78" s="315"/>
      <c r="H78" s="315"/>
      <c r="I78" s="315"/>
      <c r="J78" s="315"/>
      <c r="K78" s="315"/>
      <c r="L78" s="315"/>
    </row>
    <row r="79" spans="1:12" x14ac:dyDescent="0.15">
      <c r="B79" t="s">
        <v>140</v>
      </c>
      <c r="C79" t="s">
        <v>124</v>
      </c>
      <c r="E79" s="290">
        <f>PnL!BL41</f>
        <v>-12.510652</v>
      </c>
      <c r="F79" s="290">
        <f>PnL!BM41</f>
        <v>-3.3710649599999987</v>
      </c>
      <c r="G79" s="290">
        <f>PnL!BN41</f>
        <v>-3.6070395072000014</v>
      </c>
      <c r="H79" s="290">
        <f>PnL!BO41</f>
        <v>-3.8595322727039991</v>
      </c>
      <c r="I79" s="290">
        <f>PnL!BP41</f>
        <v>-4.1296995317932801</v>
      </c>
    </row>
    <row r="80" spans="1:12" x14ac:dyDescent="0.15">
      <c r="B80" t="s">
        <v>141</v>
      </c>
      <c r="C80" t="s">
        <v>124</v>
      </c>
      <c r="D80" s="323" t="s">
        <v>142</v>
      </c>
      <c r="E80" s="315"/>
      <c r="F80" s="315"/>
      <c r="G80" s="315"/>
      <c r="H80" s="315"/>
      <c r="I80" s="315"/>
      <c r="J80" s="315"/>
      <c r="K80" s="315"/>
      <c r="L80" s="315"/>
    </row>
    <row r="81" spans="1:12" x14ac:dyDescent="0.15">
      <c r="B81" t="s">
        <v>143</v>
      </c>
      <c r="C81" t="s">
        <v>124</v>
      </c>
      <c r="D81" s="323" t="s">
        <v>144</v>
      </c>
      <c r="E81" s="315"/>
      <c r="F81" s="315"/>
      <c r="G81" s="315"/>
      <c r="H81" s="315"/>
      <c r="I81" s="315"/>
      <c r="J81" s="315"/>
      <c r="K81" s="315"/>
      <c r="L81" s="315"/>
    </row>
    <row r="82" spans="1:12" x14ac:dyDescent="0.15">
      <c r="B82" t="s">
        <v>145</v>
      </c>
      <c r="C82" t="s">
        <v>124</v>
      </c>
      <c r="D82" s="323" t="s">
        <v>146</v>
      </c>
      <c r="E82" s="315"/>
      <c r="F82" s="315"/>
      <c r="G82" s="315"/>
      <c r="H82" s="315"/>
      <c r="I82" s="315"/>
      <c r="J82" s="315"/>
      <c r="K82" s="315"/>
      <c r="L82" s="315"/>
    </row>
    <row r="86" spans="1:12" ht="16" customHeight="1" x14ac:dyDescent="0.2">
      <c r="A86">
        <v>7</v>
      </c>
      <c r="B86" s="319" t="s">
        <v>147</v>
      </c>
      <c r="C86" s="315"/>
      <c r="D86" s="315"/>
      <c r="E86" s="315"/>
      <c r="F86" s="315"/>
      <c r="G86" s="315"/>
      <c r="H86" s="315"/>
      <c r="I86" s="315"/>
      <c r="J86" s="315"/>
      <c r="K86" s="315"/>
      <c r="L86" s="315"/>
    </row>
    <row r="87" spans="1:12" x14ac:dyDescent="0.15">
      <c r="B87" t="s">
        <v>148</v>
      </c>
      <c r="C87" t="s">
        <v>124</v>
      </c>
      <c r="E87" s="261">
        <f>PnL!BL72</f>
        <v>78.501816879099721</v>
      </c>
      <c r="F87" s="261">
        <f>PnL!BM72</f>
        <v>82.547007147545642</v>
      </c>
      <c r="G87" s="261">
        <f>PnL!BN72</f>
        <v>85.875908945054803</v>
      </c>
      <c r="H87" s="261">
        <f>PnL!BO72</f>
        <v>89.336000759621214</v>
      </c>
      <c r="I87" s="261">
        <f>PnL!BP72</f>
        <v>92.932750003978668</v>
      </c>
    </row>
    <row r="88" spans="1:12" x14ac:dyDescent="0.15">
      <c r="B88" t="s">
        <v>840</v>
      </c>
      <c r="C88" t="s">
        <v>124</v>
      </c>
      <c r="D88" s="230" t="s">
        <v>149</v>
      </c>
      <c r="E88" s="286">
        <f>PnL!BL70</f>
        <v>86.583070020663854</v>
      </c>
      <c r="F88" s="286">
        <f>PnL!BM70</f>
        <v>90.744193642270204</v>
      </c>
      <c r="G88" s="286">
        <f>PnL!BN70</f>
        <v>94.374309594051994</v>
      </c>
      <c r="H88" s="286">
        <f>PnL!BO70</f>
        <v>98.14928209931513</v>
      </c>
      <c r="I88" s="286">
        <f>PnL!BP70</f>
        <v>102.07525338333022</v>
      </c>
    </row>
    <row r="89" spans="1:12" x14ac:dyDescent="0.15">
      <c r="B89" t="s">
        <v>841</v>
      </c>
      <c r="C89" t="s">
        <v>124</v>
      </c>
      <c r="D89" s="230" t="s">
        <v>150</v>
      </c>
      <c r="E89" s="286">
        <f>PnL!BL71</f>
        <v>-8.0812531415641367</v>
      </c>
      <c r="F89" s="286">
        <f>PnL!BM71</f>
        <v>-8.1971864947245621</v>
      </c>
      <c r="G89" s="286">
        <f>PnL!BN71</f>
        <v>-8.4984006489971868</v>
      </c>
      <c r="H89" s="286">
        <f>PnL!BO71</f>
        <v>-8.8132813396939174</v>
      </c>
      <c r="I89" s="286">
        <f>PnL!BP71</f>
        <v>-9.1425033793515524</v>
      </c>
    </row>
    <row r="93" spans="1:12" ht="16" customHeight="1" x14ac:dyDescent="0.2">
      <c r="A93">
        <v>8</v>
      </c>
      <c r="B93" s="319" t="s">
        <v>151</v>
      </c>
      <c r="C93" s="315"/>
      <c r="D93" s="315"/>
      <c r="E93" s="315"/>
      <c r="F93" s="315"/>
      <c r="G93" s="315"/>
      <c r="H93" s="315"/>
      <c r="I93" s="315"/>
      <c r="J93" s="315"/>
      <c r="K93" s="315"/>
      <c r="L93" s="315"/>
    </row>
    <row r="94" spans="1:12" x14ac:dyDescent="0.15">
      <c r="B94" s="232" t="s">
        <v>152</v>
      </c>
    </row>
    <row r="95" spans="1:12" x14ac:dyDescent="0.15">
      <c r="B95" s="318" t="s">
        <v>153</v>
      </c>
      <c r="C95" s="315"/>
      <c r="D95" s="315"/>
      <c r="E95" s="315"/>
      <c r="F95" s="315"/>
      <c r="G95" s="315"/>
      <c r="H95" s="315"/>
      <c r="I95" s="315"/>
      <c r="J95" s="315"/>
      <c r="K95" s="315"/>
      <c r="L95" s="315"/>
    </row>
    <row r="96" spans="1:12" x14ac:dyDescent="0.15">
      <c r="B96" s="318" t="s">
        <v>154</v>
      </c>
      <c r="C96" s="315"/>
      <c r="D96" s="315"/>
      <c r="E96" s="315"/>
      <c r="F96" s="315"/>
      <c r="G96" s="315"/>
      <c r="H96" s="315"/>
      <c r="I96" s="315"/>
      <c r="J96" s="315"/>
      <c r="K96" s="315"/>
      <c r="L96" s="315"/>
    </row>
    <row r="97" spans="2:12" x14ac:dyDescent="0.15">
      <c r="B97" s="318" t="s">
        <v>155</v>
      </c>
      <c r="C97" s="315"/>
      <c r="D97" s="315"/>
      <c r="E97" s="315"/>
      <c r="F97" s="315"/>
      <c r="G97" s="315"/>
      <c r="H97" s="315"/>
      <c r="I97" s="315"/>
      <c r="J97" s="315"/>
      <c r="K97" s="315"/>
      <c r="L97" s="315"/>
    </row>
    <row r="98" spans="2:12" x14ac:dyDescent="0.15">
      <c r="B98" s="318" t="s">
        <v>156</v>
      </c>
      <c r="C98" s="315"/>
      <c r="D98" s="315"/>
      <c r="E98" s="315"/>
      <c r="F98" s="315"/>
      <c r="G98" s="315"/>
      <c r="H98" s="315"/>
      <c r="I98" s="315"/>
      <c r="J98" s="315"/>
      <c r="K98" s="315"/>
      <c r="L98" s="315"/>
    </row>
  </sheetData>
  <mergeCells count="14">
    <mergeCell ref="B98:L98"/>
    <mergeCell ref="B93:L93"/>
    <mergeCell ref="E23:L23"/>
    <mergeCell ref="B61:L61"/>
    <mergeCell ref="B27:L27"/>
    <mergeCell ref="D82:L82"/>
    <mergeCell ref="B96:L96"/>
    <mergeCell ref="B97:L97"/>
    <mergeCell ref="B44:L44"/>
    <mergeCell ref="D81:L81"/>
    <mergeCell ref="B78:L78"/>
    <mergeCell ref="B86:L86"/>
    <mergeCell ref="B95:L95"/>
    <mergeCell ref="D80:L8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P74"/>
  <sheetViews>
    <sheetView workbookViewId="0">
      <pane xSplit="3" ySplit="17" topLeftCell="D18" activePane="bottomRight" state="frozen"/>
      <selection pane="topRight"/>
      <selection pane="bottomLeft"/>
      <selection pane="bottomRight" activeCell="B12" sqref="B12"/>
    </sheetView>
  </sheetViews>
  <sheetFormatPr baseColWidth="10" defaultColWidth="8.83203125" defaultRowHeight="13" x14ac:dyDescent="0.15"/>
  <cols>
    <col min="1" max="1" width="38" customWidth="1"/>
    <col min="2" max="2" width="10" customWidth="1"/>
    <col min="3" max="3" width="12" customWidth="1"/>
    <col min="4" max="63" width="10" customWidth="1"/>
    <col min="64" max="68" width="13" customWidth="1"/>
  </cols>
  <sheetData>
    <row r="1" spans="1:68" ht="18" customHeight="1" x14ac:dyDescent="0.2">
      <c r="A1" s="325" t="s">
        <v>823</v>
      </c>
      <c r="B1" s="315"/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315"/>
      <c r="N1" s="315"/>
    </row>
    <row r="2" spans="1:68" ht="16" customHeight="1" x14ac:dyDescent="0.2">
      <c r="A2" s="319" t="s">
        <v>247</v>
      </c>
      <c r="B2" s="315"/>
      <c r="C2" s="315"/>
      <c r="D2" s="315"/>
      <c r="E2" s="315"/>
      <c r="F2" s="315"/>
      <c r="G2" s="315"/>
      <c r="H2" s="315"/>
      <c r="I2" s="315"/>
      <c r="J2" s="315"/>
      <c r="K2" s="315"/>
      <c r="L2" s="315"/>
      <c r="M2" s="315"/>
      <c r="N2" s="315"/>
    </row>
    <row r="3" spans="1:68" x14ac:dyDescent="0.15">
      <c r="A3" t="s">
        <v>95</v>
      </c>
      <c r="B3" t="s">
        <v>824</v>
      </c>
    </row>
    <row r="4" spans="1:68" x14ac:dyDescent="0.15">
      <c r="A4" t="s">
        <v>97</v>
      </c>
      <c r="B4" t="s">
        <v>98</v>
      </c>
    </row>
    <row r="5" spans="1:68" x14ac:dyDescent="0.15">
      <c r="A5" t="s">
        <v>248</v>
      </c>
      <c r="B5" t="s">
        <v>249</v>
      </c>
    </row>
    <row r="6" spans="1:68" x14ac:dyDescent="0.15">
      <c r="A6" t="s">
        <v>250</v>
      </c>
      <c r="B6" t="s">
        <v>236</v>
      </c>
    </row>
    <row r="8" spans="1:68" ht="16" customHeight="1" x14ac:dyDescent="0.2">
      <c r="A8" s="319" t="s">
        <v>251</v>
      </c>
      <c r="B8" s="315"/>
      <c r="C8" s="315"/>
      <c r="D8" s="315"/>
      <c r="E8" s="315"/>
      <c r="F8" s="315"/>
      <c r="G8" s="315"/>
      <c r="H8" s="315"/>
      <c r="I8" s="315"/>
      <c r="J8" s="315"/>
      <c r="K8" s="315"/>
      <c r="L8" s="315"/>
      <c r="M8" s="315"/>
      <c r="N8" s="315"/>
    </row>
    <row r="9" spans="1:68" x14ac:dyDescent="0.15">
      <c r="A9" t="s">
        <v>107</v>
      </c>
      <c r="B9" t="s">
        <v>108</v>
      </c>
    </row>
    <row r="10" spans="1:68" x14ac:dyDescent="0.15">
      <c r="A10" t="s">
        <v>109</v>
      </c>
      <c r="B10" s="257">
        <v>0.26300000000000001</v>
      </c>
    </row>
    <row r="11" spans="1:68" x14ac:dyDescent="0.15">
      <c r="A11" t="s">
        <v>110</v>
      </c>
      <c r="B11" s="257">
        <v>0.05</v>
      </c>
    </row>
    <row r="12" spans="1:68" x14ac:dyDescent="0.15">
      <c r="A12" t="s">
        <v>111</v>
      </c>
      <c r="B12" s="258"/>
      <c r="D12" s="233">
        <v>0.05</v>
      </c>
      <c r="E12" s="233">
        <v>0.05</v>
      </c>
      <c r="F12" s="233">
        <v>0.05</v>
      </c>
      <c r="G12" s="233">
        <v>0.05</v>
      </c>
      <c r="H12" s="233">
        <v>0.05</v>
      </c>
      <c r="I12" s="233">
        <v>0.05</v>
      </c>
      <c r="J12" s="233">
        <v>0.05</v>
      </c>
      <c r="K12" s="233">
        <v>0.05</v>
      </c>
      <c r="L12" s="233">
        <v>0.05</v>
      </c>
      <c r="M12" s="233">
        <v>0.05</v>
      </c>
      <c r="N12" s="233">
        <v>0.05</v>
      </c>
      <c r="O12" s="233">
        <v>0.05</v>
      </c>
      <c r="P12" s="233">
        <v>0.05</v>
      </c>
      <c r="Q12" s="233">
        <v>0.05</v>
      </c>
      <c r="R12" s="233">
        <v>0.05</v>
      </c>
      <c r="S12" s="233">
        <v>0.05</v>
      </c>
      <c r="T12" s="233">
        <v>0.05</v>
      </c>
      <c r="U12" s="233">
        <v>0.05</v>
      </c>
      <c r="V12" s="233">
        <v>0.05</v>
      </c>
      <c r="W12" s="233">
        <v>0.05</v>
      </c>
      <c r="X12" s="233">
        <v>0.05</v>
      </c>
      <c r="Y12" s="233">
        <v>0.05</v>
      </c>
      <c r="Z12" s="233">
        <v>0.05</v>
      </c>
      <c r="AA12" s="233">
        <v>0.05</v>
      </c>
      <c r="AB12" s="233">
        <v>0.05</v>
      </c>
      <c r="AC12" s="233">
        <v>0.05</v>
      </c>
      <c r="AD12" s="233">
        <v>0.05</v>
      </c>
      <c r="AE12" s="233">
        <v>0.05</v>
      </c>
      <c r="AF12" s="233">
        <v>0.05</v>
      </c>
      <c r="AG12" s="233">
        <v>0.05</v>
      </c>
      <c r="AH12" s="233">
        <v>0.05</v>
      </c>
      <c r="AI12" s="233">
        <v>0.05</v>
      </c>
      <c r="AJ12" s="233">
        <v>0.05</v>
      </c>
      <c r="AK12" s="233">
        <v>0.05</v>
      </c>
      <c r="AL12" s="233">
        <v>0.05</v>
      </c>
      <c r="AM12" s="233">
        <v>0.05</v>
      </c>
      <c r="AN12" s="233">
        <v>0.05</v>
      </c>
      <c r="AO12" s="233">
        <v>0.05</v>
      </c>
      <c r="AP12" s="233">
        <v>0.05</v>
      </c>
      <c r="AQ12" s="233">
        <v>0.05</v>
      </c>
      <c r="AR12" s="233">
        <v>0.05</v>
      </c>
      <c r="AS12" s="233">
        <v>0.05</v>
      </c>
      <c r="AT12" s="233">
        <v>0.05</v>
      </c>
      <c r="AU12" s="233">
        <v>0.05</v>
      </c>
      <c r="AV12" s="233">
        <v>0.05</v>
      </c>
      <c r="AW12" s="233">
        <v>0.05</v>
      </c>
      <c r="AX12" s="233">
        <v>0.05</v>
      </c>
      <c r="AY12" s="233">
        <v>0.05</v>
      </c>
      <c r="AZ12" s="233">
        <v>0.05</v>
      </c>
      <c r="BA12" s="233">
        <v>0.05</v>
      </c>
      <c r="BB12" s="233">
        <v>0.05</v>
      </c>
      <c r="BC12" s="233">
        <v>0.05</v>
      </c>
      <c r="BD12" s="233">
        <v>0.05</v>
      </c>
      <c r="BE12" s="233">
        <v>0.05</v>
      </c>
      <c r="BF12" s="233">
        <v>0.05</v>
      </c>
      <c r="BG12" s="233">
        <v>0.05</v>
      </c>
      <c r="BH12" s="233">
        <v>0.05</v>
      </c>
      <c r="BI12" s="233">
        <v>0.05</v>
      </c>
      <c r="BJ12" s="233">
        <v>0.05</v>
      </c>
      <c r="BK12" s="233">
        <v>0.05</v>
      </c>
    </row>
    <row r="13" spans="1:68" x14ac:dyDescent="0.15">
      <c r="A13" t="s">
        <v>839</v>
      </c>
      <c r="B13" s="258"/>
      <c r="D13" s="233">
        <v>0.2</v>
      </c>
      <c r="E13" s="233">
        <v>0.2</v>
      </c>
      <c r="F13" s="233">
        <v>0.2</v>
      </c>
      <c r="G13" s="233">
        <v>0.2</v>
      </c>
      <c r="H13" s="233">
        <v>0.2</v>
      </c>
      <c r="I13" s="233">
        <v>0.2</v>
      </c>
      <c r="J13" s="233">
        <v>0.2</v>
      </c>
      <c r="K13" s="233">
        <v>0.2</v>
      </c>
      <c r="L13" s="233">
        <v>0.2</v>
      </c>
      <c r="M13" s="233">
        <v>0.2</v>
      </c>
      <c r="N13" s="233">
        <v>0.2</v>
      </c>
      <c r="O13" s="233">
        <v>0.2</v>
      </c>
      <c r="P13" s="233">
        <v>0.22</v>
      </c>
      <c r="Q13" s="233">
        <v>0.22</v>
      </c>
      <c r="R13" s="233">
        <v>0.22</v>
      </c>
      <c r="S13" s="233">
        <v>0.22</v>
      </c>
      <c r="T13" s="233">
        <v>0.22</v>
      </c>
      <c r="U13" s="233">
        <v>0.22</v>
      </c>
      <c r="V13" s="233">
        <v>0.22</v>
      </c>
      <c r="W13" s="233">
        <v>0.22</v>
      </c>
      <c r="X13" s="233">
        <v>0.22</v>
      </c>
      <c r="Y13" s="233">
        <v>0.22</v>
      </c>
      <c r="Z13" s="233">
        <v>0.22</v>
      </c>
      <c r="AA13" s="233">
        <v>0.22</v>
      </c>
      <c r="AB13" s="233">
        <v>0.22</v>
      </c>
      <c r="AC13" s="233">
        <v>0.22</v>
      </c>
      <c r="AD13" s="233">
        <v>0.22</v>
      </c>
      <c r="AE13" s="233">
        <v>0.22</v>
      </c>
      <c r="AF13" s="233">
        <v>0.22</v>
      </c>
      <c r="AG13" s="233">
        <v>0.22</v>
      </c>
      <c r="AH13" s="233">
        <v>0.22</v>
      </c>
      <c r="AI13" s="233">
        <v>0.22</v>
      </c>
      <c r="AJ13" s="233">
        <v>0.22</v>
      </c>
      <c r="AK13" s="233">
        <v>0.22</v>
      </c>
      <c r="AL13" s="233">
        <v>0.22</v>
      </c>
      <c r="AM13" s="233">
        <v>0.22</v>
      </c>
      <c r="AN13" s="233">
        <v>0.22</v>
      </c>
      <c r="AO13" s="233">
        <v>0.22</v>
      </c>
      <c r="AP13" s="233">
        <v>0.22</v>
      </c>
      <c r="AQ13" s="233">
        <v>0.22</v>
      </c>
      <c r="AR13" s="233">
        <v>0.22</v>
      </c>
      <c r="AS13" s="233">
        <v>0.22</v>
      </c>
      <c r="AT13" s="233">
        <v>0.22</v>
      </c>
      <c r="AU13" s="233">
        <v>0.22</v>
      </c>
      <c r="AV13" s="233">
        <v>0.22</v>
      </c>
      <c r="AW13" s="233">
        <v>0.22</v>
      </c>
      <c r="AX13" s="233">
        <v>0.22</v>
      </c>
      <c r="AY13" s="233">
        <v>0.22</v>
      </c>
      <c r="AZ13" s="233">
        <v>0.22</v>
      </c>
      <c r="BA13" s="233">
        <v>0.22</v>
      </c>
      <c r="BB13" s="233">
        <v>0.22</v>
      </c>
      <c r="BC13" s="233">
        <v>0.22</v>
      </c>
      <c r="BD13" s="233">
        <v>0.22</v>
      </c>
      <c r="BE13" s="233">
        <v>0.22</v>
      </c>
      <c r="BF13" s="233">
        <v>0.22</v>
      </c>
      <c r="BG13" s="233">
        <v>0.22</v>
      </c>
      <c r="BH13" s="233">
        <v>0.22</v>
      </c>
      <c r="BI13" s="233">
        <v>0.22</v>
      </c>
      <c r="BJ13" s="233">
        <v>0.22</v>
      </c>
      <c r="BK13" s="233">
        <v>0.22</v>
      </c>
    </row>
    <row r="14" spans="1:68" x14ac:dyDescent="0.15">
      <c r="A14" t="s">
        <v>252</v>
      </c>
      <c r="B14" s="125" t="s">
        <v>822</v>
      </c>
      <c r="C14" s="230"/>
    </row>
    <row r="16" spans="1:68" ht="14" customHeight="1" x14ac:dyDescent="0.15">
      <c r="A16" s="232" t="s">
        <v>159</v>
      </c>
      <c r="B16" s="232" t="s">
        <v>618</v>
      </c>
      <c r="C16" s="232"/>
      <c r="D16" s="235">
        <v>2026</v>
      </c>
      <c r="E16" s="235">
        <v>2026</v>
      </c>
      <c r="F16" s="235">
        <v>2026</v>
      </c>
      <c r="G16" s="235">
        <v>2026</v>
      </c>
      <c r="H16" s="235">
        <v>2026</v>
      </c>
      <c r="I16" s="235">
        <v>2026</v>
      </c>
      <c r="J16" s="235">
        <v>2026</v>
      </c>
      <c r="K16" s="235">
        <v>2026</v>
      </c>
      <c r="L16" s="235">
        <v>2026</v>
      </c>
      <c r="M16" s="235">
        <v>2026</v>
      </c>
      <c r="N16" s="235">
        <v>2026</v>
      </c>
      <c r="O16" s="235">
        <v>2026</v>
      </c>
      <c r="P16" s="235">
        <v>2027</v>
      </c>
      <c r="Q16" s="235">
        <v>2027</v>
      </c>
      <c r="R16" s="235">
        <v>2027</v>
      </c>
      <c r="S16" s="235">
        <v>2027</v>
      </c>
      <c r="T16" s="235">
        <v>2027</v>
      </c>
      <c r="U16" s="235">
        <v>2027</v>
      </c>
      <c r="V16" s="235">
        <v>2027</v>
      </c>
      <c r="W16" s="235">
        <v>2027</v>
      </c>
      <c r="X16" s="235">
        <v>2027</v>
      </c>
      <c r="Y16" s="235">
        <v>2027</v>
      </c>
      <c r="Z16" s="235">
        <v>2027</v>
      </c>
      <c r="AA16" s="235">
        <v>2027</v>
      </c>
      <c r="AB16" s="235">
        <v>2028</v>
      </c>
      <c r="AC16" s="235">
        <v>2028</v>
      </c>
      <c r="AD16" s="235">
        <v>2028</v>
      </c>
      <c r="AE16" s="235">
        <v>2028</v>
      </c>
      <c r="AF16" s="235">
        <v>2028</v>
      </c>
      <c r="AG16" s="235">
        <v>2028</v>
      </c>
      <c r="AH16" s="235">
        <v>2028</v>
      </c>
      <c r="AI16" s="235">
        <v>2028</v>
      </c>
      <c r="AJ16" s="235">
        <v>2028</v>
      </c>
      <c r="AK16" s="235">
        <v>2028</v>
      </c>
      <c r="AL16" s="235">
        <v>2028</v>
      </c>
      <c r="AM16" s="235">
        <v>2028</v>
      </c>
      <c r="AN16" s="235">
        <v>2029</v>
      </c>
      <c r="AO16" s="235">
        <v>2029</v>
      </c>
      <c r="AP16" s="235">
        <v>2029</v>
      </c>
      <c r="AQ16" s="235">
        <v>2029</v>
      </c>
      <c r="AR16" s="235">
        <v>2029</v>
      </c>
      <c r="AS16" s="235">
        <v>2029</v>
      </c>
      <c r="AT16" s="235">
        <v>2029</v>
      </c>
      <c r="AU16" s="235">
        <v>2029</v>
      </c>
      <c r="AV16" s="235">
        <v>2029</v>
      </c>
      <c r="AW16" s="235">
        <v>2029</v>
      </c>
      <c r="AX16" s="235">
        <v>2029</v>
      </c>
      <c r="AY16" s="235">
        <v>2029</v>
      </c>
      <c r="AZ16" s="235">
        <v>2030</v>
      </c>
      <c r="BA16" s="235">
        <v>2030</v>
      </c>
      <c r="BB16" s="235">
        <v>2030</v>
      </c>
      <c r="BC16" s="235">
        <v>2030</v>
      </c>
      <c r="BD16" s="235">
        <v>2030</v>
      </c>
      <c r="BE16" s="235">
        <v>2030</v>
      </c>
      <c r="BF16" s="235">
        <v>2030</v>
      </c>
      <c r="BG16" s="235">
        <v>2030</v>
      </c>
      <c r="BH16" s="235">
        <v>2030</v>
      </c>
      <c r="BI16" s="235">
        <v>2030</v>
      </c>
      <c r="BJ16" s="235">
        <v>2030</v>
      </c>
      <c r="BK16" s="235">
        <v>2030</v>
      </c>
      <c r="BL16" s="235" t="s">
        <v>56</v>
      </c>
      <c r="BM16" s="235" t="s">
        <v>57</v>
      </c>
      <c r="BN16" s="235" t="s">
        <v>58</v>
      </c>
      <c r="BO16" s="235" t="s">
        <v>59</v>
      </c>
      <c r="BP16" s="235" t="s">
        <v>60</v>
      </c>
    </row>
    <row r="17" spans="1:68" ht="14" customHeight="1" x14ac:dyDescent="0.15">
      <c r="D17" s="236" t="s">
        <v>61</v>
      </c>
      <c r="E17" s="236" t="s">
        <v>62</v>
      </c>
      <c r="F17" s="236" t="s">
        <v>63</v>
      </c>
      <c r="G17" s="236" t="s">
        <v>64</v>
      </c>
      <c r="H17" s="236" t="s">
        <v>65</v>
      </c>
      <c r="I17" s="236" t="s">
        <v>66</v>
      </c>
      <c r="J17" s="236" t="s">
        <v>67</v>
      </c>
      <c r="K17" s="236" t="s">
        <v>68</v>
      </c>
      <c r="L17" s="236" t="s">
        <v>69</v>
      </c>
      <c r="M17" s="236" t="s">
        <v>70</v>
      </c>
      <c r="N17" s="236" t="s">
        <v>71</v>
      </c>
      <c r="O17" s="236" t="s">
        <v>72</v>
      </c>
      <c r="P17" s="236" t="s">
        <v>61</v>
      </c>
      <c r="Q17" s="236" t="s">
        <v>62</v>
      </c>
      <c r="R17" s="236" t="s">
        <v>63</v>
      </c>
      <c r="S17" s="236" t="s">
        <v>64</v>
      </c>
      <c r="T17" s="236" t="s">
        <v>65</v>
      </c>
      <c r="U17" s="236" t="s">
        <v>66</v>
      </c>
      <c r="V17" s="236" t="s">
        <v>67</v>
      </c>
      <c r="W17" s="236" t="s">
        <v>68</v>
      </c>
      <c r="X17" s="236" t="s">
        <v>69</v>
      </c>
      <c r="Y17" s="236" t="s">
        <v>70</v>
      </c>
      <c r="Z17" s="236" t="s">
        <v>71</v>
      </c>
      <c r="AA17" s="236" t="s">
        <v>72</v>
      </c>
      <c r="AB17" s="236" t="s">
        <v>61</v>
      </c>
      <c r="AC17" s="236" t="s">
        <v>62</v>
      </c>
      <c r="AD17" s="236" t="s">
        <v>63</v>
      </c>
      <c r="AE17" s="236" t="s">
        <v>64</v>
      </c>
      <c r="AF17" s="236" t="s">
        <v>65</v>
      </c>
      <c r="AG17" s="236" t="s">
        <v>66</v>
      </c>
      <c r="AH17" s="236" t="s">
        <v>67</v>
      </c>
      <c r="AI17" s="236" t="s">
        <v>68</v>
      </c>
      <c r="AJ17" s="236" t="s">
        <v>69</v>
      </c>
      <c r="AK17" s="236" t="s">
        <v>70</v>
      </c>
      <c r="AL17" s="236" t="s">
        <v>71</v>
      </c>
      <c r="AM17" s="236" t="s">
        <v>72</v>
      </c>
      <c r="AN17" s="236" t="s">
        <v>61</v>
      </c>
      <c r="AO17" s="236" t="s">
        <v>62</v>
      </c>
      <c r="AP17" s="236" t="s">
        <v>63</v>
      </c>
      <c r="AQ17" s="236" t="s">
        <v>64</v>
      </c>
      <c r="AR17" s="236" t="s">
        <v>65</v>
      </c>
      <c r="AS17" s="236" t="s">
        <v>66</v>
      </c>
      <c r="AT17" s="236" t="s">
        <v>67</v>
      </c>
      <c r="AU17" s="236" t="s">
        <v>68</v>
      </c>
      <c r="AV17" s="236" t="s">
        <v>69</v>
      </c>
      <c r="AW17" s="236" t="s">
        <v>70</v>
      </c>
      <c r="AX17" s="236" t="s">
        <v>71</v>
      </c>
      <c r="AY17" s="236" t="s">
        <v>72</v>
      </c>
      <c r="AZ17" s="236" t="s">
        <v>61</v>
      </c>
      <c r="BA17" s="236" t="s">
        <v>62</v>
      </c>
      <c r="BB17" s="236" t="s">
        <v>63</v>
      </c>
      <c r="BC17" s="236" t="s">
        <v>64</v>
      </c>
      <c r="BD17" s="236" t="s">
        <v>65</v>
      </c>
      <c r="BE17" s="236" t="s">
        <v>66</v>
      </c>
      <c r="BF17" s="236" t="s">
        <v>67</v>
      </c>
      <c r="BG17" s="236" t="s">
        <v>68</v>
      </c>
      <c r="BH17" s="236" t="s">
        <v>69</v>
      </c>
      <c r="BI17" s="236" t="s">
        <v>70</v>
      </c>
      <c r="BJ17" s="236" t="s">
        <v>71</v>
      </c>
      <c r="BK17" s="236" t="s">
        <v>72</v>
      </c>
    </row>
    <row r="19" spans="1:68" ht="16" customHeight="1" x14ac:dyDescent="0.2">
      <c r="A19" s="322" t="s">
        <v>253</v>
      </c>
      <c r="B19" s="315"/>
      <c r="C19" s="315"/>
      <c r="D19" s="315"/>
      <c r="E19" s="315"/>
      <c r="F19" s="315"/>
      <c r="G19" s="315"/>
      <c r="H19" s="315"/>
      <c r="I19" s="315"/>
      <c r="J19" s="315"/>
      <c r="K19" s="315"/>
      <c r="L19" s="315"/>
      <c r="M19" s="315"/>
      <c r="N19" s="315"/>
    </row>
    <row r="20" spans="1:68" x14ac:dyDescent="0.15">
      <c r="A20" s="232" t="s">
        <v>123</v>
      </c>
      <c r="B20" t="s">
        <v>236</v>
      </c>
      <c r="D20" s="259">
        <f>'Cost assumptions'!D28/1000000</f>
        <v>20.454545454545453</v>
      </c>
      <c r="E20" s="259">
        <f>'Cost assumptions'!E28/1000000</f>
        <v>41.043016627453582</v>
      </c>
      <c r="F20" s="259">
        <f>'Cost assumptions'!F28/1000000</f>
        <v>32.941904627014665</v>
      </c>
      <c r="G20" s="259">
        <f>'Cost assumptions'!G28/1000000</f>
        <v>33.049747850693521</v>
      </c>
      <c r="H20" s="259">
        <f>'Cost assumptions'!H28/1000000</f>
        <v>33.157944125023981</v>
      </c>
      <c r="I20" s="259">
        <f>'Cost assumptions'!I28/1000000</f>
        <v>33.266494605801995</v>
      </c>
      <c r="J20" s="259">
        <f>'Cost assumptions'!J28/1000000</f>
        <v>33.375400452607316</v>
      </c>
      <c r="K20" s="259">
        <f>'Cost assumptions'!K28/1000000</f>
        <v>33.484662828815843</v>
      </c>
      <c r="L20" s="259">
        <f>'Cost assumptions'!L28/1000000</f>
        <v>33.59428290161204</v>
      </c>
      <c r="M20" s="259">
        <f>'Cost assumptions'!M28/1000000</f>
        <v>33.7042618420015</v>
      </c>
      <c r="N20" s="259">
        <f>'Cost assumptions'!N28/1000000</f>
        <v>40.577520989787971</v>
      </c>
      <c r="O20" s="259">
        <f>'Cost assumptions'!O28/1000000</f>
        <v>40.710361234515254</v>
      </c>
      <c r="P20" s="259">
        <f>'Cost assumptions'!P28/1000000</f>
        <v>17.018181818181827</v>
      </c>
      <c r="Q20" s="259">
        <f>'Cost assumptions'!Q28/1000000</f>
        <v>34.147789834041404</v>
      </c>
      <c r="R20" s="259">
        <f>'Cost assumptions'!R28/1000000</f>
        <v>34.259580812095273</v>
      </c>
      <c r="S20" s="259">
        <f>'Cost assumptions'!S28/1000000</f>
        <v>34.371737764721281</v>
      </c>
      <c r="T20" s="259">
        <f>'Cost assumptions'!T28/1000000</f>
        <v>34.484261890024968</v>
      </c>
      <c r="U20" s="259">
        <f>'Cost assumptions'!U28/1000000</f>
        <v>34.597154390034106</v>
      </c>
      <c r="V20" s="259">
        <f>'Cost assumptions'!V28/1000000</f>
        <v>34.710416470711642</v>
      </c>
      <c r="W20" s="259">
        <f>'Cost assumptions'!W28/1000000</f>
        <v>34.824049341968497</v>
      </c>
      <c r="X20" s="259">
        <f>'Cost assumptions'!X28/1000000</f>
        <v>34.938054217676566</v>
      </c>
      <c r="Y20" s="259">
        <f>'Cost assumptions'!Y28/1000000</f>
        <v>35.052432315681592</v>
      </c>
      <c r="Z20" s="259">
        <f>'Cost assumptions'!Z28/1000000</f>
        <v>42.200621829379536</v>
      </c>
      <c r="AA20" s="259">
        <f>'Cost assumptions'!AA28/1000000</f>
        <v>42.338775683895911</v>
      </c>
      <c r="AB20" s="259">
        <f>'Cost assumptions'!AB28/1000000</f>
        <v>17.698909090909112</v>
      </c>
      <c r="AC20" s="259">
        <f>'Cost assumptions'!AC28/1000000</f>
        <v>35.513701427403092</v>
      </c>
      <c r="AD20" s="259">
        <f>'Cost assumptions'!AD28/1000000</f>
        <v>35.629964044579118</v>
      </c>
      <c r="AE20" s="259">
        <f>'Cost assumptions'!AE28/1000000</f>
        <v>35.746607275310168</v>
      </c>
      <c r="AF20" s="259">
        <f>'Cost assumptions'!AF28/1000000</f>
        <v>35.863632365626003</v>
      </c>
      <c r="AG20" s="259">
        <f>'Cost assumptions'!AG28/1000000</f>
        <v>35.981040565635503</v>
      </c>
      <c r="AH20" s="259">
        <f>'Cost assumptions'!AH28/1000000</f>
        <v>36.098833129540139</v>
      </c>
      <c r="AI20" s="259">
        <f>'Cost assumptions'!AI28/1000000</f>
        <v>36.217011315647284</v>
      </c>
      <c r="AJ20" s="259">
        <f>'Cost assumptions'!AJ28/1000000</f>
        <v>36.33557638638365</v>
      </c>
      <c r="AK20" s="259">
        <f>'Cost assumptions'!AK28/1000000</f>
        <v>36.454529608308889</v>
      </c>
      <c r="AL20" s="259">
        <f>'Cost assumptions'!AL28/1000000</f>
        <v>43.888646702554745</v>
      </c>
      <c r="AM20" s="259">
        <f>'Cost assumptions'!AM28/1000000</f>
        <v>44.03232671125177</v>
      </c>
      <c r="AN20" s="259">
        <f>'Cost assumptions'!AN28/1000000</f>
        <v>18.406865454545489</v>
      </c>
      <c r="AO20" s="259">
        <f>'Cost assumptions'!AO28/1000000</f>
        <v>36.93424948449924</v>
      </c>
      <c r="AP20" s="259">
        <f>'Cost assumptions'!AP28/1000000</f>
        <v>37.055162606362309</v>
      </c>
      <c r="AQ20" s="259">
        <f>'Cost assumptions'!AQ28/1000000</f>
        <v>37.176471566322597</v>
      </c>
      <c r="AR20" s="259">
        <f>'Cost assumptions'!AR28/1000000</f>
        <v>37.298177660251056</v>
      </c>
      <c r="AS20" s="259">
        <f>'Cost assumptions'!AS28/1000000</f>
        <v>37.420282188260941</v>
      </c>
      <c r="AT20" s="259">
        <f>'Cost assumptions'!AT28/1000000</f>
        <v>37.542786454721764</v>
      </c>
      <c r="AU20" s="259">
        <f>'Cost assumptions'!AU28/1000000</f>
        <v>37.665691768273192</v>
      </c>
      <c r="AV20" s="259">
        <f>'Cost assumptions'!AV28/1000000</f>
        <v>37.788999441839024</v>
      </c>
      <c r="AW20" s="259">
        <f>'Cost assumptions'!AW28/1000000</f>
        <v>37.912710792641271</v>
      </c>
      <c r="AX20" s="259">
        <f>'Cost assumptions'!AX28/1000000</f>
        <v>45.644192570656969</v>
      </c>
      <c r="AY20" s="259">
        <f>'Cost assumptions'!AY28/1000000</f>
        <v>45.793619779701871</v>
      </c>
      <c r="AZ20" s="259">
        <f>'Cost assumptions'!AZ28/1000000</f>
        <v>19.143140072727331</v>
      </c>
      <c r="BA20" s="259">
        <f>'Cost assumptions'!BA28/1000000</f>
        <v>38.411619463879234</v>
      </c>
      <c r="BB20" s="259">
        <f>'Cost assumptions'!BB28/1000000</f>
        <v>38.537369110616822</v>
      </c>
      <c r="BC20" s="259">
        <f>'Cost assumptions'!BC28/1000000</f>
        <v>38.663530428975548</v>
      </c>
      <c r="BD20" s="259">
        <f>'Cost assumptions'!BD28/1000000</f>
        <v>38.790104766661145</v>
      </c>
      <c r="BE20" s="259">
        <f>'Cost assumptions'!BE28/1000000</f>
        <v>38.917093475791418</v>
      </c>
      <c r="BF20" s="259">
        <f>'Cost assumptions'!BF28/1000000</f>
        <v>39.044497912910671</v>
      </c>
      <c r="BG20" s="259">
        <f>'Cost assumptions'!BG28/1000000</f>
        <v>39.172319439004148</v>
      </c>
      <c r="BH20" s="259">
        <f>'Cost assumptions'!BH28/1000000</f>
        <v>39.300559419512624</v>
      </c>
      <c r="BI20" s="259">
        <f>'Cost assumptions'!BI28/1000000</f>
        <v>39.429219224346959</v>
      </c>
      <c r="BJ20" s="259">
        <f>'Cost assumptions'!BJ28/1000000</f>
        <v>47.469960273483288</v>
      </c>
      <c r="BK20" s="259">
        <f>'Cost assumptions'!BK28/1000000</f>
        <v>47.625364570889992</v>
      </c>
      <c r="BL20" s="260">
        <f t="shared" ref="BL20:BL28" si="0">SUM(D20:O20)</f>
        <v>409.36014353987309</v>
      </c>
      <c r="BM20" s="260">
        <f t="shared" ref="BM20:BM28" si="1">SUM(P20:AA20)</f>
        <v>412.94305636841261</v>
      </c>
      <c r="BN20" s="260">
        <f t="shared" ref="BN20:BN28" si="2">SUM(AB20:AM20)</f>
        <v>429.46077862314945</v>
      </c>
      <c r="BO20" s="260">
        <f t="shared" ref="BO20:BO28" si="3">SUM(AN20:AY20)</f>
        <v>446.63920976807572</v>
      </c>
      <c r="BP20" s="260">
        <f t="shared" ref="BP20:BP28" si="4">SUM(AZ20:BK20)</f>
        <v>464.50477815879924</v>
      </c>
    </row>
    <row r="21" spans="1:68" x14ac:dyDescent="0.15">
      <c r="A21" t="s">
        <v>125</v>
      </c>
      <c r="B21" t="s">
        <v>236</v>
      </c>
      <c r="D21" s="259">
        <f>-'Cost assumptions'!D29/1000000</f>
        <v>-0.40909090909090906</v>
      </c>
      <c r="E21" s="259">
        <f>-'Cost assumptions'!E29/1000000</f>
        <v>-0.82086033254907165</v>
      </c>
      <c r="F21" s="259">
        <f>-'Cost assumptions'!F29/1000000</f>
        <v>-0.65883809254029324</v>
      </c>
      <c r="G21" s="259">
        <f>-'Cost assumptions'!G29/1000000</f>
        <v>-0.66099495701387045</v>
      </c>
      <c r="H21" s="259">
        <f>-'Cost assumptions'!H29/1000000</f>
        <v>-0.66315888250047972</v>
      </c>
      <c r="I21" s="259">
        <f>-'Cost assumptions'!I29/1000000</f>
        <v>-0.66532989211603988</v>
      </c>
      <c r="J21" s="259">
        <f>-'Cost assumptions'!J29/1000000</f>
        <v>-0.66750800905214636</v>
      </c>
      <c r="K21" s="259">
        <f>-'Cost assumptions'!K29/1000000</f>
        <v>-0.66969325657631673</v>
      </c>
      <c r="L21" s="259">
        <f>-'Cost assumptions'!L29/1000000</f>
        <v>-0.67188565803224087</v>
      </c>
      <c r="M21" s="259">
        <f>-'Cost assumptions'!M29/1000000</f>
        <v>-0.67408523684002997</v>
      </c>
      <c r="N21" s="259">
        <f>-'Cost assumptions'!N29/1000000</f>
        <v>-0.81155041979575948</v>
      </c>
      <c r="O21" s="259">
        <f>-'Cost assumptions'!O29/1000000</f>
        <v>-0.81420722469030515</v>
      </c>
      <c r="P21" s="259">
        <f>-'Cost assumptions'!P29/1000000</f>
        <v>-0.34036363636363659</v>
      </c>
      <c r="Q21" s="259">
        <f>-'Cost assumptions'!Q29/1000000</f>
        <v>-0.68295579668082806</v>
      </c>
      <c r="R21" s="259">
        <f>-'Cost assumptions'!R29/1000000</f>
        <v>-0.68519161624190539</v>
      </c>
      <c r="S21" s="259">
        <f>-'Cost assumptions'!S29/1000000</f>
        <v>-0.68743475529442566</v>
      </c>
      <c r="T21" s="259">
        <f>-'Cost assumptions'!T29/1000000</f>
        <v>-0.68968523780049928</v>
      </c>
      <c r="U21" s="259">
        <f>-'Cost assumptions'!U29/1000000</f>
        <v>-0.69194308780068214</v>
      </c>
      <c r="V21" s="259">
        <f>-'Cost assumptions'!V29/1000000</f>
        <v>-0.69420832941423283</v>
      </c>
      <c r="W21" s="259">
        <f>-'Cost assumptions'!W29/1000000</f>
        <v>-0.69648098683936999</v>
      </c>
      <c r="X21" s="259">
        <f>-'Cost assumptions'!X29/1000000</f>
        <v>-0.69876108435353135</v>
      </c>
      <c r="Y21" s="259">
        <f>-'Cost assumptions'!Y29/1000000</f>
        <v>-0.70104864631363184</v>
      </c>
      <c r="Z21" s="259">
        <f>-'Cost assumptions'!Z29/1000000</f>
        <v>-0.84401243658759073</v>
      </c>
      <c r="AA21" s="259">
        <f>-'Cost assumptions'!AA29/1000000</f>
        <v>-0.84677551367791826</v>
      </c>
      <c r="AB21" s="259">
        <f>-'Cost assumptions'!AB29/1000000</f>
        <v>-0.35397818181818225</v>
      </c>
      <c r="AC21" s="259">
        <f>-'Cost assumptions'!AC29/1000000</f>
        <v>-0.71027402854806188</v>
      </c>
      <c r="AD21" s="259">
        <f>-'Cost assumptions'!AD29/1000000</f>
        <v>-0.71259928089158242</v>
      </c>
      <c r="AE21" s="259">
        <f>-'Cost assumptions'!AE29/1000000</f>
        <v>-0.71493214550620332</v>
      </c>
      <c r="AF21" s="259">
        <f>-'Cost assumptions'!AF29/1000000</f>
        <v>-0.71727264731251994</v>
      </c>
      <c r="AG21" s="259">
        <f>-'Cost assumptions'!AG29/1000000</f>
        <v>-0.71962081131271005</v>
      </c>
      <c r="AH21" s="259">
        <f>-'Cost assumptions'!AH29/1000000</f>
        <v>-0.72197666259080273</v>
      </c>
      <c r="AI21" s="259">
        <f>-'Cost assumptions'!AI29/1000000</f>
        <v>-0.72434022631294559</v>
      </c>
      <c r="AJ21" s="259">
        <f>-'Cost assumptions'!AJ29/1000000</f>
        <v>-0.72671152772767311</v>
      </c>
      <c r="AK21" s="259">
        <f>-'Cost assumptions'!AK29/1000000</f>
        <v>-0.72909059216617778</v>
      </c>
      <c r="AL21" s="259">
        <f>-'Cost assumptions'!AL29/1000000</f>
        <v>-0.87777293405109491</v>
      </c>
      <c r="AM21" s="259">
        <f>-'Cost assumptions'!AM29/1000000</f>
        <v>-0.88064653422503547</v>
      </c>
      <c r="AN21" s="259">
        <f>-'Cost assumptions'!AN29/1000000</f>
        <v>-0.36813730909090986</v>
      </c>
      <c r="AO21" s="259">
        <f>-'Cost assumptions'!AO29/1000000</f>
        <v>-0.73868498968998486</v>
      </c>
      <c r="AP21" s="259">
        <f>-'Cost assumptions'!AP29/1000000</f>
        <v>-0.74110325212724615</v>
      </c>
      <c r="AQ21" s="259">
        <f>-'Cost assumptions'!AQ29/1000000</f>
        <v>-0.74352943132645199</v>
      </c>
      <c r="AR21" s="259">
        <f>-'Cost assumptions'!AR29/1000000</f>
        <v>-0.74596355320502117</v>
      </c>
      <c r="AS21" s="259">
        <f>-'Cost assumptions'!AS29/1000000</f>
        <v>-0.7484056437652189</v>
      </c>
      <c r="AT21" s="259">
        <f>-'Cost assumptions'!AT29/1000000</f>
        <v>-0.75085572909443532</v>
      </c>
      <c r="AU21" s="259">
        <f>-'Cost assumptions'!AU29/1000000</f>
        <v>-0.75331383536546381</v>
      </c>
      <c r="AV21" s="259">
        <f>-'Cost assumptions'!AV29/1000000</f>
        <v>-0.75577998883678055</v>
      </c>
      <c r="AW21" s="259">
        <f>-'Cost assumptions'!AW29/1000000</f>
        <v>-0.75825421585282538</v>
      </c>
      <c r="AX21" s="259">
        <f>-'Cost assumptions'!AX29/1000000</f>
        <v>-0.91288385141313932</v>
      </c>
      <c r="AY21" s="259">
        <f>-'Cost assumptions'!AY29/1000000</f>
        <v>-0.91587239559403744</v>
      </c>
      <c r="AZ21" s="259">
        <f>-'Cost assumptions'!AZ29/1000000</f>
        <v>-0.38286280145454665</v>
      </c>
      <c r="BA21" s="259">
        <f>-'Cost assumptions'!BA29/1000000</f>
        <v>-0.76823238927758475</v>
      </c>
      <c r="BB21" s="259">
        <f>-'Cost assumptions'!BB29/1000000</f>
        <v>-0.77074738221233652</v>
      </c>
      <c r="BC21" s="259">
        <f>-'Cost assumptions'!BC29/1000000</f>
        <v>-0.77327060857951091</v>
      </c>
      <c r="BD21" s="259">
        <f>-'Cost assumptions'!BD29/1000000</f>
        <v>-0.77580209533322286</v>
      </c>
      <c r="BE21" s="259">
        <f>-'Cost assumptions'!BE29/1000000</f>
        <v>-0.77834186951582829</v>
      </c>
      <c r="BF21" s="259">
        <f>-'Cost assumptions'!BF29/1000000</f>
        <v>-0.78088995825821339</v>
      </c>
      <c r="BG21" s="259">
        <f>-'Cost assumptions'!BG29/1000000</f>
        <v>-0.78344638878008288</v>
      </c>
      <c r="BH21" s="259">
        <f>-'Cost assumptions'!BH29/1000000</f>
        <v>-0.78601118839025241</v>
      </c>
      <c r="BI21" s="259">
        <f>-'Cost assumptions'!BI29/1000000</f>
        <v>-0.78858438448693913</v>
      </c>
      <c r="BJ21" s="259">
        <f>-'Cost assumptions'!BJ29/1000000</f>
        <v>-0.94939920546966583</v>
      </c>
      <c r="BK21" s="259">
        <f>-'Cost assumptions'!BK29/1000000</f>
        <v>-0.95250729141779988</v>
      </c>
      <c r="BL21" s="261">
        <f t="shared" si="0"/>
        <v>-8.1872028707974636</v>
      </c>
      <c r="BM21" s="261">
        <f t="shared" si="1"/>
        <v>-8.2588611273682524</v>
      </c>
      <c r="BN21" s="261">
        <f t="shared" si="2"/>
        <v>-8.5892155724629902</v>
      </c>
      <c r="BO21" s="261">
        <f t="shared" si="3"/>
        <v>-8.9327841953615152</v>
      </c>
      <c r="BP21" s="261">
        <f t="shared" si="4"/>
        <v>-9.2900955631759849</v>
      </c>
    </row>
    <row r="22" spans="1:68" x14ac:dyDescent="0.15">
      <c r="A22" t="s">
        <v>126</v>
      </c>
      <c r="B22" t="s">
        <v>236</v>
      </c>
      <c r="D22" s="259">
        <f>-'Cost assumptions'!D30/1000000</f>
        <v>-7</v>
      </c>
      <c r="E22" s="259">
        <f>-'Cost assumptions'!E30/1000000</f>
        <v>-7</v>
      </c>
      <c r="F22" s="259">
        <f>-'Cost assumptions'!F30/1000000</f>
        <v>-7</v>
      </c>
      <c r="G22" s="259">
        <f>-'Cost assumptions'!G30/1000000</f>
        <v>-7</v>
      </c>
      <c r="H22" s="259">
        <f>-'Cost assumptions'!H30/1000000</f>
        <v>-7</v>
      </c>
      <c r="I22" s="259">
        <f>-'Cost assumptions'!I30/1000000</f>
        <v>-7</v>
      </c>
      <c r="J22" s="259">
        <f>-'Cost assumptions'!J30/1000000</f>
        <v>-7</v>
      </c>
      <c r="K22" s="259">
        <f>-'Cost assumptions'!K30/1000000</f>
        <v>-7</v>
      </c>
      <c r="L22" s="259">
        <f>-'Cost assumptions'!L30/1000000</f>
        <v>-7</v>
      </c>
      <c r="M22" s="259">
        <f>-'Cost assumptions'!M30/1000000</f>
        <v>-7</v>
      </c>
      <c r="N22" s="259">
        <f>-'Cost assumptions'!N30/1000000</f>
        <v>-7</v>
      </c>
      <c r="O22" s="259">
        <f>-'Cost assumptions'!O30/1000000</f>
        <v>-7</v>
      </c>
      <c r="P22" s="259">
        <f>-'Cost assumptions'!P30/1000000</f>
        <v>-7.49</v>
      </c>
      <c r="Q22" s="259">
        <f>-'Cost assumptions'!Q30/1000000</f>
        <v>-7.49</v>
      </c>
      <c r="R22" s="259">
        <f>-'Cost assumptions'!R30/1000000</f>
        <v>-7.49</v>
      </c>
      <c r="S22" s="259">
        <f>-'Cost assumptions'!S30/1000000</f>
        <v>-7.49</v>
      </c>
      <c r="T22" s="259">
        <f>-'Cost assumptions'!T30/1000000</f>
        <v>-7.49</v>
      </c>
      <c r="U22" s="259">
        <f>-'Cost assumptions'!U30/1000000</f>
        <v>-7.49</v>
      </c>
      <c r="V22" s="259">
        <f>-'Cost assumptions'!V30/1000000</f>
        <v>-7.49</v>
      </c>
      <c r="W22" s="259">
        <f>-'Cost assumptions'!W30/1000000</f>
        <v>-7.49</v>
      </c>
      <c r="X22" s="259">
        <f>-'Cost assumptions'!X30/1000000</f>
        <v>-7.49</v>
      </c>
      <c r="Y22" s="259">
        <f>-'Cost assumptions'!Y30/1000000</f>
        <v>-7.49</v>
      </c>
      <c r="Z22" s="259">
        <f>-'Cost assumptions'!Z30/1000000</f>
        <v>-7.49</v>
      </c>
      <c r="AA22" s="259">
        <f>-'Cost assumptions'!AA30/1000000</f>
        <v>-7.49</v>
      </c>
      <c r="AB22" s="259">
        <f>-'Cost assumptions'!AB30/1000000</f>
        <v>-8.0143000000000004</v>
      </c>
      <c r="AC22" s="259">
        <f>-'Cost assumptions'!AC30/1000000</f>
        <v>-8.0143000000000004</v>
      </c>
      <c r="AD22" s="259">
        <f>-'Cost assumptions'!AD30/1000000</f>
        <v>-8.0143000000000004</v>
      </c>
      <c r="AE22" s="259">
        <f>-'Cost assumptions'!AE30/1000000</f>
        <v>-8.0143000000000004</v>
      </c>
      <c r="AF22" s="259">
        <f>-'Cost assumptions'!AF30/1000000</f>
        <v>-8.0143000000000004</v>
      </c>
      <c r="AG22" s="259">
        <f>-'Cost assumptions'!AG30/1000000</f>
        <v>-8.0143000000000004</v>
      </c>
      <c r="AH22" s="259">
        <f>-'Cost assumptions'!AH30/1000000</f>
        <v>-8.0143000000000004</v>
      </c>
      <c r="AI22" s="259">
        <f>-'Cost assumptions'!AI30/1000000</f>
        <v>-8.0143000000000004</v>
      </c>
      <c r="AJ22" s="259">
        <f>-'Cost assumptions'!AJ30/1000000</f>
        <v>-8.0143000000000004</v>
      </c>
      <c r="AK22" s="259">
        <f>-'Cost assumptions'!AK30/1000000</f>
        <v>-8.0143000000000004</v>
      </c>
      <c r="AL22" s="259">
        <f>-'Cost assumptions'!AL30/1000000</f>
        <v>-8.0143000000000004</v>
      </c>
      <c r="AM22" s="259">
        <f>-'Cost assumptions'!AM30/1000000</f>
        <v>-8.0143000000000004</v>
      </c>
      <c r="AN22" s="259">
        <f>-'Cost assumptions'!AN30/1000000</f>
        <v>-8.5753009999999996</v>
      </c>
      <c r="AO22" s="259">
        <f>-'Cost assumptions'!AO30/1000000</f>
        <v>-8.5753009999999996</v>
      </c>
      <c r="AP22" s="259">
        <f>-'Cost assumptions'!AP30/1000000</f>
        <v>-8.5753009999999996</v>
      </c>
      <c r="AQ22" s="259">
        <f>-'Cost assumptions'!AQ30/1000000</f>
        <v>-8.5753009999999996</v>
      </c>
      <c r="AR22" s="259">
        <f>-'Cost assumptions'!AR30/1000000</f>
        <v>-8.5753009999999996</v>
      </c>
      <c r="AS22" s="259">
        <f>-'Cost assumptions'!AS30/1000000</f>
        <v>-8.5753009999999996</v>
      </c>
      <c r="AT22" s="259">
        <f>-'Cost assumptions'!AT30/1000000</f>
        <v>-8.5753009999999996</v>
      </c>
      <c r="AU22" s="259">
        <f>-'Cost assumptions'!AU30/1000000</f>
        <v>-8.5753009999999996</v>
      </c>
      <c r="AV22" s="259">
        <f>-'Cost assumptions'!AV30/1000000</f>
        <v>-8.5753009999999996</v>
      </c>
      <c r="AW22" s="259">
        <f>-'Cost assumptions'!AW30/1000000</f>
        <v>-8.5753009999999996</v>
      </c>
      <c r="AX22" s="259">
        <f>-'Cost assumptions'!AX30/1000000</f>
        <v>-8.5753009999999996</v>
      </c>
      <c r="AY22" s="259">
        <f>-'Cost assumptions'!AY30/1000000</f>
        <v>-8.5753009999999996</v>
      </c>
      <c r="AZ22" s="259">
        <f>-'Cost assumptions'!AZ30/1000000</f>
        <v>-9.1755720699999994</v>
      </c>
      <c r="BA22" s="259">
        <f>-'Cost assumptions'!BA30/1000000</f>
        <v>-9.1755720699999994</v>
      </c>
      <c r="BB22" s="259">
        <f>-'Cost assumptions'!BB30/1000000</f>
        <v>-9.1755720699999994</v>
      </c>
      <c r="BC22" s="259">
        <f>-'Cost assumptions'!BC30/1000000</f>
        <v>-9.1755720699999994</v>
      </c>
      <c r="BD22" s="259">
        <f>-'Cost assumptions'!BD30/1000000</f>
        <v>-9.1755720699999994</v>
      </c>
      <c r="BE22" s="259">
        <f>-'Cost assumptions'!BE30/1000000</f>
        <v>-9.1755720699999994</v>
      </c>
      <c r="BF22" s="259">
        <f>-'Cost assumptions'!BF30/1000000</f>
        <v>-9.1755720699999994</v>
      </c>
      <c r="BG22" s="259">
        <f>-'Cost assumptions'!BG30/1000000</f>
        <v>-9.1755720699999994</v>
      </c>
      <c r="BH22" s="259">
        <f>-'Cost assumptions'!BH30/1000000</f>
        <v>-9.1755720699999994</v>
      </c>
      <c r="BI22" s="259">
        <f>-'Cost assumptions'!BI30/1000000</f>
        <v>-9.1755720699999994</v>
      </c>
      <c r="BJ22" s="259">
        <f>-'Cost assumptions'!BJ30/1000000</f>
        <v>-9.1755720699999994</v>
      </c>
      <c r="BK22" s="259">
        <f>-'Cost assumptions'!BK30/1000000</f>
        <v>-9.1755720699999994</v>
      </c>
      <c r="BL22" s="261">
        <f t="shared" si="0"/>
        <v>-84</v>
      </c>
      <c r="BM22" s="261">
        <f t="shared" si="1"/>
        <v>-89.88</v>
      </c>
      <c r="BN22" s="261">
        <f t="shared" si="2"/>
        <v>-96.171600000000026</v>
      </c>
      <c r="BO22" s="261">
        <f t="shared" si="3"/>
        <v>-102.90361199999997</v>
      </c>
      <c r="BP22" s="261">
        <f t="shared" si="4"/>
        <v>-110.10686484</v>
      </c>
    </row>
    <row r="23" spans="1:68" x14ac:dyDescent="0.15">
      <c r="A23" t="s">
        <v>127</v>
      </c>
      <c r="B23" t="s">
        <v>236</v>
      </c>
      <c r="D23" s="259">
        <f>-'Cost assumptions'!D31/1000000</f>
        <v>-1.0227272727272727</v>
      </c>
      <c r="E23" s="259">
        <f>-'Cost assumptions'!E31/1000000</f>
        <v>-2.0521508313726793</v>
      </c>
      <c r="F23" s="259">
        <f>-'Cost assumptions'!F31/1000000</f>
        <v>-1.6470952313507332</v>
      </c>
      <c r="G23" s="259">
        <f>-'Cost assumptions'!G31/1000000</f>
        <v>-1.6524873925346761</v>
      </c>
      <c r="H23" s="259">
        <f>-'Cost assumptions'!H31/1000000</f>
        <v>-1.6578972062511994</v>
      </c>
      <c r="I23" s="259">
        <f>-'Cost assumptions'!I31/1000000</f>
        <v>-1.6633247302900998</v>
      </c>
      <c r="J23" s="259">
        <f>-'Cost assumptions'!J31/1000000</f>
        <v>-1.6687700226303661</v>
      </c>
      <c r="K23" s="259">
        <f>-'Cost assumptions'!K31/1000000</f>
        <v>-1.674233141440792</v>
      </c>
      <c r="L23" s="259">
        <f>-'Cost assumptions'!L31/1000000</f>
        <v>-1.6797141450806023</v>
      </c>
      <c r="M23" s="259">
        <f>-'Cost assumptions'!M31/1000000</f>
        <v>-1.685213092100075</v>
      </c>
      <c r="N23" s="259">
        <f>-'Cost assumptions'!N31/1000000</f>
        <v>-2.0288760494893987</v>
      </c>
      <c r="O23" s="259">
        <f>-'Cost assumptions'!O31/1000000</f>
        <v>-2.0355180617257629</v>
      </c>
      <c r="P23" s="259">
        <f>-'Cost assumptions'!P31/1000000</f>
        <v>-0.85090909090909139</v>
      </c>
      <c r="Q23" s="259">
        <f>-'Cost assumptions'!Q31/1000000</f>
        <v>-1.7073894917020702</v>
      </c>
      <c r="R23" s="259">
        <f>-'Cost assumptions'!R31/1000000</f>
        <v>-1.7129790406047636</v>
      </c>
      <c r="S23" s="259">
        <f>-'Cost assumptions'!S31/1000000</f>
        <v>-1.7185868882360642</v>
      </c>
      <c r="T23" s="259">
        <f>-'Cost assumptions'!T31/1000000</f>
        <v>-1.7242130945012486</v>
      </c>
      <c r="U23" s="259">
        <f>-'Cost assumptions'!U31/1000000</f>
        <v>-1.7298577195017055</v>
      </c>
      <c r="V23" s="259">
        <f>-'Cost assumptions'!V31/1000000</f>
        <v>-1.7355208235355821</v>
      </c>
      <c r="W23" s="259">
        <f>-'Cost assumptions'!W31/1000000</f>
        <v>-1.7412024670984252</v>
      </c>
      <c r="X23" s="259">
        <f>-'Cost assumptions'!X31/1000000</f>
        <v>-1.7469027108838284</v>
      </c>
      <c r="Y23" s="259">
        <f>-'Cost assumptions'!Y31/1000000</f>
        <v>-1.7526216157840797</v>
      </c>
      <c r="Z23" s="259">
        <f>-'Cost assumptions'!Z31/1000000</f>
        <v>-2.1100310914689766</v>
      </c>
      <c r="AA23" s="259">
        <f>-'Cost assumptions'!AA31/1000000</f>
        <v>-2.1169387841947955</v>
      </c>
      <c r="AB23" s="259">
        <f>-'Cost assumptions'!AB31/1000000</f>
        <v>-0.88494545454545559</v>
      </c>
      <c r="AC23" s="259">
        <f>-'Cost assumptions'!AC31/1000000</f>
        <v>-1.7756850713701546</v>
      </c>
      <c r="AD23" s="259">
        <f>-'Cost assumptions'!AD31/1000000</f>
        <v>-1.7814982022289558</v>
      </c>
      <c r="AE23" s="259">
        <f>-'Cost assumptions'!AE31/1000000</f>
        <v>-1.7873303637655085</v>
      </c>
      <c r="AF23" s="259">
        <f>-'Cost assumptions'!AF31/1000000</f>
        <v>-1.7931816182813001</v>
      </c>
      <c r="AG23" s="259">
        <f>-'Cost assumptions'!AG31/1000000</f>
        <v>-1.7990520282817752</v>
      </c>
      <c r="AH23" s="259">
        <f>-'Cost assumptions'!AH31/1000000</f>
        <v>-1.8049416564770071</v>
      </c>
      <c r="AI23" s="259">
        <f>-'Cost assumptions'!AI31/1000000</f>
        <v>-1.8108505657823641</v>
      </c>
      <c r="AJ23" s="259">
        <f>-'Cost assumptions'!AJ31/1000000</f>
        <v>-1.8167788193191827</v>
      </c>
      <c r="AK23" s="259">
        <f>-'Cost assumptions'!AK31/1000000</f>
        <v>-1.8227264804154446</v>
      </c>
      <c r="AL23" s="259">
        <f>-'Cost assumptions'!AL31/1000000</f>
        <v>-2.1944323351277375</v>
      </c>
      <c r="AM23" s="259">
        <f>-'Cost assumptions'!AM31/1000000</f>
        <v>-2.2016163355625888</v>
      </c>
      <c r="AN23" s="259">
        <f>-'Cost assumptions'!AN31/1000000</f>
        <v>-0.92034327272727456</v>
      </c>
      <c r="AO23" s="259">
        <f>-'Cost assumptions'!AO31/1000000</f>
        <v>-1.8467124742249621</v>
      </c>
      <c r="AP23" s="259">
        <f>-'Cost assumptions'!AP31/1000000</f>
        <v>-1.8527581303181155</v>
      </c>
      <c r="AQ23" s="259">
        <f>-'Cost assumptions'!AQ31/1000000</f>
        <v>-1.8588235783161298</v>
      </c>
      <c r="AR23" s="259">
        <f>-'Cost assumptions'!AR31/1000000</f>
        <v>-1.8649088830125531</v>
      </c>
      <c r="AS23" s="259">
        <f>-'Cost assumptions'!AS31/1000000</f>
        <v>-1.8710141094130472</v>
      </c>
      <c r="AT23" s="259">
        <f>-'Cost assumptions'!AT31/1000000</f>
        <v>-1.8771393227360882</v>
      </c>
      <c r="AU23" s="259">
        <f>-'Cost assumptions'!AU31/1000000</f>
        <v>-1.8832845884136595</v>
      </c>
      <c r="AV23" s="259">
        <f>-'Cost assumptions'!AV31/1000000</f>
        <v>-1.8894499720919513</v>
      </c>
      <c r="AW23" s="259">
        <f>-'Cost assumptions'!AW31/1000000</f>
        <v>-1.8956355396320634</v>
      </c>
      <c r="AX23" s="259">
        <f>-'Cost assumptions'!AX31/1000000</f>
        <v>-2.2822096285328488</v>
      </c>
      <c r="AY23" s="259">
        <f>-'Cost assumptions'!AY31/1000000</f>
        <v>-2.289680988985094</v>
      </c>
      <c r="AZ23" s="259">
        <f>-'Cost assumptions'!AZ31/1000000</f>
        <v>-0.95715700363636658</v>
      </c>
      <c r="BA23" s="259">
        <f>-'Cost assumptions'!BA31/1000000</f>
        <v>-1.9205809731939618</v>
      </c>
      <c r="BB23" s="259">
        <f>-'Cost assumptions'!BB31/1000000</f>
        <v>-1.9268684555308413</v>
      </c>
      <c r="BC23" s="259">
        <f>-'Cost assumptions'!BC31/1000000</f>
        <v>-1.9331765214487773</v>
      </c>
      <c r="BD23" s="259">
        <f>-'Cost assumptions'!BD31/1000000</f>
        <v>-1.9395052383330573</v>
      </c>
      <c r="BE23" s="259">
        <f>-'Cost assumptions'!BE31/1000000</f>
        <v>-1.945854673789571</v>
      </c>
      <c r="BF23" s="259">
        <f>-'Cost assumptions'!BF31/1000000</f>
        <v>-1.9522248956455337</v>
      </c>
      <c r="BG23" s="259">
        <f>-'Cost assumptions'!BG31/1000000</f>
        <v>-1.9586159719502074</v>
      </c>
      <c r="BH23" s="259">
        <f>-'Cost assumptions'!BH31/1000000</f>
        <v>-1.9650279709756311</v>
      </c>
      <c r="BI23" s="259">
        <f>-'Cost assumptions'!BI31/1000000</f>
        <v>-1.9714609612173479</v>
      </c>
      <c r="BJ23" s="259">
        <f>-'Cost assumptions'!BJ31/1000000</f>
        <v>-2.3734980136741646</v>
      </c>
      <c r="BK23" s="259">
        <f>-'Cost assumptions'!BK31/1000000</f>
        <v>-2.3812682285444997</v>
      </c>
      <c r="BL23" s="261">
        <f t="shared" si="0"/>
        <v>-20.468007176993659</v>
      </c>
      <c r="BM23" s="261">
        <f t="shared" si="1"/>
        <v>-20.647152818420629</v>
      </c>
      <c r="BN23" s="261">
        <f t="shared" si="2"/>
        <v>-21.473038931157468</v>
      </c>
      <c r="BO23" s="261">
        <f t="shared" si="3"/>
        <v>-22.331960488403784</v>
      </c>
      <c r="BP23" s="261">
        <f t="shared" si="4"/>
        <v>-23.225238907939961</v>
      </c>
    </row>
    <row r="24" spans="1:68" x14ac:dyDescent="0.15">
      <c r="A24" t="s">
        <v>128</v>
      </c>
      <c r="B24" t="s">
        <v>236</v>
      </c>
      <c r="D24" s="259">
        <v>0</v>
      </c>
      <c r="E24" s="259">
        <v>0</v>
      </c>
      <c r="F24" s="259">
        <v>0</v>
      </c>
      <c r="G24" s="259">
        <v>0</v>
      </c>
      <c r="H24" s="259">
        <v>0</v>
      </c>
      <c r="I24" s="259">
        <v>0</v>
      </c>
      <c r="J24" s="259">
        <v>0</v>
      </c>
      <c r="K24" s="259">
        <v>0</v>
      </c>
      <c r="L24" s="259">
        <v>0</v>
      </c>
      <c r="M24" s="259">
        <v>0</v>
      </c>
      <c r="N24" s="259">
        <v>0</v>
      </c>
      <c r="O24" s="259">
        <v>0</v>
      </c>
      <c r="P24" s="259">
        <v>0</v>
      </c>
      <c r="Q24" s="259">
        <v>0</v>
      </c>
      <c r="R24" s="259">
        <v>0</v>
      </c>
      <c r="S24" s="259">
        <v>0</v>
      </c>
      <c r="T24" s="259">
        <v>0</v>
      </c>
      <c r="U24" s="259">
        <v>0</v>
      </c>
      <c r="V24" s="259">
        <v>0</v>
      </c>
      <c r="W24" s="259">
        <v>0</v>
      </c>
      <c r="X24" s="259">
        <v>0</v>
      </c>
      <c r="Y24" s="259">
        <v>0</v>
      </c>
      <c r="Z24" s="259">
        <v>0</v>
      </c>
      <c r="AA24" s="259">
        <v>0</v>
      </c>
      <c r="AB24" s="259">
        <v>0</v>
      </c>
      <c r="AC24" s="259">
        <v>0</v>
      </c>
      <c r="AD24" s="259">
        <v>0</v>
      </c>
      <c r="AE24" s="259">
        <v>0</v>
      </c>
      <c r="AF24" s="259">
        <v>0</v>
      </c>
      <c r="AG24" s="259">
        <v>0</v>
      </c>
      <c r="AH24" s="259">
        <v>0</v>
      </c>
      <c r="AI24" s="259">
        <v>0</v>
      </c>
      <c r="AJ24" s="259">
        <v>0</v>
      </c>
      <c r="AK24" s="259">
        <v>0</v>
      </c>
      <c r="AL24" s="259">
        <v>0</v>
      </c>
      <c r="AM24" s="259">
        <v>0</v>
      </c>
      <c r="AN24" s="259">
        <v>0</v>
      </c>
      <c r="AO24" s="259">
        <v>0</v>
      </c>
      <c r="AP24" s="259">
        <v>0</v>
      </c>
      <c r="AQ24" s="259">
        <v>0</v>
      </c>
      <c r="AR24" s="259">
        <v>0</v>
      </c>
      <c r="AS24" s="259">
        <v>0</v>
      </c>
      <c r="AT24" s="259">
        <v>0</v>
      </c>
      <c r="AU24" s="259">
        <v>0</v>
      </c>
      <c r="AV24" s="259">
        <v>0</v>
      </c>
      <c r="AW24" s="259">
        <v>0</v>
      </c>
      <c r="AX24" s="259">
        <v>0</v>
      </c>
      <c r="AY24" s="259">
        <v>0</v>
      </c>
      <c r="AZ24" s="259">
        <v>0</v>
      </c>
      <c r="BA24" s="259">
        <v>0</v>
      </c>
      <c r="BB24" s="259">
        <v>0</v>
      </c>
      <c r="BC24" s="259">
        <v>0</v>
      </c>
      <c r="BD24" s="259">
        <v>0</v>
      </c>
      <c r="BE24" s="259">
        <v>0</v>
      </c>
      <c r="BF24" s="259">
        <v>0</v>
      </c>
      <c r="BG24" s="259">
        <v>0</v>
      </c>
      <c r="BH24" s="259">
        <v>0</v>
      </c>
      <c r="BI24" s="259">
        <v>0</v>
      </c>
      <c r="BJ24" s="259">
        <v>0</v>
      </c>
      <c r="BK24" s="259">
        <v>0</v>
      </c>
      <c r="BL24" s="261">
        <f t="shared" si="0"/>
        <v>0</v>
      </c>
      <c r="BM24" s="261">
        <f t="shared" si="1"/>
        <v>0</v>
      </c>
      <c r="BN24" s="261">
        <f t="shared" si="2"/>
        <v>0</v>
      </c>
      <c r="BO24" s="261">
        <f t="shared" si="3"/>
        <v>0</v>
      </c>
      <c r="BP24" s="261">
        <f t="shared" si="4"/>
        <v>0</v>
      </c>
    </row>
    <row r="25" spans="1:68" x14ac:dyDescent="0.15">
      <c r="A25" t="s">
        <v>129</v>
      </c>
      <c r="B25" t="s">
        <v>236</v>
      </c>
      <c r="D25" s="259">
        <f>-'Cost assumptions'!D32/1000000</f>
        <v>-0.25</v>
      </c>
      <c r="E25" s="259">
        <f>-'Cost assumptions'!E32/1000000</f>
        <v>-0.25</v>
      </c>
      <c r="F25" s="259">
        <f>-'Cost assumptions'!F32/1000000</f>
        <v>-0.25</v>
      </c>
      <c r="G25" s="259">
        <f>-'Cost assumptions'!G32/1000000</f>
        <v>-0.25</v>
      </c>
      <c r="H25" s="259">
        <f>-'Cost assumptions'!H32/1000000</f>
        <v>-0.25</v>
      </c>
      <c r="I25" s="259">
        <f>-'Cost assumptions'!I32/1000000</f>
        <v>-0.25</v>
      </c>
      <c r="J25" s="259">
        <f>-'Cost assumptions'!J32/1000000</f>
        <v>-0.25</v>
      </c>
      <c r="K25" s="259">
        <f>-'Cost assumptions'!K32/1000000</f>
        <v>-0.25</v>
      </c>
      <c r="L25" s="259">
        <f>-'Cost assumptions'!L32/1000000</f>
        <v>-0.25</v>
      </c>
      <c r="M25" s="259">
        <f>-'Cost assumptions'!M32/1000000</f>
        <v>-0.25</v>
      </c>
      <c r="N25" s="259">
        <f>-'Cost assumptions'!N32/1000000</f>
        <v>-0.25</v>
      </c>
      <c r="O25" s="259">
        <f>-'Cost assumptions'!O32/1000000</f>
        <v>-0.25</v>
      </c>
      <c r="P25" s="259">
        <f>-'Cost assumptions'!P32/1000000</f>
        <v>-0.25</v>
      </c>
      <c r="Q25" s="259">
        <f>-'Cost assumptions'!Q32/1000000</f>
        <v>-0.25</v>
      </c>
      <c r="R25" s="259">
        <f>-'Cost assumptions'!R32/1000000</f>
        <v>-0.25</v>
      </c>
      <c r="S25" s="259">
        <f>-'Cost assumptions'!S32/1000000</f>
        <v>-0.25</v>
      </c>
      <c r="T25" s="259">
        <f>-'Cost assumptions'!T32/1000000</f>
        <v>-0.25</v>
      </c>
      <c r="U25" s="259">
        <f>-'Cost assumptions'!U32/1000000</f>
        <v>-0.25</v>
      </c>
      <c r="V25" s="259">
        <f>-'Cost assumptions'!V32/1000000</f>
        <v>-0.25</v>
      </c>
      <c r="W25" s="259">
        <f>-'Cost assumptions'!W32/1000000</f>
        <v>-0.25</v>
      </c>
      <c r="X25" s="259">
        <f>-'Cost assumptions'!X32/1000000</f>
        <v>-0.25</v>
      </c>
      <c r="Y25" s="259">
        <f>-'Cost assumptions'!Y32/1000000</f>
        <v>-0.25</v>
      </c>
      <c r="Z25" s="259">
        <f>-'Cost assumptions'!Z32/1000000</f>
        <v>-0.25</v>
      </c>
      <c r="AA25" s="259">
        <f>-'Cost assumptions'!AA32/1000000</f>
        <v>-0.25</v>
      </c>
      <c r="AB25" s="259">
        <f>-'Cost assumptions'!AB32/1000000</f>
        <v>-0.25</v>
      </c>
      <c r="AC25" s="259">
        <f>-'Cost assumptions'!AC32/1000000</f>
        <v>-0.25</v>
      </c>
      <c r="AD25" s="259">
        <f>-'Cost assumptions'!AD32/1000000</f>
        <v>-0.25</v>
      </c>
      <c r="AE25" s="259">
        <f>-'Cost assumptions'!AE32/1000000</f>
        <v>-0.25</v>
      </c>
      <c r="AF25" s="259">
        <f>-'Cost assumptions'!AF32/1000000</f>
        <v>-0.25</v>
      </c>
      <c r="AG25" s="259">
        <f>-'Cost assumptions'!AG32/1000000</f>
        <v>-0.25</v>
      </c>
      <c r="AH25" s="259">
        <f>-'Cost assumptions'!AH32/1000000</f>
        <v>-0.25</v>
      </c>
      <c r="AI25" s="259">
        <f>-'Cost assumptions'!AI32/1000000</f>
        <v>-0.25</v>
      </c>
      <c r="AJ25" s="259">
        <f>-'Cost assumptions'!AJ32/1000000</f>
        <v>-0.25</v>
      </c>
      <c r="AK25" s="259">
        <f>-'Cost assumptions'!AK32/1000000</f>
        <v>-0.25</v>
      </c>
      <c r="AL25" s="259">
        <f>-'Cost assumptions'!AL32/1000000</f>
        <v>-0.25</v>
      </c>
      <c r="AM25" s="259">
        <f>-'Cost assumptions'!AM32/1000000</f>
        <v>-0.25</v>
      </c>
      <c r="AN25" s="259">
        <f>-'Cost assumptions'!AN32/1000000</f>
        <v>-0.25</v>
      </c>
      <c r="AO25" s="259">
        <f>-'Cost assumptions'!AO32/1000000</f>
        <v>-0.25</v>
      </c>
      <c r="AP25" s="259">
        <f>-'Cost assumptions'!AP32/1000000</f>
        <v>-0.25</v>
      </c>
      <c r="AQ25" s="259">
        <f>-'Cost assumptions'!AQ32/1000000</f>
        <v>-0.25</v>
      </c>
      <c r="AR25" s="259">
        <f>-'Cost assumptions'!AR32/1000000</f>
        <v>-0.25</v>
      </c>
      <c r="AS25" s="259">
        <f>-'Cost assumptions'!AS32/1000000</f>
        <v>-0.25</v>
      </c>
      <c r="AT25" s="259">
        <f>-'Cost assumptions'!AT32/1000000</f>
        <v>-0.25</v>
      </c>
      <c r="AU25" s="259">
        <f>-'Cost assumptions'!AU32/1000000</f>
        <v>-0.25</v>
      </c>
      <c r="AV25" s="259">
        <f>-'Cost assumptions'!AV32/1000000</f>
        <v>-0.25</v>
      </c>
      <c r="AW25" s="259">
        <f>-'Cost assumptions'!AW32/1000000</f>
        <v>-0.25</v>
      </c>
      <c r="AX25" s="259">
        <f>-'Cost assumptions'!AX32/1000000</f>
        <v>-0.25</v>
      </c>
      <c r="AY25" s="259">
        <f>-'Cost assumptions'!AY32/1000000</f>
        <v>-0.25</v>
      </c>
      <c r="AZ25" s="259">
        <f>-'Cost assumptions'!AZ32/1000000</f>
        <v>-0.25</v>
      </c>
      <c r="BA25" s="259">
        <f>-'Cost assumptions'!BA32/1000000</f>
        <v>-0.25</v>
      </c>
      <c r="BB25" s="259">
        <f>-'Cost assumptions'!BB32/1000000</f>
        <v>-0.25</v>
      </c>
      <c r="BC25" s="259">
        <f>-'Cost assumptions'!BC32/1000000</f>
        <v>-0.25</v>
      </c>
      <c r="BD25" s="259">
        <f>-'Cost assumptions'!BD32/1000000</f>
        <v>-0.25</v>
      </c>
      <c r="BE25" s="259">
        <f>-'Cost assumptions'!BE32/1000000</f>
        <v>-0.25</v>
      </c>
      <c r="BF25" s="259">
        <f>-'Cost assumptions'!BF32/1000000</f>
        <v>-0.25</v>
      </c>
      <c r="BG25" s="259">
        <f>-'Cost assumptions'!BG32/1000000</f>
        <v>-0.25</v>
      </c>
      <c r="BH25" s="259">
        <f>-'Cost assumptions'!BH32/1000000</f>
        <v>-0.25</v>
      </c>
      <c r="BI25" s="259">
        <f>-'Cost assumptions'!BI32/1000000</f>
        <v>-0.25</v>
      </c>
      <c r="BJ25" s="259">
        <f>-'Cost assumptions'!BJ32/1000000</f>
        <v>-0.25</v>
      </c>
      <c r="BK25" s="259">
        <f>-'Cost assumptions'!BK32/1000000</f>
        <v>-0.25</v>
      </c>
      <c r="BL25" s="261">
        <f t="shared" si="0"/>
        <v>-3</v>
      </c>
      <c r="BM25" s="261">
        <f t="shared" si="1"/>
        <v>-3</v>
      </c>
      <c r="BN25" s="261">
        <f t="shared" si="2"/>
        <v>-3</v>
      </c>
      <c r="BO25" s="261">
        <f t="shared" si="3"/>
        <v>-3</v>
      </c>
      <c r="BP25" s="261">
        <f t="shared" si="4"/>
        <v>-3</v>
      </c>
    </row>
    <row r="26" spans="1:68" x14ac:dyDescent="0.15">
      <c r="A26" t="s">
        <v>130</v>
      </c>
      <c r="B26" t="s">
        <v>236</v>
      </c>
      <c r="D26" s="259">
        <f>-'Cost assumptions'!D33/1000000</f>
        <v>-0.35</v>
      </c>
      <c r="E26" s="259">
        <f>-'Cost assumptions'!E33/1000000</f>
        <v>-0.35</v>
      </c>
      <c r="F26" s="259">
        <f>-'Cost assumptions'!F33/1000000</f>
        <v>-0.35</v>
      </c>
      <c r="G26" s="259">
        <f>-'Cost assumptions'!G33/1000000</f>
        <v>-0.35</v>
      </c>
      <c r="H26" s="259">
        <f>-'Cost assumptions'!H33/1000000</f>
        <v>-0.35</v>
      </c>
      <c r="I26" s="259">
        <f>-'Cost assumptions'!I33/1000000</f>
        <v>-0.35</v>
      </c>
      <c r="J26" s="259">
        <f>-'Cost assumptions'!J33/1000000</f>
        <v>-0.35</v>
      </c>
      <c r="K26" s="259">
        <f>-'Cost assumptions'!K33/1000000</f>
        <v>-0.35</v>
      </c>
      <c r="L26" s="259">
        <f>-'Cost assumptions'!L33/1000000</f>
        <v>-0.35</v>
      </c>
      <c r="M26" s="259">
        <f>-'Cost assumptions'!M33/1000000</f>
        <v>-0.35</v>
      </c>
      <c r="N26" s="259">
        <f>-'Cost assumptions'!N33/1000000</f>
        <v>-0.35</v>
      </c>
      <c r="O26" s="259">
        <f>-'Cost assumptions'!O33/1000000</f>
        <v>-0.35</v>
      </c>
      <c r="P26" s="259">
        <f>-'Cost assumptions'!P33/1000000</f>
        <v>-0.3745</v>
      </c>
      <c r="Q26" s="259">
        <f>-'Cost assumptions'!Q33/1000000</f>
        <v>-0.3745</v>
      </c>
      <c r="R26" s="259">
        <f>-'Cost assumptions'!R33/1000000</f>
        <v>-0.3745</v>
      </c>
      <c r="S26" s="259">
        <f>-'Cost assumptions'!S33/1000000</f>
        <v>-0.3745</v>
      </c>
      <c r="T26" s="259">
        <f>-'Cost assumptions'!T33/1000000</f>
        <v>-0.3745</v>
      </c>
      <c r="U26" s="259">
        <f>-'Cost assumptions'!U33/1000000</f>
        <v>-0.3745</v>
      </c>
      <c r="V26" s="259">
        <f>-'Cost assumptions'!V33/1000000</f>
        <v>-0.3745</v>
      </c>
      <c r="W26" s="259">
        <f>-'Cost assumptions'!W33/1000000</f>
        <v>-0.3745</v>
      </c>
      <c r="X26" s="259">
        <f>-'Cost assumptions'!X33/1000000</f>
        <v>-0.3745</v>
      </c>
      <c r="Y26" s="259">
        <f>-'Cost assumptions'!Y33/1000000</f>
        <v>-0.3745</v>
      </c>
      <c r="Z26" s="259">
        <f>-'Cost assumptions'!Z33/1000000</f>
        <v>-0.3745</v>
      </c>
      <c r="AA26" s="259">
        <f>-'Cost assumptions'!AA33/1000000</f>
        <v>-0.3745</v>
      </c>
      <c r="AB26" s="259">
        <f>-'Cost assumptions'!AB33/1000000</f>
        <v>-0.40071499999999999</v>
      </c>
      <c r="AC26" s="259">
        <f>-'Cost assumptions'!AC33/1000000</f>
        <v>-0.40071499999999999</v>
      </c>
      <c r="AD26" s="259">
        <f>-'Cost assumptions'!AD33/1000000</f>
        <v>-0.40071499999999999</v>
      </c>
      <c r="AE26" s="259">
        <f>-'Cost assumptions'!AE33/1000000</f>
        <v>-0.40071499999999999</v>
      </c>
      <c r="AF26" s="259">
        <f>-'Cost assumptions'!AF33/1000000</f>
        <v>-0.40071499999999999</v>
      </c>
      <c r="AG26" s="259">
        <f>-'Cost assumptions'!AG33/1000000</f>
        <v>-0.40071499999999999</v>
      </c>
      <c r="AH26" s="259">
        <f>-'Cost assumptions'!AH33/1000000</f>
        <v>-0.40071499999999999</v>
      </c>
      <c r="AI26" s="259">
        <f>-'Cost assumptions'!AI33/1000000</f>
        <v>-0.40071499999999999</v>
      </c>
      <c r="AJ26" s="259">
        <f>-'Cost assumptions'!AJ33/1000000</f>
        <v>-0.40071499999999999</v>
      </c>
      <c r="AK26" s="259">
        <f>-'Cost assumptions'!AK33/1000000</f>
        <v>-0.40071499999999999</v>
      </c>
      <c r="AL26" s="259">
        <f>-'Cost assumptions'!AL33/1000000</f>
        <v>-0.40071499999999999</v>
      </c>
      <c r="AM26" s="259">
        <f>-'Cost assumptions'!AM33/1000000</f>
        <v>-0.40071499999999999</v>
      </c>
      <c r="AN26" s="259">
        <f>-'Cost assumptions'!AN33/1000000</f>
        <v>-0.42876505000000004</v>
      </c>
      <c r="AO26" s="259">
        <f>-'Cost assumptions'!AO33/1000000</f>
        <v>-0.42876505000000004</v>
      </c>
      <c r="AP26" s="259">
        <f>-'Cost assumptions'!AP33/1000000</f>
        <v>-0.42876505000000004</v>
      </c>
      <c r="AQ26" s="259">
        <f>-'Cost assumptions'!AQ33/1000000</f>
        <v>-0.42876505000000004</v>
      </c>
      <c r="AR26" s="259">
        <f>-'Cost assumptions'!AR33/1000000</f>
        <v>-0.42876505000000004</v>
      </c>
      <c r="AS26" s="259">
        <f>-'Cost assumptions'!AS33/1000000</f>
        <v>-0.42876505000000004</v>
      </c>
      <c r="AT26" s="259">
        <f>-'Cost assumptions'!AT33/1000000</f>
        <v>-0.42876505000000004</v>
      </c>
      <c r="AU26" s="259">
        <f>-'Cost assumptions'!AU33/1000000</f>
        <v>-0.42876505000000004</v>
      </c>
      <c r="AV26" s="259">
        <f>-'Cost assumptions'!AV33/1000000</f>
        <v>-0.42876505000000004</v>
      </c>
      <c r="AW26" s="259">
        <f>-'Cost assumptions'!AW33/1000000</f>
        <v>-0.42876505000000004</v>
      </c>
      <c r="AX26" s="259">
        <f>-'Cost assumptions'!AX33/1000000</f>
        <v>-0.42876505000000004</v>
      </c>
      <c r="AY26" s="259">
        <f>-'Cost assumptions'!AY33/1000000</f>
        <v>-0.42876505000000004</v>
      </c>
      <c r="AZ26" s="259">
        <f>-'Cost assumptions'!AZ33/1000000</f>
        <v>-0.45877860350000005</v>
      </c>
      <c r="BA26" s="259">
        <f>-'Cost assumptions'!BA33/1000000</f>
        <v>-0.45877860350000005</v>
      </c>
      <c r="BB26" s="259">
        <f>-'Cost assumptions'!BB33/1000000</f>
        <v>-0.45877860350000005</v>
      </c>
      <c r="BC26" s="259">
        <f>-'Cost assumptions'!BC33/1000000</f>
        <v>-0.45877860350000005</v>
      </c>
      <c r="BD26" s="259">
        <f>-'Cost assumptions'!BD33/1000000</f>
        <v>-0.45877860350000005</v>
      </c>
      <c r="BE26" s="259">
        <f>-'Cost assumptions'!BE33/1000000</f>
        <v>-0.45877860350000005</v>
      </c>
      <c r="BF26" s="259">
        <f>-'Cost assumptions'!BF33/1000000</f>
        <v>-0.45877860350000005</v>
      </c>
      <c r="BG26" s="259">
        <f>-'Cost assumptions'!BG33/1000000</f>
        <v>-0.45877860350000005</v>
      </c>
      <c r="BH26" s="259">
        <f>-'Cost assumptions'!BH33/1000000</f>
        <v>-0.45877860350000005</v>
      </c>
      <c r="BI26" s="259">
        <f>-'Cost assumptions'!BI33/1000000</f>
        <v>-0.45877860350000005</v>
      </c>
      <c r="BJ26" s="259">
        <f>-'Cost assumptions'!BJ33/1000000</f>
        <v>-0.45877860350000005</v>
      </c>
      <c r="BK26" s="259">
        <f>-'Cost assumptions'!BK33/1000000</f>
        <v>-0.45877860350000005</v>
      </c>
      <c r="BL26" s="261">
        <f t="shared" si="0"/>
        <v>-4.2</v>
      </c>
      <c r="BM26" s="261">
        <f t="shared" si="1"/>
        <v>-4.4939999999999998</v>
      </c>
      <c r="BN26" s="261">
        <f t="shared" si="2"/>
        <v>-4.8085800000000001</v>
      </c>
      <c r="BO26" s="261">
        <f t="shared" si="3"/>
        <v>-5.1451806000000007</v>
      </c>
      <c r="BP26" s="261">
        <f t="shared" si="4"/>
        <v>-5.5053432419999995</v>
      </c>
    </row>
    <row r="27" spans="1:68" x14ac:dyDescent="0.15">
      <c r="A27" t="s">
        <v>131</v>
      </c>
      <c r="B27" t="s">
        <v>236</v>
      </c>
      <c r="D27" s="259">
        <v>0</v>
      </c>
      <c r="E27" s="259">
        <v>0</v>
      </c>
      <c r="F27" s="259">
        <v>0</v>
      </c>
      <c r="G27" s="259">
        <v>0</v>
      </c>
      <c r="H27" s="259">
        <v>0</v>
      </c>
      <c r="I27" s="259">
        <v>0</v>
      </c>
      <c r="J27" s="259">
        <v>0</v>
      </c>
      <c r="K27" s="259">
        <v>0</v>
      </c>
      <c r="L27" s="259">
        <v>0</v>
      </c>
      <c r="M27" s="259">
        <v>0</v>
      </c>
      <c r="N27" s="259">
        <v>0</v>
      </c>
      <c r="O27" s="259">
        <v>0</v>
      </c>
      <c r="P27" s="259">
        <v>0</v>
      </c>
      <c r="Q27" s="259">
        <v>0</v>
      </c>
      <c r="R27" s="259">
        <v>0</v>
      </c>
      <c r="S27" s="259">
        <v>0</v>
      </c>
      <c r="T27" s="259">
        <v>0</v>
      </c>
      <c r="U27" s="259">
        <v>0</v>
      </c>
      <c r="V27" s="259">
        <v>0</v>
      </c>
      <c r="W27" s="259">
        <v>0</v>
      </c>
      <c r="X27" s="259">
        <v>0</v>
      </c>
      <c r="Y27" s="259">
        <v>0</v>
      </c>
      <c r="Z27" s="259">
        <v>0</v>
      </c>
      <c r="AA27" s="259">
        <v>0</v>
      </c>
      <c r="AB27" s="259">
        <v>0</v>
      </c>
      <c r="AC27" s="259">
        <v>0</v>
      </c>
      <c r="AD27" s="259">
        <v>0</v>
      </c>
      <c r="AE27" s="259">
        <v>0</v>
      </c>
      <c r="AF27" s="259">
        <v>0</v>
      </c>
      <c r="AG27" s="259">
        <v>0</v>
      </c>
      <c r="AH27" s="259">
        <v>0</v>
      </c>
      <c r="AI27" s="259">
        <v>0</v>
      </c>
      <c r="AJ27" s="259">
        <v>0</v>
      </c>
      <c r="AK27" s="259">
        <v>0</v>
      </c>
      <c r="AL27" s="259">
        <v>0</v>
      </c>
      <c r="AM27" s="259">
        <v>0</v>
      </c>
      <c r="AN27" s="259">
        <v>0</v>
      </c>
      <c r="AO27" s="259">
        <v>0</v>
      </c>
      <c r="AP27" s="259">
        <v>0</v>
      </c>
      <c r="AQ27" s="259">
        <v>0</v>
      </c>
      <c r="AR27" s="259">
        <v>0</v>
      </c>
      <c r="AS27" s="259">
        <v>0</v>
      </c>
      <c r="AT27" s="259">
        <v>0</v>
      </c>
      <c r="AU27" s="259">
        <v>0</v>
      </c>
      <c r="AV27" s="259">
        <v>0</v>
      </c>
      <c r="AW27" s="259">
        <v>0</v>
      </c>
      <c r="AX27" s="259">
        <v>0</v>
      </c>
      <c r="AY27" s="259">
        <v>0</v>
      </c>
      <c r="AZ27" s="259">
        <v>0</v>
      </c>
      <c r="BA27" s="259">
        <v>0</v>
      </c>
      <c r="BB27" s="259">
        <v>0</v>
      </c>
      <c r="BC27" s="259">
        <v>0</v>
      </c>
      <c r="BD27" s="259">
        <v>0</v>
      </c>
      <c r="BE27" s="259">
        <v>0</v>
      </c>
      <c r="BF27" s="259">
        <v>0</v>
      </c>
      <c r="BG27" s="259">
        <v>0</v>
      </c>
      <c r="BH27" s="259">
        <v>0</v>
      </c>
      <c r="BI27" s="259">
        <v>0</v>
      </c>
      <c r="BJ27" s="259">
        <v>0</v>
      </c>
      <c r="BK27" s="259">
        <v>0</v>
      </c>
      <c r="BL27" s="261">
        <f t="shared" si="0"/>
        <v>0</v>
      </c>
      <c r="BM27" s="261">
        <f t="shared" si="1"/>
        <v>0</v>
      </c>
      <c r="BN27" s="261">
        <f t="shared" si="2"/>
        <v>0</v>
      </c>
      <c r="BO27" s="261">
        <f t="shared" si="3"/>
        <v>0</v>
      </c>
      <c r="BP27" s="261">
        <f t="shared" si="4"/>
        <v>0</v>
      </c>
    </row>
    <row r="28" spans="1:68" x14ac:dyDescent="0.15">
      <c r="A28" s="232" t="s">
        <v>132</v>
      </c>
      <c r="B28" t="s">
        <v>236</v>
      </c>
      <c r="D28" s="262">
        <f t="shared" ref="D28:AI28" si="5">D20+SUM(D21:D27)</f>
        <v>11.422727272727272</v>
      </c>
      <c r="E28" s="262">
        <f t="shared" si="5"/>
        <v>30.570005463531832</v>
      </c>
      <c r="F28" s="262">
        <f t="shared" si="5"/>
        <v>23.035971303123638</v>
      </c>
      <c r="G28" s="262">
        <f t="shared" si="5"/>
        <v>23.136265501144976</v>
      </c>
      <c r="H28" s="262">
        <f t="shared" si="5"/>
        <v>23.236888036272305</v>
      </c>
      <c r="I28" s="262">
        <f t="shared" si="5"/>
        <v>23.337839983395856</v>
      </c>
      <c r="J28" s="262">
        <f t="shared" si="5"/>
        <v>23.439122420924804</v>
      </c>
      <c r="K28" s="262">
        <f t="shared" si="5"/>
        <v>23.540736430798734</v>
      </c>
      <c r="L28" s="262">
        <f t="shared" si="5"/>
        <v>23.642683098499198</v>
      </c>
      <c r="M28" s="262">
        <f t="shared" si="5"/>
        <v>23.744963513061396</v>
      </c>
      <c r="N28" s="262">
        <f t="shared" si="5"/>
        <v>30.137094520502814</v>
      </c>
      <c r="O28" s="262">
        <f t="shared" si="5"/>
        <v>30.260635948099186</v>
      </c>
      <c r="P28" s="262">
        <f t="shared" si="5"/>
        <v>7.7124090909090999</v>
      </c>
      <c r="Q28" s="262">
        <f t="shared" si="5"/>
        <v>23.642944545658509</v>
      </c>
      <c r="R28" s="262">
        <f t="shared" si="5"/>
        <v>23.746910155248607</v>
      </c>
      <c r="S28" s="262">
        <f t="shared" si="5"/>
        <v>23.851216121190792</v>
      </c>
      <c r="T28" s="262">
        <f t="shared" si="5"/>
        <v>23.95586355772322</v>
      </c>
      <c r="U28" s="262">
        <f t="shared" si="5"/>
        <v>24.060853582731717</v>
      </c>
      <c r="V28" s="262">
        <f t="shared" si="5"/>
        <v>24.166187317761828</v>
      </c>
      <c r="W28" s="262">
        <f t="shared" si="5"/>
        <v>24.271865888030703</v>
      </c>
      <c r="X28" s="262">
        <f t="shared" si="5"/>
        <v>24.377890422439208</v>
      </c>
      <c r="Y28" s="262">
        <f t="shared" si="5"/>
        <v>24.484262053583883</v>
      </c>
      <c r="Z28" s="262">
        <f t="shared" si="5"/>
        <v>31.13207830132297</v>
      </c>
      <c r="AA28" s="262">
        <f t="shared" si="5"/>
        <v>31.260561386023198</v>
      </c>
      <c r="AB28" s="262">
        <f t="shared" si="5"/>
        <v>7.7949704545454743</v>
      </c>
      <c r="AC28" s="262">
        <f t="shared" si="5"/>
        <v>24.362727327484876</v>
      </c>
      <c r="AD28" s="262">
        <f t="shared" si="5"/>
        <v>24.470851561458581</v>
      </c>
      <c r="AE28" s="262">
        <f t="shared" si="5"/>
        <v>24.579329766038455</v>
      </c>
      <c r="AF28" s="262">
        <f t="shared" si="5"/>
        <v>24.688163100032185</v>
      </c>
      <c r="AG28" s="262">
        <f t="shared" si="5"/>
        <v>24.797352726041019</v>
      </c>
      <c r="AH28" s="262">
        <f t="shared" si="5"/>
        <v>24.906899810472328</v>
      </c>
      <c r="AI28" s="262">
        <f t="shared" si="5"/>
        <v>25.016805523551973</v>
      </c>
      <c r="AJ28" s="262">
        <f t="shared" ref="AJ28:BK28" si="6">AJ20+SUM(AJ21:AJ27)</f>
        <v>25.127071039336794</v>
      </c>
      <c r="AK28" s="262">
        <f t="shared" si="6"/>
        <v>25.237697535727264</v>
      </c>
      <c r="AL28" s="262">
        <f t="shared" si="6"/>
        <v>32.15142643337591</v>
      </c>
      <c r="AM28" s="262">
        <f t="shared" si="6"/>
        <v>32.285048841464146</v>
      </c>
      <c r="AN28" s="262">
        <f t="shared" si="6"/>
        <v>7.864318822727304</v>
      </c>
      <c r="AO28" s="262">
        <f t="shared" si="6"/>
        <v>25.094785970584294</v>
      </c>
      <c r="AP28" s="262">
        <f t="shared" si="6"/>
        <v>25.207235173916949</v>
      </c>
      <c r="AQ28" s="262">
        <f t="shared" si="6"/>
        <v>25.320052506680014</v>
      </c>
      <c r="AR28" s="262">
        <f t="shared" si="6"/>
        <v>25.433239174033481</v>
      </c>
      <c r="AS28" s="262">
        <f t="shared" si="6"/>
        <v>25.546796385082672</v>
      </c>
      <c r="AT28" s="262">
        <f t="shared" si="6"/>
        <v>25.660725352891241</v>
      </c>
      <c r="AU28" s="262">
        <f t="shared" si="6"/>
        <v>25.775027294494066</v>
      </c>
      <c r="AV28" s="262">
        <f t="shared" si="6"/>
        <v>25.889703430910295</v>
      </c>
      <c r="AW28" s="262">
        <f t="shared" si="6"/>
        <v>26.004754987156382</v>
      </c>
      <c r="AX28" s="262">
        <f t="shared" si="6"/>
        <v>33.195033040710982</v>
      </c>
      <c r="AY28" s="262">
        <f t="shared" si="6"/>
        <v>33.334000345122739</v>
      </c>
      <c r="AZ28" s="262">
        <f t="shared" si="6"/>
        <v>7.9187695941364176</v>
      </c>
      <c r="BA28" s="262">
        <f t="shared" si="6"/>
        <v>25.838455427907686</v>
      </c>
      <c r="BB28" s="262">
        <f t="shared" si="6"/>
        <v>25.955402599373645</v>
      </c>
      <c r="BC28" s="262">
        <f t="shared" si="6"/>
        <v>26.072732625447259</v>
      </c>
      <c r="BD28" s="262">
        <f t="shared" si="6"/>
        <v>26.190446759494865</v>
      </c>
      <c r="BE28" s="262">
        <f t="shared" si="6"/>
        <v>26.30854625898602</v>
      </c>
      <c r="BF28" s="262">
        <f t="shared" si="6"/>
        <v>26.427032385506926</v>
      </c>
      <c r="BG28" s="262">
        <f t="shared" si="6"/>
        <v>26.545906404773859</v>
      </c>
      <c r="BH28" s="262">
        <f t="shared" si="6"/>
        <v>26.665169586646741</v>
      </c>
      <c r="BI28" s="262">
        <f t="shared" si="6"/>
        <v>26.784823205142672</v>
      </c>
      <c r="BJ28" s="262">
        <f t="shared" si="6"/>
        <v>34.26271238083946</v>
      </c>
      <c r="BK28" s="262">
        <f t="shared" si="6"/>
        <v>34.407238377427689</v>
      </c>
      <c r="BL28" s="260">
        <f t="shared" si="0"/>
        <v>289.50493349208205</v>
      </c>
      <c r="BM28" s="260">
        <f t="shared" si="1"/>
        <v>286.66304242262368</v>
      </c>
      <c r="BN28" s="260">
        <f t="shared" si="2"/>
        <v>295.41834411952902</v>
      </c>
      <c r="BO28" s="260">
        <f t="shared" si="3"/>
        <v>304.32567248431036</v>
      </c>
      <c r="BP28" s="260">
        <f t="shared" si="4"/>
        <v>313.37723560568321</v>
      </c>
    </row>
    <row r="29" spans="1:68" x14ac:dyDescent="0.15">
      <c r="A29" s="232" t="s">
        <v>133</v>
      </c>
      <c r="B29" t="s">
        <v>134</v>
      </c>
      <c r="D29" s="263">
        <f t="shared" ref="D29:AI29" si="7">IFERROR(D28/D20,0)</f>
        <v>0.55844444444444441</v>
      </c>
      <c r="E29" s="263">
        <f t="shared" si="7"/>
        <v>0.74482842577130703</v>
      </c>
      <c r="F29" s="263">
        <f t="shared" si="7"/>
        <v>0.69929081405428306</v>
      </c>
      <c r="G29" s="263">
        <f t="shared" si="7"/>
        <v>0.70004363136644876</v>
      </c>
      <c r="H29" s="263">
        <f t="shared" si="7"/>
        <v>0.70079399219252703</v>
      </c>
      <c r="I29" s="263">
        <f t="shared" si="7"/>
        <v>0.701541904548173</v>
      </c>
      <c r="J29" s="263">
        <f t="shared" si="7"/>
        <v>0.7022873764228863</v>
      </c>
      <c r="K29" s="263">
        <f t="shared" si="7"/>
        <v>0.70303041578009617</v>
      </c>
      <c r="L29" s="263">
        <f t="shared" si="7"/>
        <v>0.70377103055724677</v>
      </c>
      <c r="M29" s="263">
        <f t="shared" si="7"/>
        <v>0.70450922866588195</v>
      </c>
      <c r="N29" s="263">
        <f t="shared" si="7"/>
        <v>0.74270418165977492</v>
      </c>
      <c r="O29" s="263">
        <f t="shared" si="7"/>
        <v>0.74331533866232236</v>
      </c>
      <c r="P29" s="263">
        <f t="shared" si="7"/>
        <v>0.45318643162393191</v>
      </c>
      <c r="Q29" s="263">
        <f t="shared" si="7"/>
        <v>0.69237115082889555</v>
      </c>
      <c r="R29" s="263">
        <f t="shared" si="7"/>
        <v>0.69314654739922588</v>
      </c>
      <c r="S29" s="263">
        <f t="shared" si="7"/>
        <v>0.69391941380605371</v>
      </c>
      <c r="T29" s="263">
        <f t="shared" si="7"/>
        <v>0.6946897583054481</v>
      </c>
      <c r="U29" s="263">
        <f t="shared" si="7"/>
        <v>0.69545758912653732</v>
      </c>
      <c r="V29" s="263">
        <f t="shared" si="7"/>
        <v>0.69622291447159823</v>
      </c>
      <c r="W29" s="263">
        <f t="shared" si="7"/>
        <v>0.69698574251614265</v>
      </c>
      <c r="X29" s="263">
        <f t="shared" si="7"/>
        <v>0.69774608140900574</v>
      </c>
      <c r="Y29" s="263">
        <f t="shared" si="7"/>
        <v>0.69850393927243182</v>
      </c>
      <c r="Z29" s="263">
        <f t="shared" si="7"/>
        <v>0.73771610350180228</v>
      </c>
      <c r="AA29" s="263">
        <f t="shared" si="7"/>
        <v>0.7383435368896023</v>
      </c>
      <c r="AB29" s="263">
        <f t="shared" si="7"/>
        <v>0.44042095558021099</v>
      </c>
      <c r="AC29" s="263">
        <f t="shared" si="7"/>
        <v>0.68600924004745112</v>
      </c>
      <c r="AD29" s="263">
        <f t="shared" si="7"/>
        <v>0.68680539589771694</v>
      </c>
      <c r="AE29" s="263">
        <f t="shared" si="7"/>
        <v>0.68759895384575864</v>
      </c>
      <c r="AF29" s="263">
        <f t="shared" si="7"/>
        <v>0.68838992236868057</v>
      </c>
      <c r="AG29" s="263">
        <f t="shared" si="7"/>
        <v>0.6891783099159251</v>
      </c>
      <c r="AH29" s="263">
        <f t="shared" si="7"/>
        <v>0.68996412490936421</v>
      </c>
      <c r="AI29" s="263">
        <f t="shared" si="7"/>
        <v>0.69074737574338863</v>
      </c>
      <c r="AJ29" s="263">
        <f t="shared" ref="AJ29:BO29" si="8">IFERROR(AJ28/AJ20,0)</f>
        <v>0.69152807078499745</v>
      </c>
      <c r="AK29" s="263">
        <f t="shared" si="8"/>
        <v>0.69230621837388817</v>
      </c>
      <c r="AL29" s="263">
        <f t="shared" si="8"/>
        <v>0.73256818901878751</v>
      </c>
      <c r="AM29" s="263">
        <f t="shared" si="8"/>
        <v>0.73321242034694045</v>
      </c>
      <c r="AN29" s="263">
        <f t="shared" si="8"/>
        <v>0.427249215361937</v>
      </c>
      <c r="AO29" s="263">
        <f t="shared" si="8"/>
        <v>0.67944486001038695</v>
      </c>
      <c r="AP29" s="263">
        <f t="shared" si="8"/>
        <v>0.68026243580938728</v>
      </c>
      <c r="AQ29" s="263">
        <f t="shared" si="8"/>
        <v>0.68107734381164164</v>
      </c>
      <c r="AR29" s="263">
        <f t="shared" si="8"/>
        <v>0.68188959272232408</v>
      </c>
      <c r="AS29" s="263">
        <f t="shared" si="8"/>
        <v>0.68269919121820299</v>
      </c>
      <c r="AT29" s="263">
        <f t="shared" si="8"/>
        <v>0.68350614794773412</v>
      </c>
      <c r="AU29" s="263">
        <f t="shared" si="8"/>
        <v>0.68431047153115221</v>
      </c>
      <c r="AV29" s="263">
        <f t="shared" si="8"/>
        <v>0.6851121705605645</v>
      </c>
      <c r="AW29" s="263">
        <f t="shared" si="8"/>
        <v>0.68591125360004113</v>
      </c>
      <c r="AX29" s="263">
        <f t="shared" si="8"/>
        <v>0.7272564409880895</v>
      </c>
      <c r="AY29" s="263">
        <f t="shared" si="8"/>
        <v>0.72791800485486213</v>
      </c>
      <c r="AZ29" s="263">
        <f t="shared" si="8"/>
        <v>0.41366095447517809</v>
      </c>
      <c r="BA29" s="263">
        <f t="shared" si="8"/>
        <v>0.67267289920450102</v>
      </c>
      <c r="BB29" s="263">
        <f t="shared" si="8"/>
        <v>0.67351257230019579</v>
      </c>
      <c r="BC29" s="263">
        <f t="shared" si="8"/>
        <v>0.67434950549439765</v>
      </c>
      <c r="BD29" s="263">
        <f t="shared" si="8"/>
        <v>0.67518370772756242</v>
      </c>
      <c r="BE29" s="263">
        <f t="shared" si="8"/>
        <v>0.67601518791097259</v>
      </c>
      <c r="BF29" s="263">
        <f t="shared" si="8"/>
        <v>0.6768439549268328</v>
      </c>
      <c r="BG29" s="263">
        <f t="shared" si="8"/>
        <v>0.67767001762836432</v>
      </c>
      <c r="BH29" s="263">
        <f t="shared" si="8"/>
        <v>0.67849338483990018</v>
      </c>
      <c r="BI29" s="263">
        <f t="shared" si="8"/>
        <v>0.67931406535697869</v>
      </c>
      <c r="BJ29" s="263">
        <f t="shared" si="8"/>
        <v>0.72177672328869857</v>
      </c>
      <c r="BK29" s="263">
        <f t="shared" si="8"/>
        <v>0.72245616778875832</v>
      </c>
      <c r="BL29" s="264">
        <f t="shared" si="8"/>
        <v>0.70721328898469882</v>
      </c>
      <c r="BM29" s="264">
        <f t="shared" si="8"/>
        <v>0.69419509058622708</v>
      </c>
      <c r="BN29" s="264">
        <f t="shared" si="8"/>
        <v>0.68788201117373216</v>
      </c>
      <c r="BO29" s="264">
        <f t="shared" si="8"/>
        <v>0.68136801657502521</v>
      </c>
      <c r="BP29" s="264">
        <f t="shared" ref="BP29" si="9">IFERROR(BP28/BP20,0)</f>
        <v>0.67464803451074429</v>
      </c>
    </row>
    <row r="30" spans="1:68" x14ac:dyDescent="0.15">
      <c r="A30" t="s">
        <v>111</v>
      </c>
      <c r="B30" t="s">
        <v>236</v>
      </c>
      <c r="D30" s="259">
        <f t="shared" ref="D30:AI30" si="10">-MAX(D28,0)*D12</f>
        <v>-0.57113636363636366</v>
      </c>
      <c r="E30" s="259">
        <f t="shared" si="10"/>
        <v>-1.5285002731765918</v>
      </c>
      <c r="F30" s="259">
        <f t="shared" si="10"/>
        <v>-1.151798565156182</v>
      </c>
      <c r="G30" s="259">
        <f t="shared" si="10"/>
        <v>-1.1568132750572488</v>
      </c>
      <c r="H30" s="259">
        <f t="shared" si="10"/>
        <v>-1.1618444018136154</v>
      </c>
      <c r="I30" s="259">
        <f t="shared" si="10"/>
        <v>-1.1668919991697928</v>
      </c>
      <c r="J30" s="259">
        <f t="shared" si="10"/>
        <v>-1.1719561210462401</v>
      </c>
      <c r="K30" s="259">
        <f t="shared" si="10"/>
        <v>-1.1770368215399367</v>
      </c>
      <c r="L30" s="259">
        <f t="shared" si="10"/>
        <v>-1.18213415492496</v>
      </c>
      <c r="M30" s="259">
        <f t="shared" si="10"/>
        <v>-1.1872481756530699</v>
      </c>
      <c r="N30" s="259">
        <f t="shared" si="10"/>
        <v>-1.5068547260251408</v>
      </c>
      <c r="O30" s="259">
        <f t="shared" si="10"/>
        <v>-1.5130317974049594</v>
      </c>
      <c r="P30" s="259">
        <f t="shared" si="10"/>
        <v>-0.38562045454545502</v>
      </c>
      <c r="Q30" s="259">
        <f t="shared" si="10"/>
        <v>-1.1821472272829254</v>
      </c>
      <c r="R30" s="259">
        <f t="shared" si="10"/>
        <v>-1.1873455077624304</v>
      </c>
      <c r="S30" s="259">
        <f t="shared" si="10"/>
        <v>-1.1925608060595396</v>
      </c>
      <c r="T30" s="259">
        <f t="shared" si="10"/>
        <v>-1.197793177886161</v>
      </c>
      <c r="U30" s="259">
        <f t="shared" si="10"/>
        <v>-1.203042679136586</v>
      </c>
      <c r="V30" s="259">
        <f t="shared" si="10"/>
        <v>-1.2083093658880915</v>
      </c>
      <c r="W30" s="259">
        <f t="shared" si="10"/>
        <v>-1.2135932944015353</v>
      </c>
      <c r="X30" s="259">
        <f t="shared" si="10"/>
        <v>-1.2188945211219604</v>
      </c>
      <c r="Y30" s="259">
        <f t="shared" si="10"/>
        <v>-1.2242131026791943</v>
      </c>
      <c r="Z30" s="259">
        <f t="shared" si="10"/>
        <v>-1.5566039150661486</v>
      </c>
      <c r="AA30" s="259">
        <f t="shared" si="10"/>
        <v>-1.56302806930116</v>
      </c>
      <c r="AB30" s="259">
        <f t="shared" si="10"/>
        <v>-0.38974852272727373</v>
      </c>
      <c r="AC30" s="259">
        <f t="shared" si="10"/>
        <v>-1.2181363663742439</v>
      </c>
      <c r="AD30" s="259">
        <f t="shared" si="10"/>
        <v>-1.2235425780729292</v>
      </c>
      <c r="AE30" s="259">
        <f t="shared" si="10"/>
        <v>-1.2289664883019229</v>
      </c>
      <c r="AF30" s="259">
        <f t="shared" si="10"/>
        <v>-1.2344081550016093</v>
      </c>
      <c r="AG30" s="259">
        <f t="shared" si="10"/>
        <v>-1.2398676363020511</v>
      </c>
      <c r="AH30" s="259">
        <f t="shared" si="10"/>
        <v>-1.2453449905236165</v>
      </c>
      <c r="AI30" s="259">
        <f t="shared" si="10"/>
        <v>-1.2508402761775987</v>
      </c>
      <c r="AJ30" s="259">
        <f t="shared" ref="AJ30:BK30" si="11">-MAX(AJ28,0)*AJ12</f>
        <v>-1.2563535519668398</v>
      </c>
      <c r="AK30" s="259">
        <f t="shared" si="11"/>
        <v>-1.2618848767863633</v>
      </c>
      <c r="AL30" s="259">
        <f t="shared" si="11"/>
        <v>-1.6075713216687957</v>
      </c>
      <c r="AM30" s="259">
        <f t="shared" si="11"/>
        <v>-1.6142524420732074</v>
      </c>
      <c r="AN30" s="259">
        <f t="shared" si="11"/>
        <v>-0.39321594113636521</v>
      </c>
      <c r="AO30" s="259">
        <f t="shared" si="11"/>
        <v>-1.2547392985292147</v>
      </c>
      <c r="AP30" s="259">
        <f t="shared" si="11"/>
        <v>-1.2603617586958475</v>
      </c>
      <c r="AQ30" s="259">
        <f t="shared" si="11"/>
        <v>-1.2660026253340009</v>
      </c>
      <c r="AR30" s="259">
        <f t="shared" si="11"/>
        <v>-1.2716619587016742</v>
      </c>
      <c r="AS30" s="259">
        <f t="shared" si="11"/>
        <v>-1.2773398192541336</v>
      </c>
      <c r="AT30" s="259">
        <f t="shared" si="11"/>
        <v>-1.2830362676445621</v>
      </c>
      <c r="AU30" s="259">
        <f t="shared" si="11"/>
        <v>-1.2887513647247033</v>
      </c>
      <c r="AV30" s="259">
        <f t="shared" si="11"/>
        <v>-1.2944851715455148</v>
      </c>
      <c r="AW30" s="259">
        <f t="shared" si="11"/>
        <v>-1.3002377493578192</v>
      </c>
      <c r="AX30" s="259">
        <f t="shared" si="11"/>
        <v>-1.6597516520355491</v>
      </c>
      <c r="AY30" s="259">
        <f t="shared" si="11"/>
        <v>-1.666700017256137</v>
      </c>
      <c r="AZ30" s="259">
        <f t="shared" si="11"/>
        <v>-0.39593847970682089</v>
      </c>
      <c r="BA30" s="259">
        <f t="shared" si="11"/>
        <v>-1.2919227713953845</v>
      </c>
      <c r="BB30" s="259">
        <f t="shared" si="11"/>
        <v>-1.2977701299686824</v>
      </c>
      <c r="BC30" s="259">
        <f t="shared" si="11"/>
        <v>-1.3036366312723631</v>
      </c>
      <c r="BD30" s="259">
        <f t="shared" si="11"/>
        <v>-1.3095223379747434</v>
      </c>
      <c r="BE30" s="259">
        <f t="shared" si="11"/>
        <v>-1.315427312949301</v>
      </c>
      <c r="BF30" s="259">
        <f t="shared" si="11"/>
        <v>-1.3213516192753465</v>
      </c>
      <c r="BG30" s="259">
        <f t="shared" si="11"/>
        <v>-1.327295320238693</v>
      </c>
      <c r="BH30" s="259">
        <f t="shared" si="11"/>
        <v>-1.3332584793323372</v>
      </c>
      <c r="BI30" s="259">
        <f t="shared" si="11"/>
        <v>-1.3392411602571337</v>
      </c>
      <c r="BJ30" s="259">
        <f t="shared" si="11"/>
        <v>-1.7131356190419731</v>
      </c>
      <c r="BK30" s="259">
        <f t="shared" si="11"/>
        <v>-1.7203619188713846</v>
      </c>
      <c r="BL30" s="261">
        <f>SUM(D30:O30)</f>
        <v>-14.475246674604101</v>
      </c>
      <c r="BM30" s="261">
        <f>SUM(P30:AA30)</f>
        <v>-14.333152121131185</v>
      </c>
      <c r="BN30" s="261">
        <f>SUM(AB30:AM30)</f>
        <v>-14.770917205976451</v>
      </c>
      <c r="BO30" s="261">
        <f>SUM(AN30:AY30)</f>
        <v>-15.216283624215523</v>
      </c>
      <c r="BP30" s="261">
        <f>SUM(AZ30:BK30)</f>
        <v>-15.668861780284162</v>
      </c>
    </row>
    <row r="31" spans="1:68" x14ac:dyDescent="0.15">
      <c r="A31" s="232" t="s">
        <v>254</v>
      </c>
      <c r="B31" t="s">
        <v>236</v>
      </c>
      <c r="D31" s="259">
        <f t="shared" ref="D31:AI31" si="12">D28+D30</f>
        <v>10.851590909090909</v>
      </c>
      <c r="E31" s="259">
        <f t="shared" si="12"/>
        <v>29.041505190355238</v>
      </c>
      <c r="F31" s="259">
        <f t="shared" si="12"/>
        <v>21.884172737967457</v>
      </c>
      <c r="G31" s="259">
        <f t="shared" si="12"/>
        <v>21.979452226087727</v>
      </c>
      <c r="H31" s="259">
        <f t="shared" si="12"/>
        <v>22.075043634458691</v>
      </c>
      <c r="I31" s="259">
        <f t="shared" si="12"/>
        <v>22.170947984226064</v>
      </c>
      <c r="J31" s="259">
        <f t="shared" si="12"/>
        <v>22.267166299878564</v>
      </c>
      <c r="K31" s="259">
        <f t="shared" si="12"/>
        <v>22.363699609258799</v>
      </c>
      <c r="L31" s="259">
        <f t="shared" si="12"/>
        <v>22.460548943574238</v>
      </c>
      <c r="M31" s="259">
        <f t="shared" si="12"/>
        <v>22.557715337408325</v>
      </c>
      <c r="N31" s="259">
        <f t="shared" si="12"/>
        <v>28.630239794477674</v>
      </c>
      <c r="O31" s="259">
        <f t="shared" si="12"/>
        <v>28.747604150694226</v>
      </c>
      <c r="P31" s="259">
        <f t="shared" si="12"/>
        <v>7.326788636363645</v>
      </c>
      <c r="Q31" s="259">
        <f t="shared" si="12"/>
        <v>22.460797318375583</v>
      </c>
      <c r="R31" s="259">
        <f t="shared" si="12"/>
        <v>22.559564647486177</v>
      </c>
      <c r="S31" s="259">
        <f t="shared" si="12"/>
        <v>22.658655315131252</v>
      </c>
      <c r="T31" s="259">
        <f t="shared" si="12"/>
        <v>22.758070379837058</v>
      </c>
      <c r="U31" s="259">
        <f t="shared" si="12"/>
        <v>22.85781090359513</v>
      </c>
      <c r="V31" s="259">
        <f t="shared" si="12"/>
        <v>22.957877951873737</v>
      </c>
      <c r="W31" s="259">
        <f t="shared" si="12"/>
        <v>23.058272593629169</v>
      </c>
      <c r="X31" s="259">
        <f t="shared" si="12"/>
        <v>23.158995901317248</v>
      </c>
      <c r="Y31" s="259">
        <f t="shared" si="12"/>
        <v>23.260048950904689</v>
      </c>
      <c r="Z31" s="259">
        <f t="shared" si="12"/>
        <v>29.575474386256822</v>
      </c>
      <c r="AA31" s="259">
        <f t="shared" si="12"/>
        <v>29.697533316722037</v>
      </c>
      <c r="AB31" s="259">
        <f t="shared" si="12"/>
        <v>7.4052219318182004</v>
      </c>
      <c r="AC31" s="259">
        <f t="shared" si="12"/>
        <v>23.144590961110634</v>
      </c>
      <c r="AD31" s="259">
        <f t="shared" si="12"/>
        <v>23.247308983385651</v>
      </c>
      <c r="AE31" s="259">
        <f t="shared" si="12"/>
        <v>23.350363277736534</v>
      </c>
      <c r="AF31" s="259">
        <f t="shared" si="12"/>
        <v>23.453754945030575</v>
      </c>
      <c r="AG31" s="259">
        <f t="shared" si="12"/>
        <v>23.557485089738968</v>
      </c>
      <c r="AH31" s="259">
        <f t="shared" si="12"/>
        <v>23.661554819948712</v>
      </c>
      <c r="AI31" s="259">
        <f t="shared" si="12"/>
        <v>23.765965247374375</v>
      </c>
      <c r="AJ31" s="259">
        <f t="shared" ref="AJ31:BK31" si="13">AJ28+AJ30</f>
        <v>23.870717487369955</v>
      </c>
      <c r="AK31" s="259">
        <f t="shared" si="13"/>
        <v>23.9758126589409</v>
      </c>
      <c r="AL31" s="259">
        <f t="shared" si="13"/>
        <v>30.543855111707114</v>
      </c>
      <c r="AM31" s="259">
        <f t="shared" si="13"/>
        <v>30.670796399390937</v>
      </c>
      <c r="AN31" s="259">
        <f t="shared" si="13"/>
        <v>7.471102881590939</v>
      </c>
      <c r="AO31" s="259">
        <f t="shared" si="13"/>
        <v>23.840046672055077</v>
      </c>
      <c r="AP31" s="259">
        <f t="shared" si="13"/>
        <v>23.946873415221102</v>
      </c>
      <c r="AQ31" s="259">
        <f t="shared" si="13"/>
        <v>24.054049881346014</v>
      </c>
      <c r="AR31" s="259">
        <f t="shared" si="13"/>
        <v>24.161577215331807</v>
      </c>
      <c r="AS31" s="259">
        <f t="shared" si="13"/>
        <v>24.269456565828538</v>
      </c>
      <c r="AT31" s="259">
        <f t="shared" si="13"/>
        <v>24.377689085246679</v>
      </c>
      <c r="AU31" s="259">
        <f t="shared" si="13"/>
        <v>24.486275929769363</v>
      </c>
      <c r="AV31" s="259">
        <f t="shared" si="13"/>
        <v>24.595218259364781</v>
      </c>
      <c r="AW31" s="259">
        <f t="shared" si="13"/>
        <v>24.704517237798562</v>
      </c>
      <c r="AX31" s="259">
        <f t="shared" si="13"/>
        <v>31.535281388675433</v>
      </c>
      <c r="AY31" s="259">
        <f t="shared" si="13"/>
        <v>31.667300327866602</v>
      </c>
      <c r="AZ31" s="259">
        <f t="shared" si="13"/>
        <v>7.5228311144295965</v>
      </c>
      <c r="BA31" s="259">
        <f t="shared" si="13"/>
        <v>24.546532656512301</v>
      </c>
      <c r="BB31" s="259">
        <f t="shared" si="13"/>
        <v>24.657632469404962</v>
      </c>
      <c r="BC31" s="259">
        <f t="shared" si="13"/>
        <v>24.769095994174897</v>
      </c>
      <c r="BD31" s="259">
        <f t="shared" si="13"/>
        <v>24.88092442152012</v>
      </c>
      <c r="BE31" s="259">
        <f t="shared" si="13"/>
        <v>24.99311894603672</v>
      </c>
      <c r="BF31" s="259">
        <f t="shared" si="13"/>
        <v>25.105680766231579</v>
      </c>
      <c r="BG31" s="259">
        <f t="shared" si="13"/>
        <v>25.218611084535166</v>
      </c>
      <c r="BH31" s="259">
        <f t="shared" si="13"/>
        <v>25.331911107314404</v>
      </c>
      <c r="BI31" s="259">
        <f t="shared" si="13"/>
        <v>25.445582044885537</v>
      </c>
      <c r="BJ31" s="259">
        <f t="shared" si="13"/>
        <v>32.549576761797489</v>
      </c>
      <c r="BK31" s="259">
        <f t="shared" si="13"/>
        <v>32.686876458556306</v>
      </c>
      <c r="BL31" s="260">
        <f>SUM(D31:O31)</f>
        <v>275.02968681747785</v>
      </c>
      <c r="BM31" s="260">
        <f>SUM(P31:AA31)</f>
        <v>272.32989030149253</v>
      </c>
      <c r="BN31" s="260">
        <f>SUM(AB31:AM31)</f>
        <v>280.64742691355252</v>
      </c>
      <c r="BO31" s="260">
        <f>SUM(AN31:AY31)</f>
        <v>289.1093888600949</v>
      </c>
      <c r="BP31" s="260">
        <f>SUM(AZ31:BK31)</f>
        <v>297.70837382539906</v>
      </c>
    </row>
    <row r="32" spans="1:68" x14ac:dyDescent="0.15">
      <c r="A32" t="s">
        <v>255</v>
      </c>
      <c r="B32" t="s">
        <v>236</v>
      </c>
      <c r="D32" s="259">
        <f t="shared" ref="D32:AI32" si="14">D20*2</f>
        <v>40.909090909090907</v>
      </c>
      <c r="E32" s="259">
        <f t="shared" si="14"/>
        <v>82.086033254907164</v>
      </c>
      <c r="F32" s="259">
        <f t="shared" si="14"/>
        <v>65.88380925402933</v>
      </c>
      <c r="G32" s="259">
        <f t="shared" si="14"/>
        <v>66.099495701387042</v>
      </c>
      <c r="H32" s="259">
        <f t="shared" si="14"/>
        <v>66.315888250047962</v>
      </c>
      <c r="I32" s="259">
        <f t="shared" si="14"/>
        <v>66.53298921160399</v>
      </c>
      <c r="J32" s="259">
        <f t="shared" si="14"/>
        <v>66.750800905214632</v>
      </c>
      <c r="K32" s="259">
        <f t="shared" si="14"/>
        <v>66.969325657631686</v>
      </c>
      <c r="L32" s="259">
        <f t="shared" si="14"/>
        <v>67.18856580322408</v>
      </c>
      <c r="M32" s="259">
        <f t="shared" si="14"/>
        <v>67.408523684003001</v>
      </c>
      <c r="N32" s="259">
        <f t="shared" si="14"/>
        <v>81.155041979575941</v>
      </c>
      <c r="O32" s="259">
        <f t="shared" si="14"/>
        <v>81.420722469030508</v>
      </c>
      <c r="P32" s="259">
        <f t="shared" si="14"/>
        <v>34.036363636363653</v>
      </c>
      <c r="Q32" s="259">
        <f t="shared" si="14"/>
        <v>68.295579668082809</v>
      </c>
      <c r="R32" s="259">
        <f t="shared" si="14"/>
        <v>68.519161624190545</v>
      </c>
      <c r="S32" s="259">
        <f t="shared" si="14"/>
        <v>68.743475529442563</v>
      </c>
      <c r="T32" s="259">
        <f t="shared" si="14"/>
        <v>68.968523780049935</v>
      </c>
      <c r="U32" s="259">
        <f t="shared" si="14"/>
        <v>69.194308780068212</v>
      </c>
      <c r="V32" s="259">
        <f t="shared" si="14"/>
        <v>69.420832941423285</v>
      </c>
      <c r="W32" s="259">
        <f t="shared" si="14"/>
        <v>69.648098683936993</v>
      </c>
      <c r="X32" s="259">
        <f t="shared" si="14"/>
        <v>69.876108435353132</v>
      </c>
      <c r="Y32" s="259">
        <f t="shared" si="14"/>
        <v>70.104864631363185</v>
      </c>
      <c r="Z32" s="259">
        <f t="shared" si="14"/>
        <v>84.401243658759071</v>
      </c>
      <c r="AA32" s="259">
        <f t="shared" si="14"/>
        <v>84.677551367791821</v>
      </c>
      <c r="AB32" s="259">
        <f t="shared" si="14"/>
        <v>35.397818181818224</v>
      </c>
      <c r="AC32" s="259">
        <f t="shared" si="14"/>
        <v>71.027402854806184</v>
      </c>
      <c r="AD32" s="259">
        <f t="shared" si="14"/>
        <v>71.259928089158237</v>
      </c>
      <c r="AE32" s="259">
        <f t="shared" si="14"/>
        <v>71.493214550620337</v>
      </c>
      <c r="AF32" s="259">
        <f t="shared" si="14"/>
        <v>71.727264731252006</v>
      </c>
      <c r="AG32" s="259">
        <f t="shared" si="14"/>
        <v>71.962081131271006</v>
      </c>
      <c r="AH32" s="259">
        <f t="shared" si="14"/>
        <v>72.197666259080279</v>
      </c>
      <c r="AI32" s="259">
        <f t="shared" si="14"/>
        <v>72.434022631294567</v>
      </c>
      <c r="AJ32" s="259">
        <f t="shared" ref="AJ32:BK32" si="15">AJ20*2</f>
        <v>72.6711527727673</v>
      </c>
      <c r="AK32" s="259">
        <f t="shared" si="15"/>
        <v>72.909059216617777</v>
      </c>
      <c r="AL32" s="259">
        <f t="shared" si="15"/>
        <v>87.777293405109489</v>
      </c>
      <c r="AM32" s="259">
        <f t="shared" si="15"/>
        <v>88.06465342250354</v>
      </c>
      <c r="AN32" s="259">
        <f t="shared" si="15"/>
        <v>36.813730909090978</v>
      </c>
      <c r="AO32" s="259">
        <f t="shared" si="15"/>
        <v>73.86849896899848</v>
      </c>
      <c r="AP32" s="259">
        <f t="shared" si="15"/>
        <v>74.110325212724618</v>
      </c>
      <c r="AQ32" s="259">
        <f t="shared" si="15"/>
        <v>74.352943132645194</v>
      </c>
      <c r="AR32" s="259">
        <f t="shared" si="15"/>
        <v>74.596355320502113</v>
      </c>
      <c r="AS32" s="259">
        <f t="shared" si="15"/>
        <v>74.840564376521883</v>
      </c>
      <c r="AT32" s="259">
        <f t="shared" si="15"/>
        <v>75.085572909443528</v>
      </c>
      <c r="AU32" s="259">
        <f t="shared" si="15"/>
        <v>75.331383536546383</v>
      </c>
      <c r="AV32" s="259">
        <f t="shared" si="15"/>
        <v>75.577998883678049</v>
      </c>
      <c r="AW32" s="259">
        <f t="shared" si="15"/>
        <v>75.825421585282541</v>
      </c>
      <c r="AX32" s="259">
        <f t="shared" si="15"/>
        <v>91.288385141313938</v>
      </c>
      <c r="AY32" s="259">
        <f t="shared" si="15"/>
        <v>91.587239559403741</v>
      </c>
      <c r="AZ32" s="259">
        <f t="shared" si="15"/>
        <v>38.286280145454661</v>
      </c>
      <c r="BA32" s="259">
        <f t="shared" si="15"/>
        <v>76.823238927758467</v>
      </c>
      <c r="BB32" s="259">
        <f t="shared" si="15"/>
        <v>77.074738221233645</v>
      </c>
      <c r="BC32" s="259">
        <f t="shared" si="15"/>
        <v>77.327060857951096</v>
      </c>
      <c r="BD32" s="259">
        <f t="shared" si="15"/>
        <v>77.580209533322289</v>
      </c>
      <c r="BE32" s="259">
        <f t="shared" si="15"/>
        <v>77.834186951582836</v>
      </c>
      <c r="BF32" s="259">
        <f t="shared" si="15"/>
        <v>78.088995825821343</v>
      </c>
      <c r="BG32" s="259">
        <f t="shared" si="15"/>
        <v>78.344638878008297</v>
      </c>
      <c r="BH32" s="259">
        <f t="shared" si="15"/>
        <v>78.601118839025247</v>
      </c>
      <c r="BI32" s="259">
        <f t="shared" si="15"/>
        <v>78.858438448693917</v>
      </c>
      <c r="BJ32" s="259">
        <f t="shared" si="15"/>
        <v>94.939920546966576</v>
      </c>
      <c r="BK32" s="259">
        <f t="shared" si="15"/>
        <v>95.250729141779985</v>
      </c>
      <c r="BL32" s="261">
        <f>O32</f>
        <v>81.420722469030508</v>
      </c>
      <c r="BM32" s="261">
        <f>AA32</f>
        <v>84.677551367791821</v>
      </c>
      <c r="BN32" s="261">
        <f>AM32</f>
        <v>88.06465342250354</v>
      </c>
      <c r="BO32" s="261">
        <f>AY32</f>
        <v>91.587239559403741</v>
      </c>
      <c r="BP32" s="261">
        <f>BK32</f>
        <v>95.250729141779985</v>
      </c>
    </row>
    <row r="33" spans="1:68" x14ac:dyDescent="0.15">
      <c r="A33" t="s">
        <v>256</v>
      </c>
      <c r="B33" t="s">
        <v>236</v>
      </c>
      <c r="D33" s="259">
        <f t="shared" ref="D33:AI33" si="16">(D21+D23+D25+D26)*2</f>
        <v>-4.0636363636363635</v>
      </c>
      <c r="E33" s="259">
        <f t="shared" si="16"/>
        <v>-6.9460223278435018</v>
      </c>
      <c r="F33" s="259">
        <f t="shared" si="16"/>
        <v>-5.8118666477820531</v>
      </c>
      <c r="G33" s="259">
        <f t="shared" si="16"/>
        <v>-5.8269646990970934</v>
      </c>
      <c r="H33" s="259">
        <f t="shared" si="16"/>
        <v>-5.8421121775033589</v>
      </c>
      <c r="I33" s="259">
        <f t="shared" si="16"/>
        <v>-5.8573092448122797</v>
      </c>
      <c r="J33" s="259">
        <f t="shared" si="16"/>
        <v>-5.8725560633650256</v>
      </c>
      <c r="K33" s="259">
        <f t="shared" si="16"/>
        <v>-5.8878527960342177</v>
      </c>
      <c r="L33" s="259">
        <f t="shared" si="16"/>
        <v>-5.9031996062256864</v>
      </c>
      <c r="M33" s="259">
        <f t="shared" si="16"/>
        <v>-5.9185966578802098</v>
      </c>
      <c r="N33" s="259">
        <f t="shared" si="16"/>
        <v>-6.8808529385703165</v>
      </c>
      <c r="O33" s="259">
        <f t="shared" si="16"/>
        <v>-6.8994505728321363</v>
      </c>
      <c r="P33" s="259">
        <f t="shared" si="16"/>
        <v>-3.631545454545456</v>
      </c>
      <c r="Q33" s="259">
        <f t="shared" si="16"/>
        <v>-6.0296905767657965</v>
      </c>
      <c r="R33" s="259">
        <f t="shared" si="16"/>
        <v>-6.0453413136933376</v>
      </c>
      <c r="S33" s="259">
        <f t="shared" si="16"/>
        <v>-6.0610432870609792</v>
      </c>
      <c r="T33" s="259">
        <f t="shared" si="16"/>
        <v>-6.0767966646034957</v>
      </c>
      <c r="U33" s="259">
        <f t="shared" si="16"/>
        <v>-6.0926016146047752</v>
      </c>
      <c r="V33" s="259">
        <f t="shared" si="16"/>
        <v>-6.1084583058996298</v>
      </c>
      <c r="W33" s="259">
        <f t="shared" si="16"/>
        <v>-6.12436690787559</v>
      </c>
      <c r="X33" s="259">
        <f t="shared" si="16"/>
        <v>-6.140327590474719</v>
      </c>
      <c r="Y33" s="259">
        <f t="shared" si="16"/>
        <v>-6.1563405241954223</v>
      </c>
      <c r="Z33" s="259">
        <f t="shared" si="16"/>
        <v>-7.1570870561131343</v>
      </c>
      <c r="AA33" s="259">
        <f t="shared" si="16"/>
        <v>-7.1764285957454268</v>
      </c>
      <c r="AB33" s="259">
        <f t="shared" si="16"/>
        <v>-3.7792772727272754</v>
      </c>
      <c r="AC33" s="259">
        <f t="shared" si="16"/>
        <v>-6.2733481998364331</v>
      </c>
      <c r="AD33" s="259">
        <f t="shared" si="16"/>
        <v>-6.2896249662410764</v>
      </c>
      <c r="AE33" s="259">
        <f t="shared" si="16"/>
        <v>-6.3059550185434237</v>
      </c>
      <c r="AF33" s="259">
        <f t="shared" si="16"/>
        <v>-6.3223385311876399</v>
      </c>
      <c r="AG33" s="259">
        <f t="shared" si="16"/>
        <v>-6.33877567918897</v>
      </c>
      <c r="AH33" s="259">
        <f t="shared" si="16"/>
        <v>-6.3552666381356193</v>
      </c>
      <c r="AI33" s="259">
        <f t="shared" si="16"/>
        <v>-6.3718115841906195</v>
      </c>
      <c r="AJ33" s="259">
        <f t="shared" ref="AJ33:BK33" si="17">(AJ21+AJ23+AJ25+AJ26)*2</f>
        <v>-6.3884106940937118</v>
      </c>
      <c r="AK33" s="259">
        <f t="shared" si="17"/>
        <v>-6.4050641451632444</v>
      </c>
      <c r="AL33" s="259">
        <f t="shared" si="17"/>
        <v>-7.4458405383576647</v>
      </c>
      <c r="AM33" s="259">
        <f t="shared" si="17"/>
        <v>-7.4659557395752483</v>
      </c>
      <c r="AN33" s="259">
        <f t="shared" si="17"/>
        <v>-3.9344912636363687</v>
      </c>
      <c r="AO33" s="259">
        <f t="shared" si="17"/>
        <v>-6.5283250278298937</v>
      </c>
      <c r="AP33" s="259">
        <f t="shared" si="17"/>
        <v>-6.5452528648907231</v>
      </c>
      <c r="AQ33" s="259">
        <f t="shared" si="17"/>
        <v>-6.5622361192851635</v>
      </c>
      <c r="AR33" s="259">
        <f t="shared" si="17"/>
        <v>-6.5792749724351482</v>
      </c>
      <c r="AS33" s="259">
        <f t="shared" si="17"/>
        <v>-6.5963696063565322</v>
      </c>
      <c r="AT33" s="259">
        <f t="shared" si="17"/>
        <v>-6.6135202036610465</v>
      </c>
      <c r="AU33" s="259">
        <f t="shared" si="17"/>
        <v>-6.6307269475582462</v>
      </c>
      <c r="AV33" s="259">
        <f t="shared" si="17"/>
        <v>-6.6479900218574635</v>
      </c>
      <c r="AW33" s="259">
        <f t="shared" si="17"/>
        <v>-6.6653096109697776</v>
      </c>
      <c r="AX33" s="259">
        <f t="shared" si="17"/>
        <v>-7.7477170598919765</v>
      </c>
      <c r="AY33" s="259">
        <f t="shared" si="17"/>
        <v>-7.7686368691582626</v>
      </c>
      <c r="AZ33" s="259">
        <f t="shared" si="17"/>
        <v>-4.0975968171818264</v>
      </c>
      <c r="BA33" s="259">
        <f t="shared" si="17"/>
        <v>-6.7951839319430931</v>
      </c>
      <c r="BB33" s="259">
        <f t="shared" si="17"/>
        <v>-6.8127888824863554</v>
      </c>
      <c r="BC33" s="259">
        <f t="shared" si="17"/>
        <v>-6.8304514670565766</v>
      </c>
      <c r="BD33" s="259">
        <f t="shared" si="17"/>
        <v>-6.8481718743325599</v>
      </c>
      <c r="BE33" s="259">
        <f t="shared" si="17"/>
        <v>-6.8659502936107986</v>
      </c>
      <c r="BF33" s="259">
        <f t="shared" si="17"/>
        <v>-6.8837869148074944</v>
      </c>
      <c r="BG33" s="259">
        <f t="shared" si="17"/>
        <v>-6.9016819284605804</v>
      </c>
      <c r="BH33" s="259">
        <f t="shared" si="17"/>
        <v>-6.919635525731767</v>
      </c>
      <c r="BI33" s="259">
        <f t="shared" si="17"/>
        <v>-6.9376478984085743</v>
      </c>
      <c r="BJ33" s="259">
        <f t="shared" si="17"/>
        <v>-8.0633516452876606</v>
      </c>
      <c r="BK33" s="259">
        <f t="shared" si="17"/>
        <v>-8.0851082469245998</v>
      </c>
      <c r="BL33" s="261">
        <f>O33</f>
        <v>-6.8994505728321363</v>
      </c>
      <c r="BM33" s="261">
        <f>AA33</f>
        <v>-7.1764285957454268</v>
      </c>
      <c r="BN33" s="261">
        <f>AM33</f>
        <v>-7.4659557395752483</v>
      </c>
      <c r="BO33" s="261">
        <f>AY33</f>
        <v>-7.7686368691582626</v>
      </c>
      <c r="BP33" s="261">
        <f>BK33</f>
        <v>-8.0851082469245998</v>
      </c>
    </row>
    <row r="34" spans="1:68" x14ac:dyDescent="0.15">
      <c r="A34" t="s">
        <v>257</v>
      </c>
      <c r="B34" t="s">
        <v>236</v>
      </c>
      <c r="D34" s="259">
        <f t="shared" ref="D34:AI34" si="18">D32+D33</f>
        <v>36.845454545454544</v>
      </c>
      <c r="E34" s="259">
        <f t="shared" si="18"/>
        <v>75.140010927063656</v>
      </c>
      <c r="F34" s="259">
        <f t="shared" si="18"/>
        <v>60.071942606247276</v>
      </c>
      <c r="G34" s="259">
        <f t="shared" si="18"/>
        <v>60.272531002289952</v>
      </c>
      <c r="H34" s="259">
        <f t="shared" si="18"/>
        <v>60.473776072544602</v>
      </c>
      <c r="I34" s="259">
        <f t="shared" si="18"/>
        <v>60.675679966791712</v>
      </c>
      <c r="J34" s="259">
        <f t="shared" si="18"/>
        <v>60.878244841849607</v>
      </c>
      <c r="K34" s="259">
        <f t="shared" si="18"/>
        <v>61.081472861597469</v>
      </c>
      <c r="L34" s="259">
        <f t="shared" si="18"/>
        <v>61.285366196998396</v>
      </c>
      <c r="M34" s="259">
        <f t="shared" si="18"/>
        <v>61.489927026122793</v>
      </c>
      <c r="N34" s="259">
        <f t="shared" si="18"/>
        <v>74.274189041005627</v>
      </c>
      <c r="O34" s="259">
        <f t="shared" si="18"/>
        <v>74.521271896198371</v>
      </c>
      <c r="P34" s="259">
        <f t="shared" si="18"/>
        <v>30.404818181818197</v>
      </c>
      <c r="Q34" s="259">
        <f t="shared" si="18"/>
        <v>62.265889091317014</v>
      </c>
      <c r="R34" s="259">
        <f t="shared" si="18"/>
        <v>62.47382031049721</v>
      </c>
      <c r="S34" s="259">
        <f t="shared" si="18"/>
        <v>62.68243224238158</v>
      </c>
      <c r="T34" s="259">
        <f t="shared" si="18"/>
        <v>62.891727115446443</v>
      </c>
      <c r="U34" s="259">
        <f t="shared" si="18"/>
        <v>63.101707165463438</v>
      </c>
      <c r="V34" s="259">
        <f t="shared" si="18"/>
        <v>63.312374635523653</v>
      </c>
      <c r="W34" s="259">
        <f t="shared" si="18"/>
        <v>63.523731776061403</v>
      </c>
      <c r="X34" s="259">
        <f t="shared" si="18"/>
        <v>63.735780844878413</v>
      </c>
      <c r="Y34" s="259">
        <f t="shared" si="18"/>
        <v>63.948524107167763</v>
      </c>
      <c r="Z34" s="259">
        <f t="shared" si="18"/>
        <v>77.244156602645944</v>
      </c>
      <c r="AA34" s="259">
        <f t="shared" si="18"/>
        <v>77.501122772046401</v>
      </c>
      <c r="AB34" s="259">
        <f t="shared" si="18"/>
        <v>31.618540909090949</v>
      </c>
      <c r="AC34" s="259">
        <f t="shared" si="18"/>
        <v>64.75405465496975</v>
      </c>
      <c r="AD34" s="259">
        <f t="shared" si="18"/>
        <v>64.970303122917159</v>
      </c>
      <c r="AE34" s="259">
        <f t="shared" si="18"/>
        <v>65.187259532076908</v>
      </c>
      <c r="AF34" s="259">
        <f t="shared" si="18"/>
        <v>65.404926200064367</v>
      </c>
      <c r="AG34" s="259">
        <f t="shared" si="18"/>
        <v>65.623305452082036</v>
      </c>
      <c r="AH34" s="259">
        <f t="shared" si="18"/>
        <v>65.842399620944661</v>
      </c>
      <c r="AI34" s="259">
        <f t="shared" si="18"/>
        <v>66.062211047103943</v>
      </c>
      <c r="AJ34" s="259">
        <f t="shared" ref="AJ34:BK34" si="19">AJ32+AJ33</f>
        <v>66.282742078673593</v>
      </c>
      <c r="AK34" s="259">
        <f t="shared" si="19"/>
        <v>66.50399507145454</v>
      </c>
      <c r="AL34" s="259">
        <f t="shared" si="19"/>
        <v>80.331452866751818</v>
      </c>
      <c r="AM34" s="259">
        <f t="shared" si="19"/>
        <v>80.59869768292829</v>
      </c>
      <c r="AN34" s="259">
        <f t="shared" si="19"/>
        <v>32.879239645454611</v>
      </c>
      <c r="AO34" s="259">
        <f t="shared" si="19"/>
        <v>67.340173941168587</v>
      </c>
      <c r="AP34" s="259">
        <f t="shared" si="19"/>
        <v>67.56507234783389</v>
      </c>
      <c r="AQ34" s="259">
        <f t="shared" si="19"/>
        <v>67.790707013360034</v>
      </c>
      <c r="AR34" s="259">
        <f t="shared" si="19"/>
        <v>68.017080348066969</v>
      </c>
      <c r="AS34" s="259">
        <f t="shared" si="19"/>
        <v>68.24419477016535</v>
      </c>
      <c r="AT34" s="259">
        <f t="shared" si="19"/>
        <v>68.472052705782488</v>
      </c>
      <c r="AU34" s="259">
        <f t="shared" si="19"/>
        <v>68.700656588988139</v>
      </c>
      <c r="AV34" s="259">
        <f t="shared" si="19"/>
        <v>68.930008861820582</v>
      </c>
      <c r="AW34" s="259">
        <f t="shared" si="19"/>
        <v>69.16011197431277</v>
      </c>
      <c r="AX34" s="259">
        <f t="shared" si="19"/>
        <v>83.540668081421956</v>
      </c>
      <c r="AY34" s="259">
        <f t="shared" si="19"/>
        <v>83.818602690245484</v>
      </c>
      <c r="AZ34" s="259">
        <f t="shared" si="19"/>
        <v>34.188683328272838</v>
      </c>
      <c r="BA34" s="259">
        <f t="shared" si="19"/>
        <v>70.028054995815381</v>
      </c>
      <c r="BB34" s="259">
        <f t="shared" si="19"/>
        <v>70.261949338747286</v>
      </c>
      <c r="BC34" s="259">
        <f t="shared" si="19"/>
        <v>70.49660939089452</v>
      </c>
      <c r="BD34" s="259">
        <f t="shared" si="19"/>
        <v>70.732037658989725</v>
      </c>
      <c r="BE34" s="259">
        <f t="shared" si="19"/>
        <v>70.968236657972042</v>
      </c>
      <c r="BF34" s="259">
        <f t="shared" si="19"/>
        <v>71.205208911013841</v>
      </c>
      <c r="BG34" s="259">
        <f t="shared" si="19"/>
        <v>71.442956949547721</v>
      </c>
      <c r="BH34" s="259">
        <f t="shared" si="19"/>
        <v>71.681483313293484</v>
      </c>
      <c r="BI34" s="259">
        <f t="shared" si="19"/>
        <v>71.920790550285346</v>
      </c>
      <c r="BJ34" s="259">
        <f t="shared" si="19"/>
        <v>86.876568901678922</v>
      </c>
      <c r="BK34" s="259">
        <f t="shared" si="19"/>
        <v>87.16562089485538</v>
      </c>
      <c r="BL34" s="261">
        <f>O34</f>
        <v>74.521271896198371</v>
      </c>
      <c r="BM34" s="261">
        <f>AA34</f>
        <v>77.501122772046401</v>
      </c>
      <c r="BN34" s="261">
        <f>AM34</f>
        <v>80.59869768292829</v>
      </c>
      <c r="BO34" s="261">
        <f>AY34</f>
        <v>83.818602690245484</v>
      </c>
      <c r="BP34" s="261">
        <f>BK34</f>
        <v>87.16562089485538</v>
      </c>
    </row>
    <row r="35" spans="1:68" x14ac:dyDescent="0.15">
      <c r="A35" t="s">
        <v>135</v>
      </c>
      <c r="B35" t="s">
        <v>236</v>
      </c>
      <c r="D35" s="259">
        <f>-D34</f>
        <v>-36.845454545454544</v>
      </c>
      <c r="E35" s="259">
        <f t="shared" ref="E35:AJ35" si="20">-(E34-D34)</f>
        <v>-38.294556381609112</v>
      </c>
      <c r="F35" s="259">
        <f t="shared" si="20"/>
        <v>15.06806832081638</v>
      </c>
      <c r="G35" s="259">
        <f t="shared" si="20"/>
        <v>-0.20058839604267575</v>
      </c>
      <c r="H35" s="259">
        <f t="shared" si="20"/>
        <v>-0.20124507025465022</v>
      </c>
      <c r="I35" s="259">
        <f t="shared" si="20"/>
        <v>-0.20190389424710986</v>
      </c>
      <c r="J35" s="259">
        <f t="shared" si="20"/>
        <v>-0.20256487505789522</v>
      </c>
      <c r="K35" s="259">
        <f t="shared" si="20"/>
        <v>-0.20322801974786131</v>
      </c>
      <c r="L35" s="259">
        <f t="shared" si="20"/>
        <v>-0.20389333540092736</v>
      </c>
      <c r="M35" s="259">
        <f t="shared" si="20"/>
        <v>-0.20456082912439655</v>
      </c>
      <c r="N35" s="259">
        <f t="shared" si="20"/>
        <v>-12.784262014882835</v>
      </c>
      <c r="O35" s="259">
        <f t="shared" si="20"/>
        <v>-0.24708285519274398</v>
      </c>
      <c r="P35" s="259">
        <f t="shared" si="20"/>
        <v>44.116453714380171</v>
      </c>
      <c r="Q35" s="259">
        <f t="shared" si="20"/>
        <v>-31.861070909498817</v>
      </c>
      <c r="R35" s="259">
        <f t="shared" si="20"/>
        <v>-0.20793121918019608</v>
      </c>
      <c r="S35" s="259">
        <f t="shared" si="20"/>
        <v>-0.20861193188436999</v>
      </c>
      <c r="T35" s="259">
        <f t="shared" si="20"/>
        <v>-0.20929487306486294</v>
      </c>
      <c r="U35" s="259">
        <f t="shared" si="20"/>
        <v>-0.20998005001699482</v>
      </c>
      <c r="V35" s="259">
        <f t="shared" si="20"/>
        <v>-0.21066747006021558</v>
      </c>
      <c r="W35" s="259">
        <f t="shared" si="20"/>
        <v>-0.2113571405377499</v>
      </c>
      <c r="X35" s="259">
        <f t="shared" si="20"/>
        <v>-0.21204906881700936</v>
      </c>
      <c r="Y35" s="259">
        <f t="shared" si="20"/>
        <v>-0.21274326228935081</v>
      </c>
      <c r="Z35" s="259">
        <f t="shared" si="20"/>
        <v>-13.295632495478181</v>
      </c>
      <c r="AA35" s="259">
        <f t="shared" si="20"/>
        <v>-0.25696616940045658</v>
      </c>
      <c r="AB35" s="259">
        <f t="shared" si="20"/>
        <v>45.882581862955448</v>
      </c>
      <c r="AC35" s="259">
        <f t="shared" si="20"/>
        <v>-33.135513745878796</v>
      </c>
      <c r="AD35" s="259">
        <f t="shared" si="20"/>
        <v>-0.21624846794740904</v>
      </c>
      <c r="AE35" s="259">
        <f t="shared" si="20"/>
        <v>-0.21695640915974934</v>
      </c>
      <c r="AF35" s="259">
        <f t="shared" si="20"/>
        <v>-0.2176666679874586</v>
      </c>
      <c r="AG35" s="259">
        <f t="shared" si="20"/>
        <v>-0.2183792520176695</v>
      </c>
      <c r="AH35" s="259">
        <f t="shared" si="20"/>
        <v>-0.21909416886262534</v>
      </c>
      <c r="AI35" s="259">
        <f t="shared" si="20"/>
        <v>-0.21981142615928206</v>
      </c>
      <c r="AJ35" s="259">
        <f t="shared" si="20"/>
        <v>-0.22053103156964937</v>
      </c>
      <c r="AK35" s="259">
        <f t="shared" ref="AK35:BK35" si="21">-(AK34-AJ34)</f>
        <v>-0.22125299278094701</v>
      </c>
      <c r="AL35" s="259">
        <f t="shared" si="21"/>
        <v>-13.827457795297278</v>
      </c>
      <c r="AM35" s="259">
        <f t="shared" si="21"/>
        <v>-0.267244816176472</v>
      </c>
      <c r="AN35" s="259">
        <f t="shared" si="21"/>
        <v>47.719458037473679</v>
      </c>
      <c r="AO35" s="259">
        <f t="shared" si="21"/>
        <v>-34.460934295713976</v>
      </c>
      <c r="AP35" s="259">
        <f t="shared" si="21"/>
        <v>-0.2248984066653037</v>
      </c>
      <c r="AQ35" s="259">
        <f t="shared" si="21"/>
        <v>-0.22563466552614386</v>
      </c>
      <c r="AR35" s="259">
        <f t="shared" si="21"/>
        <v>-0.22637333470693477</v>
      </c>
      <c r="AS35" s="259">
        <f t="shared" si="21"/>
        <v>-0.2271144220983814</v>
      </c>
      <c r="AT35" s="259">
        <f t="shared" si="21"/>
        <v>-0.22785793561713774</v>
      </c>
      <c r="AU35" s="259">
        <f t="shared" si="21"/>
        <v>-0.2286038832056505</v>
      </c>
      <c r="AV35" s="259">
        <f t="shared" si="21"/>
        <v>-0.2293522728324433</v>
      </c>
      <c r="AW35" s="259">
        <f t="shared" si="21"/>
        <v>-0.23010311249218773</v>
      </c>
      <c r="AX35" s="259">
        <f t="shared" si="21"/>
        <v>-14.380556107109186</v>
      </c>
      <c r="AY35" s="259">
        <f t="shared" si="21"/>
        <v>-0.27793460882352861</v>
      </c>
      <c r="AZ35" s="259">
        <f t="shared" si="21"/>
        <v>49.629919361972647</v>
      </c>
      <c r="BA35" s="259">
        <f t="shared" si="21"/>
        <v>-35.839371667542544</v>
      </c>
      <c r="BB35" s="259">
        <f t="shared" si="21"/>
        <v>-0.23389434293190448</v>
      </c>
      <c r="BC35" s="259">
        <f t="shared" si="21"/>
        <v>-0.23466005214723396</v>
      </c>
      <c r="BD35" s="259">
        <f t="shared" si="21"/>
        <v>-0.23542826809520534</v>
      </c>
      <c r="BE35" s="259">
        <f t="shared" si="21"/>
        <v>-0.23619899898231722</v>
      </c>
      <c r="BF35" s="259">
        <f t="shared" si="21"/>
        <v>-0.23697225304179881</v>
      </c>
      <c r="BG35" s="259">
        <f t="shared" si="21"/>
        <v>-0.23774803853387994</v>
      </c>
      <c r="BH35" s="259">
        <f t="shared" si="21"/>
        <v>-0.23852636374576264</v>
      </c>
      <c r="BI35" s="259">
        <f t="shared" si="21"/>
        <v>-0.23930723699186274</v>
      </c>
      <c r="BJ35" s="259">
        <f t="shared" si="21"/>
        <v>-14.955778351393576</v>
      </c>
      <c r="BK35" s="259">
        <f t="shared" si="21"/>
        <v>-0.28905199317645724</v>
      </c>
      <c r="BL35" s="261">
        <f>-BL34</f>
        <v>-74.521271896198371</v>
      </c>
      <c r="BM35" s="261">
        <f>-(BM34-BL34)</f>
        <v>-2.9798508758480295</v>
      </c>
      <c r="BN35" s="261">
        <f>-(BN34-BM34)</f>
        <v>-3.0975749108818889</v>
      </c>
      <c r="BO35" s="261">
        <f>-(BO34-BN34)</f>
        <v>-3.2199050073171946</v>
      </c>
      <c r="BP35" s="261">
        <f>-(BP34-BO34)</f>
        <v>-3.3470182046098955</v>
      </c>
    </row>
    <row r="36" spans="1:68" x14ac:dyDescent="0.15">
      <c r="A36" s="232" t="s">
        <v>258</v>
      </c>
      <c r="B36" t="s">
        <v>236</v>
      </c>
      <c r="D36" s="262">
        <f t="shared" ref="D36:AI36" si="22">D31+D35</f>
        <v>-25.993863636363635</v>
      </c>
      <c r="E36" s="262">
        <f t="shared" si="22"/>
        <v>-9.2530511912538742</v>
      </c>
      <c r="F36" s="262">
        <f t="shared" si="22"/>
        <v>36.952241058783841</v>
      </c>
      <c r="G36" s="262">
        <f t="shared" si="22"/>
        <v>21.778863830045051</v>
      </c>
      <c r="H36" s="262">
        <f t="shared" si="22"/>
        <v>21.873798564204041</v>
      </c>
      <c r="I36" s="262">
        <f t="shared" si="22"/>
        <v>21.969044089978954</v>
      </c>
      <c r="J36" s="262">
        <f t="shared" si="22"/>
        <v>22.064601424820669</v>
      </c>
      <c r="K36" s="262">
        <f t="shared" si="22"/>
        <v>22.160471589510937</v>
      </c>
      <c r="L36" s="262">
        <f t="shared" si="22"/>
        <v>22.256655608173311</v>
      </c>
      <c r="M36" s="262">
        <f t="shared" si="22"/>
        <v>22.353154508283929</v>
      </c>
      <c r="N36" s="262">
        <f t="shared" si="22"/>
        <v>15.84597777959484</v>
      </c>
      <c r="O36" s="262">
        <f t="shared" si="22"/>
        <v>28.500521295501482</v>
      </c>
      <c r="P36" s="262">
        <f t="shared" si="22"/>
        <v>51.443242350743816</v>
      </c>
      <c r="Q36" s="262">
        <f t="shared" si="22"/>
        <v>-9.4002735911232342</v>
      </c>
      <c r="R36" s="262">
        <f t="shared" si="22"/>
        <v>22.351633428305981</v>
      </c>
      <c r="S36" s="262">
        <f t="shared" si="22"/>
        <v>22.450043383246882</v>
      </c>
      <c r="T36" s="262">
        <f t="shared" si="22"/>
        <v>22.548775506772195</v>
      </c>
      <c r="U36" s="262">
        <f t="shared" si="22"/>
        <v>22.647830853578135</v>
      </c>
      <c r="V36" s="262">
        <f t="shared" si="22"/>
        <v>22.747210481813521</v>
      </c>
      <c r="W36" s="262">
        <f t="shared" si="22"/>
        <v>22.84691545309142</v>
      </c>
      <c r="X36" s="262">
        <f t="shared" si="22"/>
        <v>22.946946832500238</v>
      </c>
      <c r="Y36" s="262">
        <f t="shared" si="22"/>
        <v>23.047305688615339</v>
      </c>
      <c r="Z36" s="262">
        <f t="shared" si="22"/>
        <v>16.279841890778641</v>
      </c>
      <c r="AA36" s="262">
        <f t="shared" si="22"/>
        <v>29.44056714732158</v>
      </c>
      <c r="AB36" s="262">
        <f t="shared" si="22"/>
        <v>53.287803794773652</v>
      </c>
      <c r="AC36" s="262">
        <f t="shared" si="22"/>
        <v>-9.9909227847681628</v>
      </c>
      <c r="AD36" s="262">
        <f t="shared" si="22"/>
        <v>23.031060515438242</v>
      </c>
      <c r="AE36" s="262">
        <f t="shared" si="22"/>
        <v>23.133406868576785</v>
      </c>
      <c r="AF36" s="262">
        <f t="shared" si="22"/>
        <v>23.236088277043116</v>
      </c>
      <c r="AG36" s="262">
        <f t="shared" si="22"/>
        <v>23.339105837721299</v>
      </c>
      <c r="AH36" s="262">
        <f t="shared" si="22"/>
        <v>23.442460651086087</v>
      </c>
      <c r="AI36" s="262">
        <f t="shared" si="22"/>
        <v>23.546153821215093</v>
      </c>
      <c r="AJ36" s="262">
        <f t="shared" ref="AJ36:BO36" si="23">AJ31+AJ35</f>
        <v>23.650186455800306</v>
      </c>
      <c r="AK36" s="262">
        <f t="shared" si="23"/>
        <v>23.754559666159953</v>
      </c>
      <c r="AL36" s="262">
        <f t="shared" si="23"/>
        <v>16.716397316409836</v>
      </c>
      <c r="AM36" s="262">
        <f t="shared" si="23"/>
        <v>30.403551583214465</v>
      </c>
      <c r="AN36" s="262">
        <f t="shared" si="23"/>
        <v>55.190560919064616</v>
      </c>
      <c r="AO36" s="262">
        <f t="shared" si="23"/>
        <v>-10.620887623658898</v>
      </c>
      <c r="AP36" s="262">
        <f t="shared" si="23"/>
        <v>23.721975008555798</v>
      </c>
      <c r="AQ36" s="262">
        <f t="shared" si="23"/>
        <v>23.82841521581987</v>
      </c>
      <c r="AR36" s="262">
        <f t="shared" si="23"/>
        <v>23.935203880624872</v>
      </c>
      <c r="AS36" s="262">
        <f t="shared" si="23"/>
        <v>24.042342143730156</v>
      </c>
      <c r="AT36" s="262">
        <f t="shared" si="23"/>
        <v>24.149831149629541</v>
      </c>
      <c r="AU36" s="262">
        <f t="shared" si="23"/>
        <v>24.257672046563712</v>
      </c>
      <c r="AV36" s="262">
        <f t="shared" si="23"/>
        <v>24.365865986532338</v>
      </c>
      <c r="AW36" s="262">
        <f t="shared" si="23"/>
        <v>24.474414125306375</v>
      </c>
      <c r="AX36" s="262">
        <f t="shared" si="23"/>
        <v>17.154725281566247</v>
      </c>
      <c r="AY36" s="262">
        <f t="shared" si="23"/>
        <v>31.389365719043074</v>
      </c>
      <c r="AZ36" s="262">
        <f t="shared" si="23"/>
        <v>57.152750476402247</v>
      </c>
      <c r="BA36" s="262">
        <f t="shared" si="23"/>
        <v>-11.292839011030242</v>
      </c>
      <c r="BB36" s="262">
        <f t="shared" si="23"/>
        <v>24.423738126473058</v>
      </c>
      <c r="BC36" s="262">
        <f t="shared" si="23"/>
        <v>24.534435942027663</v>
      </c>
      <c r="BD36" s="262">
        <f t="shared" si="23"/>
        <v>24.645496153424915</v>
      </c>
      <c r="BE36" s="262">
        <f t="shared" si="23"/>
        <v>24.756919947054403</v>
      </c>
      <c r="BF36" s="262">
        <f t="shared" si="23"/>
        <v>24.86870851318978</v>
      </c>
      <c r="BG36" s="262">
        <f t="shared" si="23"/>
        <v>24.980863046001286</v>
      </c>
      <c r="BH36" s="262">
        <f t="shared" si="23"/>
        <v>25.093384743568642</v>
      </c>
      <c r="BI36" s="262">
        <f t="shared" si="23"/>
        <v>25.206274807893674</v>
      </c>
      <c r="BJ36" s="262">
        <f t="shared" si="23"/>
        <v>17.593798410403913</v>
      </c>
      <c r="BK36" s="262">
        <f t="shared" si="23"/>
        <v>32.397824465379848</v>
      </c>
      <c r="BL36" s="260">
        <f t="shared" si="23"/>
        <v>200.5084149212795</v>
      </c>
      <c r="BM36" s="260">
        <f t="shared" si="23"/>
        <v>269.35003942564447</v>
      </c>
      <c r="BN36" s="260">
        <f t="shared" si="23"/>
        <v>277.5498520026706</v>
      </c>
      <c r="BO36" s="260">
        <f t="shared" si="23"/>
        <v>285.88948385277769</v>
      </c>
      <c r="BP36" s="260">
        <f t="shared" ref="BP36" si="24">BP31+BP35</f>
        <v>294.36135562078914</v>
      </c>
    </row>
    <row r="38" spans="1:68" ht="16" customHeight="1" x14ac:dyDescent="0.2">
      <c r="A38" s="324" t="s">
        <v>259</v>
      </c>
      <c r="B38" s="315"/>
      <c r="C38" s="315"/>
      <c r="D38" s="315"/>
      <c r="E38" s="315"/>
      <c r="F38" s="315"/>
      <c r="G38" s="315"/>
      <c r="H38" s="315"/>
      <c r="I38" s="315"/>
      <c r="J38" s="315"/>
      <c r="K38" s="315"/>
      <c r="L38" s="315"/>
      <c r="M38" s="315"/>
      <c r="N38" s="315"/>
    </row>
    <row r="39" spans="1:68" x14ac:dyDescent="0.15">
      <c r="A39" s="232" t="s">
        <v>123</v>
      </c>
      <c r="B39" t="s">
        <v>236</v>
      </c>
      <c r="D39" s="259">
        <f>'Cost assumptions'!D39/1000000</f>
        <v>0</v>
      </c>
      <c r="E39" s="259">
        <f>'Cost assumptions'!E39/1000000</f>
        <v>0</v>
      </c>
      <c r="F39" s="259">
        <f>'Cost assumptions'!F39/1000000</f>
        <v>0.15844522149154244</v>
      </c>
      <c r="G39" s="259">
        <f>'Cost assumptions'!G39/1000000</f>
        <v>0.27819142983488243</v>
      </c>
      <c r="H39" s="259">
        <f>'Cost assumptions'!H39/1000000</f>
        <v>0.49853748645673013</v>
      </c>
      <c r="I39" s="259">
        <f>'Cost assumptions'!I39/1000000</f>
        <v>0.74955597059703993</v>
      </c>
      <c r="J39" s="259">
        <f>'Cost assumptions'!J39/1000000</f>
        <v>1.0177592746167592</v>
      </c>
      <c r="K39" s="259">
        <f>'Cost assumptions'!K39/1000000</f>
        <v>1.3382381353057127</v>
      </c>
      <c r="L39" s="259">
        <f>'Cost assumptions'!L39/1000000</f>
        <v>1.5848962333260752</v>
      </c>
      <c r="M39" s="259">
        <f>'Cost assumptions'!M39/1000000</f>
        <v>1.8016447177055077</v>
      </c>
      <c r="N39" s="259">
        <f>'Cost assumptions'!N39/1000000</f>
        <v>2.3904778291678377</v>
      </c>
      <c r="O39" s="259">
        <f>'Cost assumptions'!O39/1000000</f>
        <v>2.5811737758166733</v>
      </c>
      <c r="P39" s="259">
        <f>'Cost assumptions'!P39/1000000</f>
        <v>1.1352959905123574</v>
      </c>
      <c r="Q39" s="259">
        <f>'Cost assumptions'!Q39/1000000</f>
        <v>2.3516511157778286</v>
      </c>
      <c r="R39" s="259">
        <f>'Cost assumptions'!R39/1000000</f>
        <v>2.4030901464290841</v>
      </c>
      <c r="S39" s="259">
        <f>'Cost assumptions'!S39/1000000</f>
        <v>2.4353588319567709</v>
      </c>
      <c r="T39" s="259">
        <f>'Cost assumptions'!T39/1000000</f>
        <v>2.4564516684622126</v>
      </c>
      <c r="U39" s="259">
        <f>'Cost assumptions'!U39/1000000</f>
        <v>2.4714058437750701</v>
      </c>
      <c r="V39" s="259">
        <f>'Cost assumptions'!V39/1000000</f>
        <v>2.4830991730684926</v>
      </c>
      <c r="W39" s="259">
        <f>'Cost assumptions'!W39/1000000</f>
        <v>2.4930951691430847</v>
      </c>
      <c r="X39" s="259">
        <f>'Cost assumptions'!X39/1000000</f>
        <v>2.5022215986636511</v>
      </c>
      <c r="Y39" s="259">
        <f>'Cost assumptions'!Y39/1000000</f>
        <v>2.5109109272943777</v>
      </c>
      <c r="Z39" s="259">
        <f>'Cost assumptions'!Z39/1000000</f>
        <v>3.0232650906341849</v>
      </c>
      <c r="AA39" s="259">
        <f>'Cost assumptions'!AA39/1000000</f>
        <v>3.0333211372391911</v>
      </c>
      <c r="AB39" s="259">
        <f>'Cost assumptions'!AB39/1000000</f>
        <v>1.2680554942967595</v>
      </c>
      <c r="AC39" s="259">
        <f>'Cost assumptions'!AC39/1000000</f>
        <v>2.5444486488503961</v>
      </c>
      <c r="AD39" s="259">
        <f>'Cost assumptions'!AD39/1000000</f>
        <v>2.552796588893147</v>
      </c>
      <c r="AE39" s="259">
        <f>'Cost assumptions'!AE39/1000000</f>
        <v>2.5611630924844238</v>
      </c>
      <c r="AF39" s="259">
        <f>'Cost assumptions'!AF39/1000000</f>
        <v>2.5695524705721713</v>
      </c>
      <c r="AG39" s="259">
        <f>'Cost assumptions'!AG39/1000000</f>
        <v>2.5779669874467217</v>
      </c>
      <c r="AH39" s="259">
        <f>'Cost assumptions'!AH39/1000000</f>
        <v>2.5864078532032506</v>
      </c>
      <c r="AI39" s="259">
        <f>'Cost assumptions'!AI39/1000000</f>
        <v>2.5948757350375806</v>
      </c>
      <c r="AJ39" s="259">
        <f>'Cost assumptions'!AJ39/1000000</f>
        <v>2.603371020635215</v>
      </c>
      <c r="AK39" s="259">
        <f>'Cost assumptions'!AK39/1000000</f>
        <v>2.6118939538485497</v>
      </c>
      <c r="AL39" s="259">
        <f>'Cost assumptions'!AL39/1000000</f>
        <v>3.1445336455030324</v>
      </c>
      <c r="AM39" s="259">
        <f>'Cost assumptions'!AM39/1000000</f>
        <v>3.1548280857742275</v>
      </c>
      <c r="AN39" s="259">
        <f>'Cost assumptions'!AN39/1000000</f>
        <v>1.3188150835460275</v>
      </c>
      <c r="AO39" s="259">
        <f>'Cost assumptions'!AO39/1000000</f>
        <v>2.6462650941454604</v>
      </c>
      <c r="AP39" s="259">
        <f>'Cost assumptions'!AP39/1000000</f>
        <v>2.6549282837656119</v>
      </c>
      <c r="AQ39" s="259">
        <f>'Cost assumptions'!AQ39/1000000</f>
        <v>2.663619831355887</v>
      </c>
      <c r="AR39" s="259">
        <f>'Cost assumptions'!AR39/1000000</f>
        <v>2.6723398312359148</v>
      </c>
      <c r="AS39" s="259">
        <f>'Cost assumptions'!AS39/1000000</f>
        <v>2.6810883773149849</v>
      </c>
      <c r="AT39" s="259">
        <f>'Cost assumptions'!AT39/1000000</f>
        <v>2.6898655634394055</v>
      </c>
      <c r="AU39" s="259">
        <f>'Cost assumptions'!AU39/1000000</f>
        <v>2.6986714835719146</v>
      </c>
      <c r="AV39" s="259">
        <f>'Cost assumptions'!AV39/1000000</f>
        <v>2.7075062318845773</v>
      </c>
      <c r="AW39" s="259">
        <f>'Cost assumptions'!AW39/1000000</f>
        <v>2.7163699028071324</v>
      </c>
      <c r="AX39" s="259">
        <f>'Cost assumptions'!AX39/1000000</f>
        <v>3.2703151092628535</v>
      </c>
      <c r="AY39" s="259">
        <f>'Cost assumptions'!AY39/1000000</f>
        <v>3.2810212699556938</v>
      </c>
      <c r="AZ39" s="259">
        <f>'Cost assumptions'!AZ39/1000000</f>
        <v>1.3715676999263926</v>
      </c>
      <c r="BA39" s="259">
        <f>'Cost assumptions'!BA39/1000000</f>
        <v>2.7521157113435124</v>
      </c>
      <c r="BB39" s="259">
        <f>'Cost assumptions'!BB39/1000000</f>
        <v>2.7611254220351529</v>
      </c>
      <c r="BC39" s="259">
        <f>'Cost assumptions'!BC39/1000000</f>
        <v>2.7701646281740446</v>
      </c>
      <c r="BD39" s="259">
        <f>'Cost assumptions'!BD39/1000000</f>
        <v>2.7792334263211225</v>
      </c>
      <c r="BE39" s="259">
        <f>'Cost assumptions'!BE39/1000000</f>
        <v>2.7883319133531868</v>
      </c>
      <c r="BF39" s="259">
        <f>'Cost assumptions'!BF39/1000000</f>
        <v>2.7974601864640607</v>
      </c>
      <c r="BG39" s="259">
        <f>'Cost assumptions'!BG39/1000000</f>
        <v>2.8066183431656855</v>
      </c>
      <c r="BH39" s="259">
        <f>'Cost assumptions'!BH39/1000000</f>
        <v>2.8158064812891972</v>
      </c>
      <c r="BI39" s="259">
        <f>'Cost assumptions'!BI39/1000000</f>
        <v>2.8250246989859886</v>
      </c>
      <c r="BJ39" s="259">
        <f>'Cost assumptions'!BJ39/1000000</f>
        <v>3.4011277136745175</v>
      </c>
      <c r="BK39" s="259">
        <f>'Cost assumptions'!BK39/1000000</f>
        <v>3.4122621207751198</v>
      </c>
      <c r="BL39" s="260">
        <f t="shared" ref="BL39:BL47" si="25">SUM(D39:O39)</f>
        <v>12.398920074318761</v>
      </c>
      <c r="BM39" s="260">
        <f t="shared" ref="BM39:BM47" si="26">SUM(P39:AA39)</f>
        <v>29.299166692956312</v>
      </c>
      <c r="BN39" s="260">
        <f t="shared" ref="BN39:BN47" si="27">SUM(AB39:AM39)</f>
        <v>30.769893576545474</v>
      </c>
      <c r="BO39" s="260">
        <f t="shared" ref="BO39:BO47" si="28">SUM(AN39:AY39)</f>
        <v>32.000806062285463</v>
      </c>
      <c r="BP39" s="260">
        <f t="shared" ref="BP39:BP47" si="29">SUM(AZ39:BK39)</f>
        <v>33.280838345507973</v>
      </c>
    </row>
    <row r="40" spans="1:68" x14ac:dyDescent="0.15">
      <c r="A40" t="s">
        <v>125</v>
      </c>
      <c r="B40" t="s">
        <v>236</v>
      </c>
      <c r="D40" s="259">
        <f>-'Cost assumptions'!D40/1000000</f>
        <v>0</v>
      </c>
      <c r="E40" s="259">
        <f>-'Cost assumptions'!E40/1000000</f>
        <v>0</v>
      </c>
      <c r="F40" s="259">
        <f>-'Cost assumptions'!F40/1000000</f>
        <v>-6.3378088596616981E-3</v>
      </c>
      <c r="G40" s="259">
        <f>-'Cost assumptions'!G40/1000000</f>
        <v>-1.1127657193395299E-2</v>
      </c>
      <c r="H40" s="259">
        <f>-'Cost assumptions'!H40/1000000</f>
        <v>-1.9941499458269205E-2</v>
      </c>
      <c r="I40" s="259">
        <f>-'Cost assumptions'!I40/1000000</f>
        <v>-2.99822388238816E-2</v>
      </c>
      <c r="J40" s="259">
        <f>-'Cost assumptions'!J40/1000000</f>
        <v>-4.0710370984670369E-2</v>
      </c>
      <c r="K40" s="259">
        <f>-'Cost assumptions'!K40/1000000</f>
        <v>-5.352952541222851E-2</v>
      </c>
      <c r="L40" s="259">
        <f>-'Cost assumptions'!L40/1000000</f>
        <v>-6.3395849333043E-2</v>
      </c>
      <c r="M40" s="259">
        <f>-'Cost assumptions'!M40/1000000</f>
        <v>-7.2065788708220307E-2</v>
      </c>
      <c r="N40" s="259">
        <f>-'Cost assumptions'!N40/1000000</f>
        <v>-9.561911316671351E-2</v>
      </c>
      <c r="O40" s="259">
        <f>-'Cost assumptions'!O40/1000000</f>
        <v>-0.10324695103266694</v>
      </c>
      <c r="P40" s="259">
        <f>-'Cost assumptions'!P40/1000000</f>
        <v>-4.541183962049429E-2</v>
      </c>
      <c r="Q40" s="259">
        <f>-'Cost assumptions'!Q40/1000000</f>
        <v>-9.4066044631113149E-2</v>
      </c>
      <c r="R40" s="259">
        <f>-'Cost assumptions'!R40/1000000</f>
        <v>-9.6123605857163383E-2</v>
      </c>
      <c r="S40" s="259">
        <f>-'Cost assumptions'!S40/1000000</f>
        <v>-9.7414353278270832E-2</v>
      </c>
      <c r="T40" s="259">
        <f>-'Cost assumptions'!T40/1000000</f>
        <v>-9.8258066738488498E-2</v>
      </c>
      <c r="U40" s="259">
        <f>-'Cost assumptions'!U40/1000000</f>
        <v>-9.8856233751002817E-2</v>
      </c>
      <c r="V40" s="259">
        <f>-'Cost assumptions'!V40/1000000</f>
        <v>-9.9323966922739704E-2</v>
      </c>
      <c r="W40" s="259">
        <f>-'Cost assumptions'!W40/1000000</f>
        <v>-9.9723806765723386E-2</v>
      </c>
      <c r="X40" s="259">
        <f>-'Cost assumptions'!X40/1000000</f>
        <v>-0.10008886394654605</v>
      </c>
      <c r="Y40" s="259">
        <f>-'Cost assumptions'!Y40/1000000</f>
        <v>-0.1004364370917751</v>
      </c>
      <c r="Z40" s="259">
        <f>-'Cost assumptions'!Z40/1000000</f>
        <v>-0.12093060362536739</v>
      </c>
      <c r="AA40" s="259">
        <f>-'Cost assumptions'!AA40/1000000</f>
        <v>-0.12133284548956766</v>
      </c>
      <c r="AB40" s="259">
        <f>-'Cost assumptions'!AB40/1000000</f>
        <v>-5.0722219771870372E-2</v>
      </c>
      <c r="AC40" s="259">
        <f>-'Cost assumptions'!AC40/1000000</f>
        <v>-0.10177794595401586</v>
      </c>
      <c r="AD40" s="259">
        <f>-'Cost assumptions'!AD40/1000000</f>
        <v>-0.10211186355572589</v>
      </c>
      <c r="AE40" s="259">
        <f>-'Cost assumptions'!AE40/1000000</f>
        <v>-0.10244652369937697</v>
      </c>
      <c r="AF40" s="259">
        <f>-'Cost assumptions'!AF40/1000000</f>
        <v>-0.10278209882288686</v>
      </c>
      <c r="AG40" s="259">
        <f>-'Cost assumptions'!AG40/1000000</f>
        <v>-0.10311867949786888</v>
      </c>
      <c r="AH40" s="259">
        <f>-'Cost assumptions'!AH40/1000000</f>
        <v>-0.10345631412813001</v>
      </c>
      <c r="AI40" s="259">
        <f>-'Cost assumptions'!AI40/1000000</f>
        <v>-0.10379502940150323</v>
      </c>
      <c r="AJ40" s="259">
        <f>-'Cost assumptions'!AJ40/1000000</f>
        <v>-0.10413484082540861</v>
      </c>
      <c r="AK40" s="259">
        <f>-'Cost assumptions'!AK40/1000000</f>
        <v>-0.10447575815394199</v>
      </c>
      <c r="AL40" s="259">
        <f>-'Cost assumptions'!AL40/1000000</f>
        <v>-0.12578134582012132</v>
      </c>
      <c r="AM40" s="259">
        <f>-'Cost assumptions'!AM40/1000000</f>
        <v>-0.12619312343096911</v>
      </c>
      <c r="AN40" s="259">
        <f>-'Cost assumptions'!AN40/1000000</f>
        <v>-5.2752603341841099E-2</v>
      </c>
      <c r="AO40" s="259">
        <f>-'Cost assumptions'!AO40/1000000</f>
        <v>-0.10585060376581842</v>
      </c>
      <c r="AP40" s="259">
        <f>-'Cost assumptions'!AP40/1000000</f>
        <v>-0.10619713135062447</v>
      </c>
      <c r="AQ40" s="259">
        <f>-'Cost assumptions'!AQ40/1000000</f>
        <v>-0.10654479325423548</v>
      </c>
      <c r="AR40" s="259">
        <f>-'Cost assumptions'!AR40/1000000</f>
        <v>-0.10689359324943661</v>
      </c>
      <c r="AS40" s="259">
        <f>-'Cost assumptions'!AS40/1000000</f>
        <v>-0.1072435350925994</v>
      </c>
      <c r="AT40" s="259">
        <f>-'Cost assumptions'!AT40/1000000</f>
        <v>-0.10759462253757623</v>
      </c>
      <c r="AU40" s="259">
        <f>-'Cost assumptions'!AU40/1000000</f>
        <v>-0.10794685934287659</v>
      </c>
      <c r="AV40" s="259">
        <f>-'Cost assumptions'!AV40/1000000</f>
        <v>-0.10830024927538309</v>
      </c>
      <c r="AW40" s="259">
        <f>-'Cost assumptions'!AW40/1000000</f>
        <v>-0.1086547961122853</v>
      </c>
      <c r="AX40" s="259">
        <f>-'Cost assumptions'!AX40/1000000</f>
        <v>-0.13081260437051415</v>
      </c>
      <c r="AY40" s="259">
        <f>-'Cost assumptions'!AY40/1000000</f>
        <v>-0.13124085079822775</v>
      </c>
      <c r="AZ40" s="259">
        <f>-'Cost assumptions'!AZ40/1000000</f>
        <v>-5.4862707997055712E-2</v>
      </c>
      <c r="BA40" s="259">
        <f>-'Cost assumptions'!BA40/1000000</f>
        <v>-0.11008462845374051</v>
      </c>
      <c r="BB40" s="259">
        <f>-'Cost assumptions'!BB40/1000000</f>
        <v>-0.11044501688140612</v>
      </c>
      <c r="BC40" s="259">
        <f>-'Cost assumptions'!BC40/1000000</f>
        <v>-0.11080658512696179</v>
      </c>
      <c r="BD40" s="259">
        <f>-'Cost assumptions'!BD40/1000000</f>
        <v>-0.1111693370528449</v>
      </c>
      <c r="BE40" s="259">
        <f>-'Cost assumptions'!BE40/1000000</f>
        <v>-0.11153327653412747</v>
      </c>
      <c r="BF40" s="259">
        <f>-'Cost assumptions'!BF40/1000000</f>
        <v>-0.11189840745856242</v>
      </c>
      <c r="BG40" s="259">
        <f>-'Cost assumptions'!BG40/1000000</f>
        <v>-0.11226473372662743</v>
      </c>
      <c r="BH40" s="259">
        <f>-'Cost assumptions'!BH40/1000000</f>
        <v>-0.11263225925156789</v>
      </c>
      <c r="BI40" s="259">
        <f>-'Cost assumptions'!BI40/1000000</f>
        <v>-0.11300098795943955</v>
      </c>
      <c r="BJ40" s="259">
        <f>-'Cost assumptions'!BJ40/1000000</f>
        <v>-0.13604510854698068</v>
      </c>
      <c r="BK40" s="259">
        <f>-'Cost assumptions'!BK40/1000000</f>
        <v>-0.13649048483100482</v>
      </c>
      <c r="BL40" s="261">
        <f t="shared" si="25"/>
        <v>-0.49595680297275047</v>
      </c>
      <c r="BM40" s="261">
        <f t="shared" si="26"/>
        <v>-1.1719666677182523</v>
      </c>
      <c r="BN40" s="261">
        <f t="shared" si="27"/>
        <v>-1.2307957430618188</v>
      </c>
      <c r="BO40" s="261">
        <f t="shared" si="28"/>
        <v>-1.2800322424914186</v>
      </c>
      <c r="BP40" s="261">
        <f t="shared" si="29"/>
        <v>-1.3312335338203194</v>
      </c>
    </row>
    <row r="41" spans="1:68" x14ac:dyDescent="0.15">
      <c r="A41" t="s">
        <v>126</v>
      </c>
      <c r="B41" t="s">
        <v>236</v>
      </c>
      <c r="D41" s="259">
        <f>-'Cost assumptions'!D41/1000000</f>
        <v>-1.2126520000000001</v>
      </c>
      <c r="E41" s="259">
        <f>-'Cost assumptions'!E41/1000000</f>
        <v>-1.2126520000000001</v>
      </c>
      <c r="F41" s="259">
        <f>-'Cost assumptions'!F41/1000000</f>
        <v>-1.239552</v>
      </c>
      <c r="G41" s="259">
        <f>-'Cost assumptions'!G41/1000000</f>
        <v>-1.239552</v>
      </c>
      <c r="H41" s="259">
        <f>-'Cost assumptions'!H41/1000000</f>
        <v>-1.609696</v>
      </c>
      <c r="I41" s="259">
        <f>-'Cost assumptions'!I41/1000000</f>
        <v>-1.532224</v>
      </c>
      <c r="J41" s="259">
        <f>-'Cost assumptions'!J41/1000000</f>
        <v>-1.532224</v>
      </c>
      <c r="K41" s="259">
        <f>-'Cost assumptions'!K41/1000000</f>
        <v>-0.58642000000000005</v>
      </c>
      <c r="L41" s="259">
        <f>-'Cost assumptions'!L41/1000000</f>
        <v>-0.58642000000000005</v>
      </c>
      <c r="M41" s="259">
        <f>-'Cost assumptions'!M41/1000000</f>
        <v>-0.58642000000000005</v>
      </c>
      <c r="N41" s="259">
        <f>-'Cost assumptions'!N41/1000000</f>
        <v>-0.58642000000000005</v>
      </c>
      <c r="O41" s="259">
        <f>-'Cost assumptions'!O41/1000000</f>
        <v>-0.58642000000000005</v>
      </c>
      <c r="P41" s="259">
        <f>-'Cost assumptions'!P41/1000000</f>
        <v>-0.28092207999999996</v>
      </c>
      <c r="Q41" s="259">
        <f>-'Cost assumptions'!Q41/1000000</f>
        <v>-0.28092207999999996</v>
      </c>
      <c r="R41" s="259">
        <f>-'Cost assumptions'!R41/1000000</f>
        <v>-0.28092207999999996</v>
      </c>
      <c r="S41" s="259">
        <f>-'Cost assumptions'!S41/1000000</f>
        <v>-0.28092207999999996</v>
      </c>
      <c r="T41" s="259">
        <f>-'Cost assumptions'!T41/1000000</f>
        <v>-0.28092207999999996</v>
      </c>
      <c r="U41" s="259">
        <f>-'Cost assumptions'!U41/1000000</f>
        <v>-0.28092207999999996</v>
      </c>
      <c r="V41" s="259">
        <f>-'Cost assumptions'!V41/1000000</f>
        <v>-0.28092207999999996</v>
      </c>
      <c r="W41" s="259">
        <f>-'Cost assumptions'!W41/1000000</f>
        <v>-0.28092207999999996</v>
      </c>
      <c r="X41" s="259">
        <f>-'Cost assumptions'!X41/1000000</f>
        <v>-0.28092207999999996</v>
      </c>
      <c r="Y41" s="259">
        <f>-'Cost assumptions'!Y41/1000000</f>
        <v>-0.28092207999999996</v>
      </c>
      <c r="Z41" s="259">
        <f>-'Cost assumptions'!Z41/1000000</f>
        <v>-0.28092207999999996</v>
      </c>
      <c r="AA41" s="259">
        <f>-'Cost assumptions'!AA41/1000000</f>
        <v>-0.28092207999999996</v>
      </c>
      <c r="AB41" s="259">
        <f>-'Cost assumptions'!AB41/1000000</f>
        <v>-0.30058662560000005</v>
      </c>
      <c r="AC41" s="259">
        <f>-'Cost assumptions'!AC41/1000000</f>
        <v>-0.30058662560000005</v>
      </c>
      <c r="AD41" s="259">
        <f>-'Cost assumptions'!AD41/1000000</f>
        <v>-0.30058662560000005</v>
      </c>
      <c r="AE41" s="259">
        <f>-'Cost assumptions'!AE41/1000000</f>
        <v>-0.30058662560000005</v>
      </c>
      <c r="AF41" s="259">
        <f>-'Cost assumptions'!AF41/1000000</f>
        <v>-0.30058662560000005</v>
      </c>
      <c r="AG41" s="259">
        <f>-'Cost assumptions'!AG41/1000000</f>
        <v>-0.30058662560000005</v>
      </c>
      <c r="AH41" s="259">
        <f>-'Cost assumptions'!AH41/1000000</f>
        <v>-0.30058662560000005</v>
      </c>
      <c r="AI41" s="259">
        <f>-'Cost assumptions'!AI41/1000000</f>
        <v>-0.30058662560000005</v>
      </c>
      <c r="AJ41" s="259">
        <f>-'Cost assumptions'!AJ41/1000000</f>
        <v>-0.30058662560000005</v>
      </c>
      <c r="AK41" s="259">
        <f>-'Cost assumptions'!AK41/1000000</f>
        <v>-0.30058662560000005</v>
      </c>
      <c r="AL41" s="259">
        <f>-'Cost assumptions'!AL41/1000000</f>
        <v>-0.30058662560000005</v>
      </c>
      <c r="AM41" s="259">
        <f>-'Cost assumptions'!AM41/1000000</f>
        <v>-0.30058662560000005</v>
      </c>
      <c r="AN41" s="259">
        <f>-'Cost assumptions'!AN41/1000000</f>
        <v>-0.32162768939199998</v>
      </c>
      <c r="AO41" s="259">
        <f>-'Cost assumptions'!AO41/1000000</f>
        <v>-0.32162768939199998</v>
      </c>
      <c r="AP41" s="259">
        <f>-'Cost assumptions'!AP41/1000000</f>
        <v>-0.32162768939199998</v>
      </c>
      <c r="AQ41" s="259">
        <f>-'Cost assumptions'!AQ41/1000000</f>
        <v>-0.32162768939199998</v>
      </c>
      <c r="AR41" s="259">
        <f>-'Cost assumptions'!AR41/1000000</f>
        <v>-0.32162768939199998</v>
      </c>
      <c r="AS41" s="259">
        <f>-'Cost assumptions'!AS41/1000000</f>
        <v>-0.32162768939199998</v>
      </c>
      <c r="AT41" s="259">
        <f>-'Cost assumptions'!AT41/1000000</f>
        <v>-0.32162768939199998</v>
      </c>
      <c r="AU41" s="259">
        <f>-'Cost assumptions'!AU41/1000000</f>
        <v>-0.32162768939199998</v>
      </c>
      <c r="AV41" s="259">
        <f>-'Cost assumptions'!AV41/1000000</f>
        <v>-0.32162768939199998</v>
      </c>
      <c r="AW41" s="259">
        <f>-'Cost assumptions'!AW41/1000000</f>
        <v>-0.32162768939199998</v>
      </c>
      <c r="AX41" s="259">
        <f>-'Cost assumptions'!AX41/1000000</f>
        <v>-0.32162768939199998</v>
      </c>
      <c r="AY41" s="259">
        <f>-'Cost assumptions'!AY41/1000000</f>
        <v>-0.32162768939199998</v>
      </c>
      <c r="AZ41" s="259">
        <f>-'Cost assumptions'!AZ41/1000000</f>
        <v>-0.34414162764944001</v>
      </c>
      <c r="BA41" s="259">
        <f>-'Cost assumptions'!BA41/1000000</f>
        <v>-0.34414162764944001</v>
      </c>
      <c r="BB41" s="259">
        <f>-'Cost assumptions'!BB41/1000000</f>
        <v>-0.34414162764944001</v>
      </c>
      <c r="BC41" s="259">
        <f>-'Cost assumptions'!BC41/1000000</f>
        <v>-0.34414162764944001</v>
      </c>
      <c r="BD41" s="259">
        <f>-'Cost assumptions'!BD41/1000000</f>
        <v>-0.34414162764944001</v>
      </c>
      <c r="BE41" s="259">
        <f>-'Cost assumptions'!BE41/1000000</f>
        <v>-0.34414162764944001</v>
      </c>
      <c r="BF41" s="259">
        <f>-'Cost assumptions'!BF41/1000000</f>
        <v>-0.34414162764944001</v>
      </c>
      <c r="BG41" s="259">
        <f>-'Cost assumptions'!BG41/1000000</f>
        <v>-0.34414162764944001</v>
      </c>
      <c r="BH41" s="259">
        <f>-'Cost assumptions'!BH41/1000000</f>
        <v>-0.34414162764944001</v>
      </c>
      <c r="BI41" s="259">
        <f>-'Cost assumptions'!BI41/1000000</f>
        <v>-0.34414162764944001</v>
      </c>
      <c r="BJ41" s="259">
        <f>-'Cost assumptions'!BJ41/1000000</f>
        <v>-0.34414162764944001</v>
      </c>
      <c r="BK41" s="259">
        <f>-'Cost assumptions'!BK41/1000000</f>
        <v>-0.34414162764944001</v>
      </c>
      <c r="BL41" s="261">
        <f t="shared" si="25"/>
        <v>-12.510652</v>
      </c>
      <c r="BM41" s="261">
        <f t="shared" si="26"/>
        <v>-3.3710649599999987</v>
      </c>
      <c r="BN41" s="261">
        <f t="shared" si="27"/>
        <v>-3.6070395072000014</v>
      </c>
      <c r="BO41" s="261">
        <f t="shared" si="28"/>
        <v>-3.8595322727039991</v>
      </c>
      <c r="BP41" s="261">
        <f t="shared" si="29"/>
        <v>-4.1296995317932801</v>
      </c>
    </row>
    <row r="42" spans="1:68" x14ac:dyDescent="0.15">
      <c r="A42" t="s">
        <v>127</v>
      </c>
      <c r="B42" t="s">
        <v>236</v>
      </c>
      <c r="D42" s="259">
        <f>-'Cost assumptions'!D42/1000000</f>
        <v>0</v>
      </c>
      <c r="E42" s="259">
        <f>-'Cost assumptions'!E42/1000000</f>
        <v>0</v>
      </c>
      <c r="F42" s="259">
        <f>-'Cost assumptions'!F42/1000000</f>
        <v>0</v>
      </c>
      <c r="G42" s="259">
        <f>-'Cost assumptions'!G42/1000000</f>
        <v>0</v>
      </c>
      <c r="H42" s="259">
        <f>-'Cost assumptions'!H42/1000000</f>
        <v>0</v>
      </c>
      <c r="I42" s="259">
        <f>-'Cost assumptions'!I42/1000000</f>
        <v>0</v>
      </c>
      <c r="J42" s="259">
        <f>-'Cost assumptions'!J42/1000000</f>
        <v>0</v>
      </c>
      <c r="K42" s="259">
        <f>-'Cost assumptions'!K42/1000000</f>
        <v>-0.33333333333333331</v>
      </c>
      <c r="L42" s="259">
        <f>-'Cost assumptions'!L42/1000000</f>
        <v>-0.33333333333333331</v>
      </c>
      <c r="M42" s="259">
        <f>-'Cost assumptions'!M42/1000000</f>
        <v>-0.33333333333333331</v>
      </c>
      <c r="N42" s="259">
        <f>-'Cost assumptions'!N42/1000000</f>
        <v>-0.33333333333333331</v>
      </c>
      <c r="O42" s="259">
        <f>-'Cost assumptions'!O42/1000000</f>
        <v>-0.33333333333333331</v>
      </c>
      <c r="P42" s="259">
        <f>-'Cost assumptions'!P42/1000000</f>
        <v>-0.33333333333333331</v>
      </c>
      <c r="Q42" s="259">
        <f>-'Cost assumptions'!Q42/1000000</f>
        <v>-0.33333333333333331</v>
      </c>
      <c r="R42" s="259">
        <f>-'Cost assumptions'!R42/1000000</f>
        <v>-0.33333333333333331</v>
      </c>
      <c r="S42" s="259">
        <f>-'Cost assumptions'!S42/1000000</f>
        <v>-0.33333333333333331</v>
      </c>
      <c r="T42" s="259">
        <f>-'Cost assumptions'!T42/1000000</f>
        <v>-0.33333333333333331</v>
      </c>
      <c r="U42" s="259">
        <f>-'Cost assumptions'!U42/1000000</f>
        <v>-0.33333333333333331</v>
      </c>
      <c r="V42" s="259">
        <f>-'Cost assumptions'!V42/1000000</f>
        <v>-0.33333333333333331</v>
      </c>
      <c r="W42" s="259">
        <f>-'Cost assumptions'!W42/1000000</f>
        <v>-0.25</v>
      </c>
      <c r="X42" s="259">
        <f>-'Cost assumptions'!X42/1000000</f>
        <v>-0.25</v>
      </c>
      <c r="Y42" s="259">
        <f>-'Cost assumptions'!Y42/1000000</f>
        <v>-0.25</v>
      </c>
      <c r="Z42" s="259">
        <f>-'Cost assumptions'!Z42/1000000</f>
        <v>-0.25</v>
      </c>
      <c r="AA42" s="259">
        <f>-'Cost assumptions'!AA42/1000000</f>
        <v>-0.25</v>
      </c>
      <c r="AB42" s="259">
        <f>-'Cost assumptions'!AB42/1000000</f>
        <v>-0.25</v>
      </c>
      <c r="AC42" s="259">
        <f>-'Cost assumptions'!AC42/1000000</f>
        <v>-0.25</v>
      </c>
      <c r="AD42" s="259">
        <f>-'Cost assumptions'!AD42/1000000</f>
        <v>-0.25</v>
      </c>
      <c r="AE42" s="259">
        <f>-'Cost assumptions'!AE42/1000000</f>
        <v>-0.25</v>
      </c>
      <c r="AF42" s="259">
        <f>-'Cost assumptions'!AF42/1000000</f>
        <v>-0.25</v>
      </c>
      <c r="AG42" s="259">
        <f>-'Cost assumptions'!AG42/1000000</f>
        <v>-0.25</v>
      </c>
      <c r="AH42" s="259">
        <f>-'Cost assumptions'!AH42/1000000</f>
        <v>-0.25</v>
      </c>
      <c r="AI42" s="259">
        <f>-'Cost assumptions'!AI42/1000000</f>
        <v>-0.25</v>
      </c>
      <c r="AJ42" s="259">
        <f>-'Cost assumptions'!AJ42/1000000</f>
        <v>-0.25</v>
      </c>
      <c r="AK42" s="259">
        <f>-'Cost assumptions'!AK42/1000000</f>
        <v>-0.25</v>
      </c>
      <c r="AL42" s="259">
        <f>-'Cost assumptions'!AL42/1000000</f>
        <v>-0.25</v>
      </c>
      <c r="AM42" s="259">
        <f>-'Cost assumptions'!AM42/1000000</f>
        <v>-0.25</v>
      </c>
      <c r="AN42" s="259">
        <f>-'Cost assumptions'!AN42/1000000</f>
        <v>-0.25</v>
      </c>
      <c r="AO42" s="259">
        <f>-'Cost assumptions'!AO42/1000000</f>
        <v>-0.25</v>
      </c>
      <c r="AP42" s="259">
        <f>-'Cost assumptions'!AP42/1000000</f>
        <v>-0.25</v>
      </c>
      <c r="AQ42" s="259">
        <f>-'Cost assumptions'!AQ42/1000000</f>
        <v>-0.25</v>
      </c>
      <c r="AR42" s="259">
        <f>-'Cost assumptions'!AR42/1000000</f>
        <v>-0.25</v>
      </c>
      <c r="AS42" s="259">
        <f>-'Cost assumptions'!AS42/1000000</f>
        <v>-0.25</v>
      </c>
      <c r="AT42" s="259">
        <f>-'Cost assumptions'!AT42/1000000</f>
        <v>-0.25</v>
      </c>
      <c r="AU42" s="259">
        <f>-'Cost assumptions'!AU42/1000000</f>
        <v>-0.25</v>
      </c>
      <c r="AV42" s="259">
        <f>-'Cost assumptions'!AV42/1000000</f>
        <v>-0.25</v>
      </c>
      <c r="AW42" s="259">
        <f>-'Cost assumptions'!AW42/1000000</f>
        <v>-0.25</v>
      </c>
      <c r="AX42" s="259">
        <f>-'Cost assumptions'!AX42/1000000</f>
        <v>-0.25</v>
      </c>
      <c r="AY42" s="259">
        <f>-'Cost assumptions'!AY42/1000000</f>
        <v>-0.25</v>
      </c>
      <c r="AZ42" s="259">
        <f>-'Cost assumptions'!AZ42/1000000</f>
        <v>-0.25</v>
      </c>
      <c r="BA42" s="259">
        <f>-'Cost assumptions'!BA42/1000000</f>
        <v>-0.25</v>
      </c>
      <c r="BB42" s="259">
        <f>-'Cost assumptions'!BB42/1000000</f>
        <v>-0.25</v>
      </c>
      <c r="BC42" s="259">
        <f>-'Cost assumptions'!BC42/1000000</f>
        <v>-0.25</v>
      </c>
      <c r="BD42" s="259">
        <f>-'Cost assumptions'!BD42/1000000</f>
        <v>-0.25</v>
      </c>
      <c r="BE42" s="259">
        <f>-'Cost assumptions'!BE42/1000000</f>
        <v>-0.25</v>
      </c>
      <c r="BF42" s="259">
        <f>-'Cost assumptions'!BF42/1000000</f>
        <v>-0.25</v>
      </c>
      <c r="BG42" s="259">
        <f>-'Cost assumptions'!BG42/1000000</f>
        <v>-0.25</v>
      </c>
      <c r="BH42" s="259">
        <f>-'Cost assumptions'!BH42/1000000</f>
        <v>-0.25</v>
      </c>
      <c r="BI42" s="259">
        <f>-'Cost assumptions'!BI42/1000000</f>
        <v>-0.25</v>
      </c>
      <c r="BJ42" s="259">
        <f>-'Cost assumptions'!BJ42/1000000</f>
        <v>-0.25</v>
      </c>
      <c r="BK42" s="259">
        <f>-'Cost assumptions'!BK42/1000000</f>
        <v>-0.25</v>
      </c>
      <c r="BL42" s="261">
        <f t="shared" si="25"/>
        <v>-1.6666666666666665</v>
      </c>
      <c r="BM42" s="261">
        <f t="shared" si="26"/>
        <v>-3.583333333333333</v>
      </c>
      <c r="BN42" s="261">
        <f t="shared" si="27"/>
        <v>-3</v>
      </c>
      <c r="BO42" s="261">
        <f t="shared" si="28"/>
        <v>-3</v>
      </c>
      <c r="BP42" s="261">
        <f t="shared" si="29"/>
        <v>-3</v>
      </c>
    </row>
    <row r="43" spans="1:68" x14ac:dyDescent="0.15">
      <c r="A43" t="s">
        <v>128</v>
      </c>
      <c r="B43" t="s">
        <v>236</v>
      </c>
      <c r="D43" s="259">
        <v>0</v>
      </c>
      <c r="E43" s="259">
        <v>0</v>
      </c>
      <c r="F43" s="259">
        <v>0</v>
      </c>
      <c r="G43" s="259">
        <v>0</v>
      </c>
      <c r="H43" s="259">
        <v>0</v>
      </c>
      <c r="I43" s="259">
        <v>0</v>
      </c>
      <c r="J43" s="259">
        <v>0</v>
      </c>
      <c r="K43" s="259">
        <v>0</v>
      </c>
      <c r="L43" s="259">
        <v>0</v>
      </c>
      <c r="M43" s="259">
        <v>0</v>
      </c>
      <c r="N43" s="259">
        <v>0</v>
      </c>
      <c r="O43" s="259">
        <v>0</v>
      </c>
      <c r="P43" s="259">
        <v>0</v>
      </c>
      <c r="Q43" s="259">
        <v>0</v>
      </c>
      <c r="R43" s="259">
        <v>0</v>
      </c>
      <c r="S43" s="259">
        <v>0</v>
      </c>
      <c r="T43" s="259">
        <v>0</v>
      </c>
      <c r="U43" s="259">
        <v>0</v>
      </c>
      <c r="V43" s="259">
        <v>0</v>
      </c>
      <c r="W43" s="259">
        <v>0</v>
      </c>
      <c r="X43" s="259">
        <v>0</v>
      </c>
      <c r="Y43" s="259">
        <v>0</v>
      </c>
      <c r="Z43" s="259">
        <v>0</v>
      </c>
      <c r="AA43" s="259">
        <v>0</v>
      </c>
      <c r="AB43" s="259">
        <v>0</v>
      </c>
      <c r="AC43" s="259">
        <v>0</v>
      </c>
      <c r="AD43" s="259">
        <v>0</v>
      </c>
      <c r="AE43" s="259">
        <v>0</v>
      </c>
      <c r="AF43" s="259">
        <v>0</v>
      </c>
      <c r="AG43" s="259">
        <v>0</v>
      </c>
      <c r="AH43" s="259">
        <v>0</v>
      </c>
      <c r="AI43" s="259">
        <v>0</v>
      </c>
      <c r="AJ43" s="259">
        <v>0</v>
      </c>
      <c r="AK43" s="259">
        <v>0</v>
      </c>
      <c r="AL43" s="259">
        <v>0</v>
      </c>
      <c r="AM43" s="259">
        <v>0</v>
      </c>
      <c r="AN43" s="259">
        <v>0</v>
      </c>
      <c r="AO43" s="259">
        <v>0</v>
      </c>
      <c r="AP43" s="259">
        <v>0</v>
      </c>
      <c r="AQ43" s="259">
        <v>0</v>
      </c>
      <c r="AR43" s="259">
        <v>0</v>
      </c>
      <c r="AS43" s="259">
        <v>0</v>
      </c>
      <c r="AT43" s="259">
        <v>0</v>
      </c>
      <c r="AU43" s="259">
        <v>0</v>
      </c>
      <c r="AV43" s="259">
        <v>0</v>
      </c>
      <c r="AW43" s="259">
        <v>0</v>
      </c>
      <c r="AX43" s="259">
        <v>0</v>
      </c>
      <c r="AY43" s="259">
        <v>0</v>
      </c>
      <c r="AZ43" s="259">
        <v>0</v>
      </c>
      <c r="BA43" s="259">
        <v>0</v>
      </c>
      <c r="BB43" s="259">
        <v>0</v>
      </c>
      <c r="BC43" s="259">
        <v>0</v>
      </c>
      <c r="BD43" s="259">
        <v>0</v>
      </c>
      <c r="BE43" s="259">
        <v>0</v>
      </c>
      <c r="BF43" s="259">
        <v>0</v>
      </c>
      <c r="BG43" s="259">
        <v>0</v>
      </c>
      <c r="BH43" s="259">
        <v>0</v>
      </c>
      <c r="BI43" s="259">
        <v>0</v>
      </c>
      <c r="BJ43" s="259">
        <v>0</v>
      </c>
      <c r="BK43" s="259">
        <v>0</v>
      </c>
      <c r="BL43" s="261">
        <f t="shared" si="25"/>
        <v>0</v>
      </c>
      <c r="BM43" s="261">
        <f t="shared" si="26"/>
        <v>0</v>
      </c>
      <c r="BN43" s="261">
        <f t="shared" si="27"/>
        <v>0</v>
      </c>
      <c r="BO43" s="261">
        <f t="shared" si="28"/>
        <v>0</v>
      </c>
      <c r="BP43" s="261">
        <f t="shared" si="29"/>
        <v>0</v>
      </c>
    </row>
    <row r="44" spans="1:68" x14ac:dyDescent="0.15">
      <c r="A44" t="s">
        <v>129</v>
      </c>
      <c r="B44" t="s">
        <v>236</v>
      </c>
      <c r="D44" s="259">
        <f>-'Cost assumptions'!D43/1000000</f>
        <v>-0.125</v>
      </c>
      <c r="E44" s="259">
        <f>-'Cost assumptions'!E43/1000000</f>
        <v>-0.125</v>
      </c>
      <c r="F44" s="259">
        <f>-'Cost assumptions'!F43/1000000</f>
        <v>-0.82499999999999996</v>
      </c>
      <c r="G44" s="259">
        <f>-'Cost assumptions'!G43/1000000</f>
        <v>-0.125</v>
      </c>
      <c r="H44" s="259">
        <f>-'Cost assumptions'!H43/1000000</f>
        <v>-0.125</v>
      </c>
      <c r="I44" s="259">
        <f>-'Cost assumptions'!I43/1000000</f>
        <v>-0.125</v>
      </c>
      <c r="J44" s="259">
        <f>-'Cost assumptions'!J43/1000000</f>
        <v>-0.125</v>
      </c>
      <c r="K44" s="259">
        <f>-'Cost assumptions'!K43/1000000</f>
        <v>-0.42499999999999999</v>
      </c>
      <c r="L44" s="259">
        <f>-'Cost assumptions'!L43/1000000</f>
        <v>-0.125</v>
      </c>
      <c r="M44" s="259">
        <f>-'Cost assumptions'!M43/1000000</f>
        <v>-0.125</v>
      </c>
      <c r="N44" s="259">
        <f>-'Cost assumptions'!N43/1000000</f>
        <v>-0.125</v>
      </c>
      <c r="O44" s="259">
        <f>-'Cost assumptions'!O43/1000000</f>
        <v>-0.125</v>
      </c>
      <c r="P44" s="259">
        <f>-'Cost assumptions'!P43/1000000</f>
        <v>-0.125</v>
      </c>
      <c r="Q44" s="259">
        <f>-'Cost assumptions'!Q43/1000000</f>
        <v>-0.72499999999999998</v>
      </c>
      <c r="R44" s="259">
        <f>-'Cost assumptions'!R43/1000000</f>
        <v>-0.125</v>
      </c>
      <c r="S44" s="259">
        <f>-'Cost assumptions'!S43/1000000</f>
        <v>-0.125</v>
      </c>
      <c r="T44" s="259">
        <f>-'Cost assumptions'!T43/1000000</f>
        <v>-0.125</v>
      </c>
      <c r="U44" s="259">
        <f>-'Cost assumptions'!U43/1000000</f>
        <v>-0.125</v>
      </c>
      <c r="V44" s="259">
        <f>-'Cost assumptions'!V43/1000000</f>
        <v>-0.125</v>
      </c>
      <c r="W44" s="259">
        <f>-'Cost assumptions'!W43/1000000</f>
        <v>-0.125</v>
      </c>
      <c r="X44" s="259">
        <f>-'Cost assumptions'!X43/1000000</f>
        <v>-0.125</v>
      </c>
      <c r="Y44" s="259">
        <f>-'Cost assumptions'!Y43/1000000</f>
        <v>-0.125</v>
      </c>
      <c r="Z44" s="259">
        <f>-'Cost assumptions'!Z43/1000000</f>
        <v>-0.125</v>
      </c>
      <c r="AA44" s="259">
        <f>-'Cost assumptions'!AA43/1000000</f>
        <v>-0.125</v>
      </c>
      <c r="AB44" s="259">
        <f>-'Cost assumptions'!AB43/1000000</f>
        <v>-0.125</v>
      </c>
      <c r="AC44" s="259">
        <f>-'Cost assumptions'!AC43/1000000</f>
        <v>-0.125</v>
      </c>
      <c r="AD44" s="259">
        <f>-'Cost assumptions'!AD43/1000000</f>
        <v>-0.125</v>
      </c>
      <c r="AE44" s="259">
        <f>-'Cost assumptions'!AE43/1000000</f>
        <v>-0.125</v>
      </c>
      <c r="AF44" s="259">
        <f>-'Cost assumptions'!AF43/1000000</f>
        <v>-0.125</v>
      </c>
      <c r="AG44" s="259">
        <f>-'Cost assumptions'!AG43/1000000</f>
        <v>-0.125</v>
      </c>
      <c r="AH44" s="259">
        <f>-'Cost assumptions'!AH43/1000000</f>
        <v>-0.125</v>
      </c>
      <c r="AI44" s="259">
        <f>-'Cost assumptions'!AI43/1000000</f>
        <v>-0.125</v>
      </c>
      <c r="AJ44" s="259">
        <f>-'Cost assumptions'!AJ43/1000000</f>
        <v>-0.125</v>
      </c>
      <c r="AK44" s="259">
        <f>-'Cost assumptions'!AK43/1000000</f>
        <v>-0.125</v>
      </c>
      <c r="AL44" s="259">
        <f>-'Cost assumptions'!AL43/1000000</f>
        <v>-0.125</v>
      </c>
      <c r="AM44" s="259">
        <f>-'Cost assumptions'!AM43/1000000</f>
        <v>-0.125</v>
      </c>
      <c r="AN44" s="259">
        <f>-'Cost assumptions'!AN43/1000000</f>
        <v>-0.125</v>
      </c>
      <c r="AO44" s="259">
        <f>-'Cost assumptions'!AO43/1000000</f>
        <v>-0.125</v>
      </c>
      <c r="AP44" s="259">
        <f>-'Cost assumptions'!AP43/1000000</f>
        <v>-0.125</v>
      </c>
      <c r="AQ44" s="259">
        <f>-'Cost assumptions'!AQ43/1000000</f>
        <v>-0.125</v>
      </c>
      <c r="AR44" s="259">
        <f>-'Cost assumptions'!AR43/1000000</f>
        <v>-0.125</v>
      </c>
      <c r="AS44" s="259">
        <f>-'Cost assumptions'!AS43/1000000</f>
        <v>-0.125</v>
      </c>
      <c r="AT44" s="259">
        <f>-'Cost assumptions'!AT43/1000000</f>
        <v>-0.125</v>
      </c>
      <c r="AU44" s="259">
        <f>-'Cost assumptions'!AU43/1000000</f>
        <v>-0.125</v>
      </c>
      <c r="AV44" s="259">
        <f>-'Cost assumptions'!AV43/1000000</f>
        <v>-0.125</v>
      </c>
      <c r="AW44" s="259">
        <f>-'Cost assumptions'!AW43/1000000</f>
        <v>-0.125</v>
      </c>
      <c r="AX44" s="259">
        <f>-'Cost assumptions'!AX43/1000000</f>
        <v>-0.125</v>
      </c>
      <c r="AY44" s="259">
        <f>-'Cost assumptions'!AY43/1000000</f>
        <v>-0.125</v>
      </c>
      <c r="AZ44" s="259">
        <f>-'Cost assumptions'!AZ43/1000000</f>
        <v>-0.125</v>
      </c>
      <c r="BA44" s="259">
        <f>-'Cost assumptions'!BA43/1000000</f>
        <v>-0.125</v>
      </c>
      <c r="BB44" s="259">
        <f>-'Cost assumptions'!BB43/1000000</f>
        <v>-0.125</v>
      </c>
      <c r="BC44" s="259">
        <f>-'Cost assumptions'!BC43/1000000</f>
        <v>-0.125</v>
      </c>
      <c r="BD44" s="259">
        <f>-'Cost assumptions'!BD43/1000000</f>
        <v>-0.125</v>
      </c>
      <c r="BE44" s="259">
        <f>-'Cost assumptions'!BE43/1000000</f>
        <v>-0.125</v>
      </c>
      <c r="BF44" s="259">
        <f>-'Cost assumptions'!BF43/1000000</f>
        <v>-0.125</v>
      </c>
      <c r="BG44" s="259">
        <f>-'Cost assumptions'!BG43/1000000</f>
        <v>-0.125</v>
      </c>
      <c r="BH44" s="259">
        <f>-'Cost assumptions'!BH43/1000000</f>
        <v>-0.125</v>
      </c>
      <c r="BI44" s="259">
        <f>-'Cost assumptions'!BI43/1000000</f>
        <v>-0.125</v>
      </c>
      <c r="BJ44" s="259">
        <f>-'Cost assumptions'!BJ43/1000000</f>
        <v>-0.125</v>
      </c>
      <c r="BK44" s="259">
        <f>-'Cost assumptions'!BK43/1000000</f>
        <v>-0.125</v>
      </c>
      <c r="BL44" s="261">
        <f t="shared" si="25"/>
        <v>-2.5</v>
      </c>
      <c r="BM44" s="261">
        <f t="shared" si="26"/>
        <v>-2.1</v>
      </c>
      <c r="BN44" s="261">
        <f t="shared" si="27"/>
        <v>-1.5</v>
      </c>
      <c r="BO44" s="261">
        <f t="shared" si="28"/>
        <v>-1.5</v>
      </c>
      <c r="BP44" s="261">
        <f t="shared" si="29"/>
        <v>-1.5</v>
      </c>
    </row>
    <row r="45" spans="1:68" x14ac:dyDescent="0.15">
      <c r="A45" t="s">
        <v>130</v>
      </c>
      <c r="B45" t="s">
        <v>236</v>
      </c>
      <c r="D45" s="259">
        <f>-'Cost assumptions'!D44/1000000</f>
        <v>-6.0632600000000009E-2</v>
      </c>
      <c r="E45" s="259">
        <f>-'Cost assumptions'!E44/1000000</f>
        <v>-6.0632600000000009E-2</v>
      </c>
      <c r="F45" s="259">
        <f>-'Cost assumptions'!F44/1000000</f>
        <v>-6.1977600000000008E-2</v>
      </c>
      <c r="G45" s="259">
        <f>-'Cost assumptions'!G44/1000000</f>
        <v>-6.1977600000000008E-2</v>
      </c>
      <c r="H45" s="259">
        <f>-'Cost assumptions'!H44/1000000</f>
        <v>-8.0484800000000009E-2</v>
      </c>
      <c r="I45" s="259">
        <f>-'Cost assumptions'!I44/1000000</f>
        <v>-7.661119999999999E-2</v>
      </c>
      <c r="J45" s="259">
        <f>-'Cost assumptions'!J44/1000000</f>
        <v>-7.661119999999999E-2</v>
      </c>
      <c r="K45" s="259">
        <f>-'Cost assumptions'!K44/1000000</f>
        <v>-2.9321E-2</v>
      </c>
      <c r="L45" s="259">
        <f>-'Cost assumptions'!L44/1000000</f>
        <v>-2.9321E-2</v>
      </c>
      <c r="M45" s="259">
        <f>-'Cost assumptions'!M44/1000000</f>
        <v>-2.9321E-2</v>
      </c>
      <c r="N45" s="259">
        <f>-'Cost assumptions'!N44/1000000</f>
        <v>-2.9321E-2</v>
      </c>
      <c r="O45" s="259">
        <f>-'Cost assumptions'!O44/1000000</f>
        <v>-2.9321E-2</v>
      </c>
      <c r="P45" s="259">
        <f>-'Cost assumptions'!P44/1000000</f>
        <v>-1.4046103999999998E-2</v>
      </c>
      <c r="Q45" s="259">
        <f>-'Cost assumptions'!Q44/1000000</f>
        <v>-1.4046103999999998E-2</v>
      </c>
      <c r="R45" s="259">
        <f>-'Cost assumptions'!R44/1000000</f>
        <v>-1.4046103999999998E-2</v>
      </c>
      <c r="S45" s="259">
        <f>-'Cost assumptions'!S44/1000000</f>
        <v>-1.4046103999999998E-2</v>
      </c>
      <c r="T45" s="259">
        <f>-'Cost assumptions'!T44/1000000</f>
        <v>-1.4046103999999998E-2</v>
      </c>
      <c r="U45" s="259">
        <f>-'Cost assumptions'!U44/1000000</f>
        <v>-1.4046103999999998E-2</v>
      </c>
      <c r="V45" s="259">
        <f>-'Cost assumptions'!V44/1000000</f>
        <v>-1.4046103999999998E-2</v>
      </c>
      <c r="W45" s="259">
        <f>-'Cost assumptions'!W44/1000000</f>
        <v>-1.4046103999999998E-2</v>
      </c>
      <c r="X45" s="259">
        <f>-'Cost assumptions'!X44/1000000</f>
        <v>-1.4046103999999998E-2</v>
      </c>
      <c r="Y45" s="259">
        <f>-'Cost assumptions'!Y44/1000000</f>
        <v>-1.4046103999999998E-2</v>
      </c>
      <c r="Z45" s="259">
        <f>-'Cost assumptions'!Z44/1000000</f>
        <v>-1.4046103999999998E-2</v>
      </c>
      <c r="AA45" s="259">
        <f>-'Cost assumptions'!AA44/1000000</f>
        <v>-1.4046103999999998E-2</v>
      </c>
      <c r="AB45" s="259">
        <f>-'Cost assumptions'!AB44/1000000</f>
        <v>-1.5029331280000002E-2</v>
      </c>
      <c r="AC45" s="259">
        <f>-'Cost assumptions'!AC44/1000000</f>
        <v>-1.5029331280000002E-2</v>
      </c>
      <c r="AD45" s="259">
        <f>-'Cost assumptions'!AD44/1000000</f>
        <v>-1.5029331280000002E-2</v>
      </c>
      <c r="AE45" s="259">
        <f>-'Cost assumptions'!AE44/1000000</f>
        <v>-1.5029331280000002E-2</v>
      </c>
      <c r="AF45" s="259">
        <f>-'Cost assumptions'!AF44/1000000</f>
        <v>-1.5029331280000002E-2</v>
      </c>
      <c r="AG45" s="259">
        <f>-'Cost assumptions'!AG44/1000000</f>
        <v>-1.5029331280000002E-2</v>
      </c>
      <c r="AH45" s="259">
        <f>-'Cost assumptions'!AH44/1000000</f>
        <v>-1.5029331280000002E-2</v>
      </c>
      <c r="AI45" s="259">
        <f>-'Cost assumptions'!AI44/1000000</f>
        <v>-1.5029331280000002E-2</v>
      </c>
      <c r="AJ45" s="259">
        <f>-'Cost assumptions'!AJ44/1000000</f>
        <v>-1.5029331280000002E-2</v>
      </c>
      <c r="AK45" s="259">
        <f>-'Cost assumptions'!AK44/1000000</f>
        <v>-1.5029331280000002E-2</v>
      </c>
      <c r="AL45" s="259">
        <f>-'Cost assumptions'!AL44/1000000</f>
        <v>-1.5029331280000002E-2</v>
      </c>
      <c r="AM45" s="259">
        <f>-'Cost assumptions'!AM44/1000000</f>
        <v>-1.5029331280000002E-2</v>
      </c>
      <c r="AN45" s="259">
        <f>-'Cost assumptions'!AN44/1000000</f>
        <v>-1.6081384469599998E-2</v>
      </c>
      <c r="AO45" s="259">
        <f>-'Cost assumptions'!AO44/1000000</f>
        <v>-1.6081384469599998E-2</v>
      </c>
      <c r="AP45" s="259">
        <f>-'Cost assumptions'!AP44/1000000</f>
        <v>-1.6081384469599998E-2</v>
      </c>
      <c r="AQ45" s="259">
        <f>-'Cost assumptions'!AQ44/1000000</f>
        <v>-1.6081384469599998E-2</v>
      </c>
      <c r="AR45" s="259">
        <f>-'Cost assumptions'!AR44/1000000</f>
        <v>-1.6081384469599998E-2</v>
      </c>
      <c r="AS45" s="259">
        <f>-'Cost assumptions'!AS44/1000000</f>
        <v>-1.6081384469599998E-2</v>
      </c>
      <c r="AT45" s="259">
        <f>-'Cost assumptions'!AT44/1000000</f>
        <v>-1.6081384469599998E-2</v>
      </c>
      <c r="AU45" s="259">
        <f>-'Cost assumptions'!AU44/1000000</f>
        <v>-1.6081384469599998E-2</v>
      </c>
      <c r="AV45" s="259">
        <f>-'Cost assumptions'!AV44/1000000</f>
        <v>-1.6081384469599998E-2</v>
      </c>
      <c r="AW45" s="259">
        <f>-'Cost assumptions'!AW44/1000000</f>
        <v>-1.6081384469599998E-2</v>
      </c>
      <c r="AX45" s="259">
        <f>-'Cost assumptions'!AX44/1000000</f>
        <v>-1.6081384469599998E-2</v>
      </c>
      <c r="AY45" s="259">
        <f>-'Cost assumptions'!AY44/1000000</f>
        <v>-1.6081384469599998E-2</v>
      </c>
      <c r="AZ45" s="259">
        <f>-'Cost assumptions'!AZ44/1000000</f>
        <v>-1.7207081382472001E-2</v>
      </c>
      <c r="BA45" s="259">
        <f>-'Cost assumptions'!BA44/1000000</f>
        <v>-1.7207081382472001E-2</v>
      </c>
      <c r="BB45" s="259">
        <f>-'Cost assumptions'!BB44/1000000</f>
        <v>-1.7207081382472001E-2</v>
      </c>
      <c r="BC45" s="259">
        <f>-'Cost assumptions'!BC44/1000000</f>
        <v>-1.7207081382472001E-2</v>
      </c>
      <c r="BD45" s="259">
        <f>-'Cost assumptions'!BD44/1000000</f>
        <v>-1.7207081382472001E-2</v>
      </c>
      <c r="BE45" s="259">
        <f>-'Cost assumptions'!BE44/1000000</f>
        <v>-1.7207081382472001E-2</v>
      </c>
      <c r="BF45" s="259">
        <f>-'Cost assumptions'!BF44/1000000</f>
        <v>-1.7207081382472001E-2</v>
      </c>
      <c r="BG45" s="259">
        <f>-'Cost assumptions'!BG44/1000000</f>
        <v>-1.7207081382472001E-2</v>
      </c>
      <c r="BH45" s="259">
        <f>-'Cost assumptions'!BH44/1000000</f>
        <v>-1.7207081382472001E-2</v>
      </c>
      <c r="BI45" s="259">
        <f>-'Cost assumptions'!BI44/1000000</f>
        <v>-1.7207081382472001E-2</v>
      </c>
      <c r="BJ45" s="259">
        <f>-'Cost assumptions'!BJ44/1000000</f>
        <v>-1.7207081382472001E-2</v>
      </c>
      <c r="BK45" s="259">
        <f>-'Cost assumptions'!BK44/1000000</f>
        <v>-1.7207081382472001E-2</v>
      </c>
      <c r="BL45" s="261">
        <f t="shared" si="25"/>
        <v>-0.62553260000000022</v>
      </c>
      <c r="BM45" s="261">
        <f t="shared" si="26"/>
        <v>-0.16855324800000002</v>
      </c>
      <c r="BN45" s="261">
        <f t="shared" si="27"/>
        <v>-0.18035197536000003</v>
      </c>
      <c r="BO45" s="261">
        <f t="shared" si="28"/>
        <v>-0.1929766136352</v>
      </c>
      <c r="BP45" s="261">
        <f t="shared" si="29"/>
        <v>-0.20648497658966405</v>
      </c>
    </row>
    <row r="46" spans="1:68" x14ac:dyDescent="0.15">
      <c r="A46" t="s">
        <v>131</v>
      </c>
      <c r="B46" t="s">
        <v>236</v>
      </c>
      <c r="D46" s="259">
        <v>0</v>
      </c>
      <c r="E46" s="259">
        <v>0</v>
      </c>
      <c r="F46" s="259">
        <v>0</v>
      </c>
      <c r="G46" s="259">
        <v>0</v>
      </c>
      <c r="H46" s="259">
        <v>0</v>
      </c>
      <c r="I46" s="259">
        <v>0</v>
      </c>
      <c r="J46" s="259">
        <v>0</v>
      </c>
      <c r="K46" s="259">
        <v>0</v>
      </c>
      <c r="L46" s="259">
        <v>0</v>
      </c>
      <c r="M46" s="259">
        <v>0</v>
      </c>
      <c r="N46" s="259">
        <v>0</v>
      </c>
      <c r="O46" s="259">
        <v>0</v>
      </c>
      <c r="P46" s="259">
        <v>0</v>
      </c>
      <c r="Q46" s="259">
        <v>0</v>
      </c>
      <c r="R46" s="259">
        <v>0</v>
      </c>
      <c r="S46" s="259">
        <v>0</v>
      </c>
      <c r="T46" s="259">
        <v>0</v>
      </c>
      <c r="U46" s="259">
        <v>0</v>
      </c>
      <c r="V46" s="259">
        <v>0</v>
      </c>
      <c r="W46" s="259">
        <v>0</v>
      </c>
      <c r="X46" s="259">
        <v>0</v>
      </c>
      <c r="Y46" s="259">
        <v>0</v>
      </c>
      <c r="Z46" s="259">
        <v>0</v>
      </c>
      <c r="AA46" s="259">
        <v>0</v>
      </c>
      <c r="AB46" s="259">
        <v>0</v>
      </c>
      <c r="AC46" s="259">
        <v>0</v>
      </c>
      <c r="AD46" s="259">
        <v>0</v>
      </c>
      <c r="AE46" s="259">
        <v>0</v>
      </c>
      <c r="AF46" s="259">
        <v>0</v>
      </c>
      <c r="AG46" s="259">
        <v>0</v>
      </c>
      <c r="AH46" s="259">
        <v>0</v>
      </c>
      <c r="AI46" s="259">
        <v>0</v>
      </c>
      <c r="AJ46" s="259">
        <v>0</v>
      </c>
      <c r="AK46" s="259">
        <v>0</v>
      </c>
      <c r="AL46" s="259">
        <v>0</v>
      </c>
      <c r="AM46" s="259">
        <v>0</v>
      </c>
      <c r="AN46" s="259">
        <v>0</v>
      </c>
      <c r="AO46" s="259">
        <v>0</v>
      </c>
      <c r="AP46" s="259">
        <v>0</v>
      </c>
      <c r="AQ46" s="259">
        <v>0</v>
      </c>
      <c r="AR46" s="259">
        <v>0</v>
      </c>
      <c r="AS46" s="259">
        <v>0</v>
      </c>
      <c r="AT46" s="259">
        <v>0</v>
      </c>
      <c r="AU46" s="259">
        <v>0</v>
      </c>
      <c r="AV46" s="259">
        <v>0</v>
      </c>
      <c r="AW46" s="259">
        <v>0</v>
      </c>
      <c r="AX46" s="259">
        <v>0</v>
      </c>
      <c r="AY46" s="259">
        <v>0</v>
      </c>
      <c r="AZ46" s="259">
        <v>0</v>
      </c>
      <c r="BA46" s="259">
        <v>0</v>
      </c>
      <c r="BB46" s="259">
        <v>0</v>
      </c>
      <c r="BC46" s="259">
        <v>0</v>
      </c>
      <c r="BD46" s="259">
        <v>0</v>
      </c>
      <c r="BE46" s="259">
        <v>0</v>
      </c>
      <c r="BF46" s="259">
        <v>0</v>
      </c>
      <c r="BG46" s="259">
        <v>0</v>
      </c>
      <c r="BH46" s="259">
        <v>0</v>
      </c>
      <c r="BI46" s="259">
        <v>0</v>
      </c>
      <c r="BJ46" s="259">
        <v>0</v>
      </c>
      <c r="BK46" s="259">
        <v>0</v>
      </c>
      <c r="BL46" s="261">
        <f t="shared" si="25"/>
        <v>0</v>
      </c>
      <c r="BM46" s="261">
        <f t="shared" si="26"/>
        <v>0</v>
      </c>
      <c r="BN46" s="261">
        <f t="shared" si="27"/>
        <v>0</v>
      </c>
      <c r="BO46" s="261">
        <f t="shared" si="28"/>
        <v>0</v>
      </c>
      <c r="BP46" s="261">
        <f t="shared" si="29"/>
        <v>0</v>
      </c>
    </row>
    <row r="47" spans="1:68" x14ac:dyDescent="0.15">
      <c r="A47" s="232" t="s">
        <v>132</v>
      </c>
      <c r="B47" t="s">
        <v>236</v>
      </c>
      <c r="D47" s="262">
        <f t="shared" ref="D47:AI47" si="30">D39+SUM(D40:D46)</f>
        <v>-1.3982846</v>
      </c>
      <c r="E47" s="262">
        <f t="shared" si="30"/>
        <v>-1.3982846</v>
      </c>
      <c r="F47" s="262">
        <f t="shared" si="30"/>
        <v>-1.9744221873681194</v>
      </c>
      <c r="G47" s="262">
        <f t="shared" si="30"/>
        <v>-1.159465827358513</v>
      </c>
      <c r="H47" s="262">
        <f t="shared" si="30"/>
        <v>-1.3365848130015392</v>
      </c>
      <c r="I47" s="262">
        <f t="shared" si="30"/>
        <v>-1.0142614682268416</v>
      </c>
      <c r="J47" s="262">
        <f t="shared" si="30"/>
        <v>-0.75678629636791128</v>
      </c>
      <c r="K47" s="262">
        <f t="shared" si="30"/>
        <v>-8.9365723439849276E-2</v>
      </c>
      <c r="L47" s="262">
        <f t="shared" si="30"/>
        <v>0.44742605065969898</v>
      </c>
      <c r="M47" s="262">
        <f t="shared" si="30"/>
        <v>0.65550459566395403</v>
      </c>
      <c r="N47" s="262">
        <f t="shared" si="30"/>
        <v>1.2207843826677909</v>
      </c>
      <c r="O47" s="262">
        <f t="shared" si="30"/>
        <v>1.4038524914506731</v>
      </c>
      <c r="P47" s="262">
        <f t="shared" si="30"/>
        <v>0.33658263355852991</v>
      </c>
      <c r="Q47" s="262">
        <f t="shared" si="30"/>
        <v>0.90428355381338243</v>
      </c>
      <c r="R47" s="262">
        <f t="shared" si="30"/>
        <v>1.5536650232385876</v>
      </c>
      <c r="S47" s="262">
        <f t="shared" si="30"/>
        <v>1.5846429613451669</v>
      </c>
      <c r="T47" s="262">
        <f t="shared" si="30"/>
        <v>1.6048920843903909</v>
      </c>
      <c r="U47" s="262">
        <f t="shared" si="30"/>
        <v>1.619248092690734</v>
      </c>
      <c r="V47" s="262">
        <f t="shared" si="30"/>
        <v>1.6304736888124196</v>
      </c>
      <c r="W47" s="262">
        <f t="shared" si="30"/>
        <v>1.7234031783773613</v>
      </c>
      <c r="X47" s="262">
        <f t="shared" si="30"/>
        <v>1.7321645507171053</v>
      </c>
      <c r="Y47" s="262">
        <f t="shared" si="30"/>
        <v>1.7405063062026027</v>
      </c>
      <c r="Z47" s="262">
        <f t="shared" si="30"/>
        <v>2.2323663030088179</v>
      </c>
      <c r="AA47" s="262">
        <f t="shared" si="30"/>
        <v>2.2420201077496236</v>
      </c>
      <c r="AB47" s="262">
        <f t="shared" si="30"/>
        <v>0.52671731764488894</v>
      </c>
      <c r="AC47" s="262">
        <f t="shared" si="30"/>
        <v>1.7520547460163802</v>
      </c>
      <c r="AD47" s="262">
        <f t="shared" si="30"/>
        <v>1.760068768457421</v>
      </c>
      <c r="AE47" s="262">
        <f t="shared" si="30"/>
        <v>1.7681006119050466</v>
      </c>
      <c r="AF47" s="262">
        <f t="shared" si="30"/>
        <v>1.7761544148692843</v>
      </c>
      <c r="AG47" s="262">
        <f t="shared" si="30"/>
        <v>1.7842323510688527</v>
      </c>
      <c r="AH47" s="262">
        <f t="shared" si="30"/>
        <v>1.7923355821951206</v>
      </c>
      <c r="AI47" s="262">
        <f t="shared" si="30"/>
        <v>1.8004647487560774</v>
      </c>
      <c r="AJ47" s="262">
        <f t="shared" ref="AJ47:BK47" si="31">AJ39+SUM(AJ40:AJ46)</f>
        <v>1.8086202229298063</v>
      </c>
      <c r="AK47" s="262">
        <f t="shared" si="31"/>
        <v>1.8168022388146077</v>
      </c>
      <c r="AL47" s="262">
        <f t="shared" si="31"/>
        <v>2.3281363428029112</v>
      </c>
      <c r="AM47" s="262">
        <f t="shared" si="31"/>
        <v>2.3380190054632584</v>
      </c>
      <c r="AN47" s="262">
        <f t="shared" si="31"/>
        <v>0.55335340634258645</v>
      </c>
      <c r="AO47" s="262">
        <f t="shared" si="31"/>
        <v>1.8277054165180422</v>
      </c>
      <c r="AP47" s="262">
        <f t="shared" si="31"/>
        <v>1.8360220785533874</v>
      </c>
      <c r="AQ47" s="262">
        <f t="shared" si="31"/>
        <v>1.8443659642400516</v>
      </c>
      <c r="AR47" s="262">
        <f t="shared" si="31"/>
        <v>1.8527371641248782</v>
      </c>
      <c r="AS47" s="262">
        <f t="shared" si="31"/>
        <v>1.8611357683607856</v>
      </c>
      <c r="AT47" s="262">
        <f t="shared" si="31"/>
        <v>1.8695618670402294</v>
      </c>
      <c r="AU47" s="262">
        <f t="shared" si="31"/>
        <v>1.8780155503674381</v>
      </c>
      <c r="AV47" s="262">
        <f t="shared" si="31"/>
        <v>1.8864969087475942</v>
      </c>
      <c r="AW47" s="262">
        <f t="shared" si="31"/>
        <v>1.8950060328332472</v>
      </c>
      <c r="AX47" s="262">
        <f t="shared" si="31"/>
        <v>2.4267934310307395</v>
      </c>
      <c r="AY47" s="262">
        <f t="shared" si="31"/>
        <v>2.4370713452958661</v>
      </c>
      <c r="AZ47" s="262">
        <f t="shared" si="31"/>
        <v>0.58035628289742491</v>
      </c>
      <c r="BA47" s="262">
        <f t="shared" si="31"/>
        <v>1.9056823738578599</v>
      </c>
      <c r="BB47" s="262">
        <f t="shared" si="31"/>
        <v>1.9143316961218346</v>
      </c>
      <c r="BC47" s="262">
        <f t="shared" si="31"/>
        <v>1.923009334015171</v>
      </c>
      <c r="BD47" s="262">
        <f t="shared" si="31"/>
        <v>1.9317153802363656</v>
      </c>
      <c r="BE47" s="262">
        <f t="shared" si="31"/>
        <v>1.9404499277871472</v>
      </c>
      <c r="BF47" s="262">
        <f t="shared" si="31"/>
        <v>1.9492130699735863</v>
      </c>
      <c r="BG47" s="262">
        <f t="shared" si="31"/>
        <v>1.958004900407146</v>
      </c>
      <c r="BH47" s="262">
        <f t="shared" si="31"/>
        <v>1.9668255130057175</v>
      </c>
      <c r="BI47" s="262">
        <f t="shared" si="31"/>
        <v>1.9756750019946372</v>
      </c>
      <c r="BJ47" s="262">
        <f t="shared" si="31"/>
        <v>2.5287338960956247</v>
      </c>
      <c r="BK47" s="262">
        <f t="shared" si="31"/>
        <v>2.5394229269122031</v>
      </c>
      <c r="BL47" s="260">
        <f t="shared" si="25"/>
        <v>-5.3998879953206576</v>
      </c>
      <c r="BM47" s="260">
        <f t="shared" si="26"/>
        <v>18.904248483904723</v>
      </c>
      <c r="BN47" s="260">
        <f t="shared" si="27"/>
        <v>21.251706350923655</v>
      </c>
      <c r="BO47" s="260">
        <f t="shared" si="28"/>
        <v>22.168264933454843</v>
      </c>
      <c r="BP47" s="260">
        <f t="shared" si="29"/>
        <v>23.113420303304714</v>
      </c>
    </row>
    <row r="48" spans="1:68" x14ac:dyDescent="0.15">
      <c r="A48" s="232" t="s">
        <v>133</v>
      </c>
      <c r="B48" t="s">
        <v>134</v>
      </c>
      <c r="D48" s="263">
        <f t="shared" ref="D48:AI48" si="32">IFERROR(D47/D39,0)</f>
        <v>0</v>
      </c>
      <c r="E48" s="263">
        <f t="shared" si="32"/>
        <v>0</v>
      </c>
      <c r="F48" s="263">
        <f t="shared" si="32"/>
        <v>-12.461228989941555</v>
      </c>
      <c r="G48" s="263">
        <f t="shared" si="32"/>
        <v>-4.1678704050901265</v>
      </c>
      <c r="H48" s="263">
        <f t="shared" si="32"/>
        <v>-2.6810116577212417</v>
      </c>
      <c r="I48" s="263">
        <f t="shared" si="32"/>
        <v>-1.353149741998529</v>
      </c>
      <c r="J48" s="263">
        <f t="shared" si="32"/>
        <v>-0.74358084003005698</v>
      </c>
      <c r="K48" s="263">
        <f t="shared" si="32"/>
        <v>-6.6778640573887244E-2</v>
      </c>
      <c r="L48" s="263">
        <f t="shared" si="32"/>
        <v>0.28230621112697535</v>
      </c>
      <c r="M48" s="263">
        <f t="shared" si="32"/>
        <v>0.36383677049200613</v>
      </c>
      <c r="N48" s="263">
        <f t="shared" si="32"/>
        <v>0.51068634386488532</v>
      </c>
      <c r="O48" s="263">
        <f t="shared" si="32"/>
        <v>0.54388143278206824</v>
      </c>
      <c r="P48" s="263">
        <f t="shared" si="32"/>
        <v>0.29647126068562141</v>
      </c>
      <c r="Q48" s="263">
        <f t="shared" si="32"/>
        <v>0.38453133959638525</v>
      </c>
      <c r="R48" s="263">
        <f t="shared" si="32"/>
        <v>0.64652798212638196</v>
      </c>
      <c r="S48" s="263">
        <f t="shared" si="32"/>
        <v>0.65068150966152793</v>
      </c>
      <c r="T48" s="263">
        <f t="shared" si="32"/>
        <v>0.6533375376341457</v>
      </c>
      <c r="U48" s="263">
        <f t="shared" si="32"/>
        <v>0.65519311478900366</v>
      </c>
      <c r="V48" s="263">
        <f t="shared" si="32"/>
        <v>0.65662850138907658</v>
      </c>
      <c r="W48" s="263">
        <f t="shared" si="32"/>
        <v>0.69127051374044479</v>
      </c>
      <c r="X48" s="263">
        <f t="shared" si="32"/>
        <v>0.69225065903123595</v>
      </c>
      <c r="Y48" s="263">
        <f t="shared" si="32"/>
        <v>0.69317723989439906</v>
      </c>
      <c r="Z48" s="263">
        <f t="shared" si="32"/>
        <v>0.73839581911771368</v>
      </c>
      <c r="AA48" s="263">
        <f t="shared" si="32"/>
        <v>0.73913047986413383</v>
      </c>
      <c r="AB48" s="263">
        <f t="shared" si="32"/>
        <v>0.41537402740957863</v>
      </c>
      <c r="AC48" s="263">
        <f t="shared" si="32"/>
        <v>0.68857933006742889</v>
      </c>
      <c r="AD48" s="263">
        <f t="shared" si="32"/>
        <v>0.68946690704430924</v>
      </c>
      <c r="AE48" s="263">
        <f t="shared" si="32"/>
        <v>0.69035065244124028</v>
      </c>
      <c r="AF48" s="263">
        <f t="shared" si="32"/>
        <v>0.69123103544711106</v>
      </c>
      <c r="AG48" s="263">
        <f t="shared" si="32"/>
        <v>0.6921083007490324</v>
      </c>
      <c r="AH48" s="263">
        <f t="shared" si="32"/>
        <v>0.69298257812483965</v>
      </c>
      <c r="AI48" s="263">
        <f t="shared" si="32"/>
        <v>0.6938539385316661</v>
      </c>
      <c r="AJ48" s="263">
        <f t="shared" ref="AJ48:BO48" si="33">IFERROR(AJ47/AJ39,0)</f>
        <v>0.69472242281029473</v>
      </c>
      <c r="AK48" s="263">
        <f t="shared" si="33"/>
        <v>0.69558805637480126</v>
      </c>
      <c r="AL48" s="263">
        <f t="shared" si="33"/>
        <v>0.74037571394167045</v>
      </c>
      <c r="AM48" s="263">
        <f t="shared" si="33"/>
        <v>0.74109236443211268</v>
      </c>
      <c r="AN48" s="263">
        <f t="shared" si="33"/>
        <v>0.41958377125527779</v>
      </c>
      <c r="AO48" s="263">
        <f t="shared" si="33"/>
        <v>0.69067359145598006</v>
      </c>
      <c r="AP48" s="263">
        <f t="shared" si="33"/>
        <v>0.69155241961913538</v>
      </c>
      <c r="AQ48" s="263">
        <f t="shared" si="33"/>
        <v>0.69242837980418437</v>
      </c>
      <c r="AR48" s="263">
        <f t="shared" si="33"/>
        <v>0.69330148152153859</v>
      </c>
      <c r="AS48" s="263">
        <f t="shared" si="33"/>
        <v>0.69417173417634492</v>
      </c>
      <c r="AT48" s="263">
        <f t="shared" si="33"/>
        <v>0.69503914710507242</v>
      </c>
      <c r="AU48" s="263">
        <f t="shared" si="33"/>
        <v>0.69590372959428515</v>
      </c>
      <c r="AV48" s="263">
        <f t="shared" si="33"/>
        <v>0.69676549089029638</v>
      </c>
      <c r="AW48" s="263">
        <f t="shared" si="33"/>
        <v>0.69762444020415737</v>
      </c>
      <c r="AX48" s="263">
        <f t="shared" si="33"/>
        <v>0.74206715559521474</v>
      </c>
      <c r="AY48" s="263">
        <f t="shared" si="33"/>
        <v>0.74277828297308657</v>
      </c>
      <c r="AZ48" s="263">
        <f t="shared" si="33"/>
        <v>0.42313353028696338</v>
      </c>
      <c r="BA48" s="263">
        <f t="shared" si="33"/>
        <v>0.69244267819231864</v>
      </c>
      <c r="BB48" s="263">
        <f t="shared" si="33"/>
        <v>0.69331573308641337</v>
      </c>
      <c r="BC48" s="263">
        <f t="shared" si="33"/>
        <v>0.69418593915218807</v>
      </c>
      <c r="BD48" s="263">
        <f t="shared" si="33"/>
        <v>0.6950533056855831</v>
      </c>
      <c r="BE48" s="263">
        <f t="shared" si="33"/>
        <v>0.69591784195218165</v>
      </c>
      <c r="BF48" s="263">
        <f t="shared" si="33"/>
        <v>0.69677955718732021</v>
      </c>
      <c r="BG48" s="263">
        <f t="shared" si="33"/>
        <v>0.69763846059619283</v>
      </c>
      <c r="BH48" s="263">
        <f t="shared" si="33"/>
        <v>0.6984945613539536</v>
      </c>
      <c r="BI48" s="263">
        <f t="shared" si="33"/>
        <v>0.69934786860581566</v>
      </c>
      <c r="BJ48" s="263">
        <f t="shared" si="33"/>
        <v>0.74349865955595829</v>
      </c>
      <c r="BK48" s="263">
        <f t="shared" si="33"/>
        <v>0.74420511585298577</v>
      </c>
      <c r="BL48" s="264">
        <f t="shared" si="33"/>
        <v>-0.43551276747925532</v>
      </c>
      <c r="BM48" s="264">
        <f t="shared" si="33"/>
        <v>0.64521454422283664</v>
      </c>
      <c r="BN48" s="264">
        <f t="shared" si="33"/>
        <v>0.69066557861359934</v>
      </c>
      <c r="BO48" s="264">
        <f t="shared" si="33"/>
        <v>0.69274082941245796</v>
      </c>
      <c r="BP48" s="264">
        <f t="shared" ref="BP48" si="34">IFERROR(BP47/BP39,0)</f>
        <v>0.69449633640086506</v>
      </c>
    </row>
    <row r="49" spans="1:68" x14ac:dyDescent="0.15">
      <c r="A49" t="s">
        <v>111</v>
      </c>
      <c r="B49" t="s">
        <v>236</v>
      </c>
      <c r="D49" s="259">
        <f t="shared" ref="D49:AI49" si="35">-MAX(D47,0)*D12</f>
        <v>0</v>
      </c>
      <c r="E49" s="259">
        <f t="shared" si="35"/>
        <v>0</v>
      </c>
      <c r="F49" s="259">
        <f t="shared" si="35"/>
        <v>0</v>
      </c>
      <c r="G49" s="259">
        <f t="shared" si="35"/>
        <v>0</v>
      </c>
      <c r="H49" s="259">
        <f t="shared" si="35"/>
        <v>0</v>
      </c>
      <c r="I49" s="259">
        <f t="shared" si="35"/>
        <v>0</v>
      </c>
      <c r="J49" s="259">
        <f t="shared" si="35"/>
        <v>0</v>
      </c>
      <c r="K49" s="259">
        <f t="shared" si="35"/>
        <v>0</v>
      </c>
      <c r="L49" s="259">
        <f t="shared" si="35"/>
        <v>-2.237130253298495E-2</v>
      </c>
      <c r="M49" s="259">
        <f t="shared" si="35"/>
        <v>-3.2775229783197704E-2</v>
      </c>
      <c r="N49" s="259">
        <f t="shared" si="35"/>
        <v>-6.1039219133389548E-2</v>
      </c>
      <c r="O49" s="259">
        <f t="shared" si="35"/>
        <v>-7.0192624572533655E-2</v>
      </c>
      <c r="P49" s="259">
        <f t="shared" si="35"/>
        <v>-1.6829131677926497E-2</v>
      </c>
      <c r="Q49" s="259">
        <f t="shared" si="35"/>
        <v>-4.5214177690669127E-2</v>
      </c>
      <c r="R49" s="259">
        <f t="shared" si="35"/>
        <v>-7.7683251161929381E-2</v>
      </c>
      <c r="S49" s="259">
        <f t="shared" si="35"/>
        <v>-7.9232148067258354E-2</v>
      </c>
      <c r="T49" s="259">
        <f t="shared" si="35"/>
        <v>-8.0244604219519552E-2</v>
      </c>
      <c r="U49" s="259">
        <f t="shared" si="35"/>
        <v>-8.0962404634536703E-2</v>
      </c>
      <c r="V49" s="259">
        <f t="shared" si="35"/>
        <v>-8.1523684440620983E-2</v>
      </c>
      <c r="W49" s="259">
        <f t="shared" si="35"/>
        <v>-8.6170158918868076E-2</v>
      </c>
      <c r="X49" s="259">
        <f t="shared" si="35"/>
        <v>-8.6608227535855273E-2</v>
      </c>
      <c r="Y49" s="259">
        <f t="shared" si="35"/>
        <v>-8.7025315310130136E-2</v>
      </c>
      <c r="Z49" s="259">
        <f t="shared" si="35"/>
        <v>-0.11161831515044091</v>
      </c>
      <c r="AA49" s="259">
        <f t="shared" si="35"/>
        <v>-0.11210100538748119</v>
      </c>
      <c r="AB49" s="259">
        <f t="shared" si="35"/>
        <v>-2.6335865882244448E-2</v>
      </c>
      <c r="AC49" s="259">
        <f t="shared" si="35"/>
        <v>-8.7602737300819022E-2</v>
      </c>
      <c r="AD49" s="259">
        <f t="shared" si="35"/>
        <v>-8.8003438422871061E-2</v>
      </c>
      <c r="AE49" s="259">
        <f t="shared" si="35"/>
        <v>-8.8405030595252343E-2</v>
      </c>
      <c r="AF49" s="259">
        <f t="shared" si="35"/>
        <v>-8.8807720743464214E-2</v>
      </c>
      <c r="AG49" s="259">
        <f t="shared" si="35"/>
        <v>-8.9211617553442646E-2</v>
      </c>
      <c r="AH49" s="259">
        <f t="shared" si="35"/>
        <v>-8.9616779109756031E-2</v>
      </c>
      <c r="AI49" s="259">
        <f t="shared" si="35"/>
        <v>-9.0023237437803882E-2</v>
      </c>
      <c r="AJ49" s="259">
        <f t="shared" ref="AJ49:BK49" si="36">-MAX(AJ47,0)*AJ12</f>
        <v>-9.0431011146490325E-2</v>
      </c>
      <c r="AK49" s="259">
        <f t="shared" si="36"/>
        <v>-9.0840111940730384E-2</v>
      </c>
      <c r="AL49" s="259">
        <f t="shared" si="36"/>
        <v>-0.11640681714014556</v>
      </c>
      <c r="AM49" s="259">
        <f t="shared" si="36"/>
        <v>-0.11690095027316293</v>
      </c>
      <c r="AN49" s="259">
        <f t="shared" si="36"/>
        <v>-2.7667670317129325E-2</v>
      </c>
      <c r="AO49" s="259">
        <f t="shared" si="36"/>
        <v>-9.1385270825902115E-2</v>
      </c>
      <c r="AP49" s="259">
        <f t="shared" si="36"/>
        <v>-9.1801103927669381E-2</v>
      </c>
      <c r="AQ49" s="259">
        <f t="shared" si="36"/>
        <v>-9.2218298212002586E-2</v>
      </c>
      <c r="AR49" s="259">
        <f t="shared" si="36"/>
        <v>-9.2636858206243913E-2</v>
      </c>
      <c r="AS49" s="259">
        <f t="shared" si="36"/>
        <v>-9.3056788418039285E-2</v>
      </c>
      <c r="AT49" s="259">
        <f t="shared" si="36"/>
        <v>-9.3478093352011474E-2</v>
      </c>
      <c r="AU49" s="259">
        <f t="shared" si="36"/>
        <v>-9.3900777518371906E-2</v>
      </c>
      <c r="AV49" s="259">
        <f t="shared" si="36"/>
        <v>-9.432484543737972E-2</v>
      </c>
      <c r="AW49" s="259">
        <f t="shared" si="36"/>
        <v>-9.4750301641662371E-2</v>
      </c>
      <c r="AX49" s="259">
        <f t="shared" si="36"/>
        <v>-0.12133967155153698</v>
      </c>
      <c r="AY49" s="259">
        <f t="shared" si="36"/>
        <v>-0.12185356726479331</v>
      </c>
      <c r="AZ49" s="259">
        <f t="shared" si="36"/>
        <v>-2.9017814144871246E-2</v>
      </c>
      <c r="BA49" s="259">
        <f t="shared" si="36"/>
        <v>-9.5284118692892994E-2</v>
      </c>
      <c r="BB49" s="259">
        <f t="shared" si="36"/>
        <v>-9.5716584806091742E-2</v>
      </c>
      <c r="BC49" s="259">
        <f t="shared" si="36"/>
        <v>-9.6150466700758552E-2</v>
      </c>
      <c r="BD49" s="259">
        <f t="shared" si="36"/>
        <v>-9.6585769011818284E-2</v>
      </c>
      <c r="BE49" s="259">
        <f t="shared" si="36"/>
        <v>-9.7022496389357366E-2</v>
      </c>
      <c r="BF49" s="259">
        <f t="shared" si="36"/>
        <v>-9.7460653498679328E-2</v>
      </c>
      <c r="BG49" s="259">
        <f t="shared" si="36"/>
        <v>-9.790024502035731E-2</v>
      </c>
      <c r="BH49" s="259">
        <f t="shared" si="36"/>
        <v>-9.8341275650285886E-2</v>
      </c>
      <c r="BI49" s="259">
        <f t="shared" si="36"/>
        <v>-9.8783750099731865E-2</v>
      </c>
      <c r="BJ49" s="259">
        <f t="shared" si="36"/>
        <v>-0.12643669480478123</v>
      </c>
      <c r="BK49" s="259">
        <f t="shared" si="36"/>
        <v>-0.12697114634561016</v>
      </c>
      <c r="BL49" s="261">
        <f>SUM(D49:O49)</f>
        <v>-0.18637837602210586</v>
      </c>
      <c r="BM49" s="261">
        <f>SUM(P49:AA49)</f>
        <v>-0.94521242419523621</v>
      </c>
      <c r="BN49" s="261">
        <f>SUM(AB49:AM49)</f>
        <v>-1.0625853175461828</v>
      </c>
      <c r="BO49" s="261">
        <f>SUM(AN49:AY49)</f>
        <v>-1.1084132466727423</v>
      </c>
      <c r="BP49" s="261">
        <f>SUM(AZ49:BK49)</f>
        <v>-1.1556710151652358</v>
      </c>
    </row>
    <row r="50" spans="1:68" x14ac:dyDescent="0.15">
      <c r="A50" s="232" t="s">
        <v>254</v>
      </c>
      <c r="B50" t="s">
        <v>236</v>
      </c>
      <c r="D50" s="259">
        <f t="shared" ref="D50:AI50" si="37">D47+D49</f>
        <v>-1.3982846</v>
      </c>
      <c r="E50" s="259">
        <f t="shared" si="37"/>
        <v>-1.3982846</v>
      </c>
      <c r="F50" s="259">
        <f t="shared" si="37"/>
        <v>-1.9744221873681194</v>
      </c>
      <c r="G50" s="259">
        <f t="shared" si="37"/>
        <v>-1.159465827358513</v>
      </c>
      <c r="H50" s="259">
        <f t="shared" si="37"/>
        <v>-1.3365848130015392</v>
      </c>
      <c r="I50" s="259">
        <f t="shared" si="37"/>
        <v>-1.0142614682268416</v>
      </c>
      <c r="J50" s="259">
        <f t="shared" si="37"/>
        <v>-0.75678629636791128</v>
      </c>
      <c r="K50" s="259">
        <f t="shared" si="37"/>
        <v>-8.9365723439849276E-2</v>
      </c>
      <c r="L50" s="259">
        <f t="shared" si="37"/>
        <v>0.42505474812671401</v>
      </c>
      <c r="M50" s="259">
        <f t="shared" si="37"/>
        <v>0.62272936588075634</v>
      </c>
      <c r="N50" s="259">
        <f t="shared" si="37"/>
        <v>1.1597451635344014</v>
      </c>
      <c r="O50" s="259">
        <f t="shared" si="37"/>
        <v>1.3336598668781394</v>
      </c>
      <c r="P50" s="259">
        <f t="shared" si="37"/>
        <v>0.31975350188060342</v>
      </c>
      <c r="Q50" s="259">
        <f t="shared" si="37"/>
        <v>0.85906937612271328</v>
      </c>
      <c r="R50" s="259">
        <f t="shared" si="37"/>
        <v>1.4759817720766581</v>
      </c>
      <c r="S50" s="259">
        <f t="shared" si="37"/>
        <v>1.5054108132779085</v>
      </c>
      <c r="T50" s="259">
        <f t="shared" si="37"/>
        <v>1.5246474801708714</v>
      </c>
      <c r="U50" s="259">
        <f t="shared" si="37"/>
        <v>1.5382856880561973</v>
      </c>
      <c r="V50" s="259">
        <f t="shared" si="37"/>
        <v>1.5489500043717985</v>
      </c>
      <c r="W50" s="259">
        <f t="shared" si="37"/>
        <v>1.6372330194584932</v>
      </c>
      <c r="X50" s="259">
        <f t="shared" si="37"/>
        <v>1.64555632318125</v>
      </c>
      <c r="Y50" s="259">
        <f t="shared" si="37"/>
        <v>1.6534809908924726</v>
      </c>
      <c r="Z50" s="259">
        <f t="shared" si="37"/>
        <v>2.120747987858377</v>
      </c>
      <c r="AA50" s="259">
        <f t="shared" si="37"/>
        <v>2.1299191023621424</v>
      </c>
      <c r="AB50" s="259">
        <f t="shared" si="37"/>
        <v>0.50038145176264448</v>
      </c>
      <c r="AC50" s="259">
        <f t="shared" si="37"/>
        <v>1.6644520087155612</v>
      </c>
      <c r="AD50" s="259">
        <f t="shared" si="37"/>
        <v>1.6720653300345498</v>
      </c>
      <c r="AE50" s="259">
        <f t="shared" si="37"/>
        <v>1.6796955813097942</v>
      </c>
      <c r="AF50" s="259">
        <f t="shared" si="37"/>
        <v>1.6873466941258202</v>
      </c>
      <c r="AG50" s="259">
        <f t="shared" si="37"/>
        <v>1.6950207335154102</v>
      </c>
      <c r="AH50" s="259">
        <f t="shared" si="37"/>
        <v>1.7027188030853646</v>
      </c>
      <c r="AI50" s="259">
        <f t="shared" si="37"/>
        <v>1.7104415113182736</v>
      </c>
      <c r="AJ50" s="259">
        <f t="shared" ref="AJ50:BK50" si="38">AJ47+AJ49</f>
        <v>1.718189211783316</v>
      </c>
      <c r="AK50" s="259">
        <f t="shared" si="38"/>
        <v>1.7259621268738772</v>
      </c>
      <c r="AL50" s="259">
        <f t="shared" si="38"/>
        <v>2.2117295256627658</v>
      </c>
      <c r="AM50" s="259">
        <f t="shared" si="38"/>
        <v>2.2211180551900953</v>
      </c>
      <c r="AN50" s="259">
        <f t="shared" si="38"/>
        <v>0.5256857360254571</v>
      </c>
      <c r="AO50" s="259">
        <f t="shared" si="38"/>
        <v>1.73632014569214</v>
      </c>
      <c r="AP50" s="259">
        <f t="shared" si="38"/>
        <v>1.744220974625718</v>
      </c>
      <c r="AQ50" s="259">
        <f t="shared" si="38"/>
        <v>1.7521476660280491</v>
      </c>
      <c r="AR50" s="259">
        <f t="shared" si="38"/>
        <v>1.7601003059186342</v>
      </c>
      <c r="AS50" s="259">
        <f t="shared" si="38"/>
        <v>1.7680789799427463</v>
      </c>
      <c r="AT50" s="259">
        <f t="shared" si="38"/>
        <v>1.776083773688218</v>
      </c>
      <c r="AU50" s="259">
        <f t="shared" si="38"/>
        <v>1.7841147728490661</v>
      </c>
      <c r="AV50" s="259">
        <f t="shared" si="38"/>
        <v>1.7921720633102145</v>
      </c>
      <c r="AW50" s="259">
        <f t="shared" si="38"/>
        <v>1.8002557311915848</v>
      </c>
      <c r="AX50" s="259">
        <f t="shared" si="38"/>
        <v>2.3054537594792026</v>
      </c>
      <c r="AY50" s="259">
        <f t="shared" si="38"/>
        <v>2.315217778031073</v>
      </c>
      <c r="AZ50" s="259">
        <f t="shared" si="38"/>
        <v>0.55133846875255366</v>
      </c>
      <c r="BA50" s="259">
        <f t="shared" si="38"/>
        <v>1.8103982551649669</v>
      </c>
      <c r="BB50" s="259">
        <f t="shared" si="38"/>
        <v>1.8186151113157429</v>
      </c>
      <c r="BC50" s="259">
        <f t="shared" si="38"/>
        <v>1.8268588673144124</v>
      </c>
      <c r="BD50" s="259">
        <f t="shared" si="38"/>
        <v>1.8351296112245472</v>
      </c>
      <c r="BE50" s="259">
        <f t="shared" si="38"/>
        <v>1.8434274313977899</v>
      </c>
      <c r="BF50" s="259">
        <f t="shared" si="38"/>
        <v>1.8517524164749071</v>
      </c>
      <c r="BG50" s="259">
        <f t="shared" si="38"/>
        <v>1.8601046553867888</v>
      </c>
      <c r="BH50" s="259">
        <f t="shared" si="38"/>
        <v>1.8684842373554316</v>
      </c>
      <c r="BI50" s="259">
        <f t="shared" si="38"/>
        <v>1.8768912518949052</v>
      </c>
      <c r="BJ50" s="259">
        <f t="shared" si="38"/>
        <v>2.4022972012908435</v>
      </c>
      <c r="BK50" s="259">
        <f t="shared" si="38"/>
        <v>2.412451780566593</v>
      </c>
      <c r="BL50" s="260">
        <f>SUM(D50:O50)</f>
        <v>-5.5862663713427629</v>
      </c>
      <c r="BM50" s="260">
        <f>SUM(P50:AA50)</f>
        <v>17.959036059709483</v>
      </c>
      <c r="BN50" s="260">
        <f>SUM(AB50:AM50)</f>
        <v>20.189121033377472</v>
      </c>
      <c r="BO50" s="260">
        <f>SUM(AN50:AY50)</f>
        <v>21.059851686782103</v>
      </c>
      <c r="BP50" s="260">
        <f>SUM(AZ50:BK50)</f>
        <v>21.957749288139478</v>
      </c>
    </row>
    <row r="51" spans="1:68" x14ac:dyDescent="0.15">
      <c r="A51" t="s">
        <v>255</v>
      </c>
      <c r="B51" t="s">
        <v>236</v>
      </c>
      <c r="D51" s="259">
        <f t="shared" ref="D51:AI51" si="39">D39*2</f>
        <v>0</v>
      </c>
      <c r="E51" s="259">
        <f t="shared" si="39"/>
        <v>0</v>
      </c>
      <c r="F51" s="259">
        <f t="shared" si="39"/>
        <v>0.31689044298308489</v>
      </c>
      <c r="G51" s="259">
        <f t="shared" si="39"/>
        <v>0.55638285966976486</v>
      </c>
      <c r="H51" s="259">
        <f t="shared" si="39"/>
        <v>0.99707497291346026</v>
      </c>
      <c r="I51" s="259">
        <f t="shared" si="39"/>
        <v>1.4991119411940799</v>
      </c>
      <c r="J51" s="259">
        <f t="shared" si="39"/>
        <v>2.0355185492335184</v>
      </c>
      <c r="K51" s="259">
        <f t="shared" si="39"/>
        <v>2.6764762706114253</v>
      </c>
      <c r="L51" s="259">
        <f t="shared" si="39"/>
        <v>3.1697924666521504</v>
      </c>
      <c r="M51" s="259">
        <f t="shared" si="39"/>
        <v>3.6032894354110154</v>
      </c>
      <c r="N51" s="259">
        <f t="shared" si="39"/>
        <v>4.7809556583356754</v>
      </c>
      <c r="O51" s="259">
        <f t="shared" si="39"/>
        <v>5.1623475516333466</v>
      </c>
      <c r="P51" s="259">
        <f t="shared" si="39"/>
        <v>2.2705919810247148</v>
      </c>
      <c r="Q51" s="259">
        <f t="shared" si="39"/>
        <v>4.7033022315556572</v>
      </c>
      <c r="R51" s="259">
        <f t="shared" si="39"/>
        <v>4.8061802928581683</v>
      </c>
      <c r="S51" s="259">
        <f t="shared" si="39"/>
        <v>4.8707176639135419</v>
      </c>
      <c r="T51" s="259">
        <f t="shared" si="39"/>
        <v>4.9129033369244253</v>
      </c>
      <c r="U51" s="259">
        <f t="shared" si="39"/>
        <v>4.9428116875501402</v>
      </c>
      <c r="V51" s="259">
        <f t="shared" si="39"/>
        <v>4.9661983461369852</v>
      </c>
      <c r="W51" s="259">
        <f t="shared" si="39"/>
        <v>4.9861903382861694</v>
      </c>
      <c r="X51" s="259">
        <f t="shared" si="39"/>
        <v>5.0044431973273023</v>
      </c>
      <c r="Y51" s="259">
        <f t="shared" si="39"/>
        <v>5.0218218545887554</v>
      </c>
      <c r="Z51" s="259">
        <f t="shared" si="39"/>
        <v>6.0465301812683698</v>
      </c>
      <c r="AA51" s="259">
        <f t="shared" si="39"/>
        <v>6.0666422744783821</v>
      </c>
      <c r="AB51" s="259">
        <f t="shared" si="39"/>
        <v>2.5361109885935189</v>
      </c>
      <c r="AC51" s="259">
        <f t="shared" si="39"/>
        <v>5.0888972977007922</v>
      </c>
      <c r="AD51" s="259">
        <f t="shared" si="39"/>
        <v>5.105593177786294</v>
      </c>
      <c r="AE51" s="259">
        <f t="shared" si="39"/>
        <v>5.1223261849688475</v>
      </c>
      <c r="AF51" s="259">
        <f t="shared" si="39"/>
        <v>5.1391049411443426</v>
      </c>
      <c r="AG51" s="259">
        <f t="shared" si="39"/>
        <v>5.1559339748934434</v>
      </c>
      <c r="AH51" s="259">
        <f t="shared" si="39"/>
        <v>5.1728157064065012</v>
      </c>
      <c r="AI51" s="259">
        <f t="shared" si="39"/>
        <v>5.1897514700751612</v>
      </c>
      <c r="AJ51" s="259">
        <f t="shared" ref="AJ51:BK51" si="40">AJ39*2</f>
        <v>5.2067420412704299</v>
      </c>
      <c r="AK51" s="259">
        <f t="shared" si="40"/>
        <v>5.2237879076970994</v>
      </c>
      <c r="AL51" s="259">
        <f t="shared" si="40"/>
        <v>6.2890672910060648</v>
      </c>
      <c r="AM51" s="259">
        <f t="shared" si="40"/>
        <v>6.3096561715484549</v>
      </c>
      <c r="AN51" s="259">
        <f t="shared" si="40"/>
        <v>2.637630167092055</v>
      </c>
      <c r="AO51" s="259">
        <f t="shared" si="40"/>
        <v>5.2925301882909208</v>
      </c>
      <c r="AP51" s="259">
        <f t="shared" si="40"/>
        <v>5.3098565675312237</v>
      </c>
      <c r="AQ51" s="259">
        <f t="shared" si="40"/>
        <v>5.327239662711774</v>
      </c>
      <c r="AR51" s="259">
        <f t="shared" si="40"/>
        <v>5.3446796624718296</v>
      </c>
      <c r="AS51" s="259">
        <f t="shared" si="40"/>
        <v>5.3621767546299699</v>
      </c>
      <c r="AT51" s="259">
        <f t="shared" si="40"/>
        <v>5.3797311268788111</v>
      </c>
      <c r="AU51" s="259">
        <f t="shared" si="40"/>
        <v>5.3973429671438291</v>
      </c>
      <c r="AV51" s="259">
        <f t="shared" si="40"/>
        <v>5.4150124637691546</v>
      </c>
      <c r="AW51" s="259">
        <f t="shared" si="40"/>
        <v>5.4327398056142648</v>
      </c>
      <c r="AX51" s="259">
        <f t="shared" si="40"/>
        <v>6.540630218525707</v>
      </c>
      <c r="AY51" s="259">
        <f t="shared" si="40"/>
        <v>6.5620425399113875</v>
      </c>
      <c r="AZ51" s="259">
        <f t="shared" si="40"/>
        <v>2.7431353998527852</v>
      </c>
      <c r="BA51" s="259">
        <f t="shared" si="40"/>
        <v>5.5042314226870248</v>
      </c>
      <c r="BB51" s="259">
        <f t="shared" si="40"/>
        <v>5.5222508440703058</v>
      </c>
      <c r="BC51" s="259">
        <f t="shared" si="40"/>
        <v>5.5403292563480893</v>
      </c>
      <c r="BD51" s="259">
        <f t="shared" si="40"/>
        <v>5.5584668526422449</v>
      </c>
      <c r="BE51" s="259">
        <f t="shared" si="40"/>
        <v>5.5766638267063735</v>
      </c>
      <c r="BF51" s="259">
        <f t="shared" si="40"/>
        <v>5.5949203729281214</v>
      </c>
      <c r="BG51" s="259">
        <f t="shared" si="40"/>
        <v>5.613236686331371</v>
      </c>
      <c r="BH51" s="259">
        <f t="shared" si="40"/>
        <v>5.6316129625783944</v>
      </c>
      <c r="BI51" s="259">
        <f t="shared" si="40"/>
        <v>5.6500493979719772</v>
      </c>
      <c r="BJ51" s="259">
        <f t="shared" si="40"/>
        <v>6.802255427349035</v>
      </c>
      <c r="BK51" s="259">
        <f t="shared" si="40"/>
        <v>6.8245242415502396</v>
      </c>
      <c r="BL51" s="261">
        <f>O51</f>
        <v>5.1623475516333466</v>
      </c>
      <c r="BM51" s="261">
        <f>AA51</f>
        <v>6.0666422744783821</v>
      </c>
      <c r="BN51" s="261">
        <f>AM51</f>
        <v>6.3096561715484549</v>
      </c>
      <c r="BO51" s="261">
        <f>AY51</f>
        <v>6.5620425399113875</v>
      </c>
      <c r="BP51" s="261">
        <f>BK51</f>
        <v>6.8245242415502396</v>
      </c>
    </row>
    <row r="52" spans="1:68" x14ac:dyDescent="0.15">
      <c r="A52" t="s">
        <v>256</v>
      </c>
      <c r="B52" t="s">
        <v>236</v>
      </c>
      <c r="D52" s="259">
        <f t="shared" ref="D52:AI52" si="41">(D40+D42+D44+D45)*2</f>
        <v>-0.37126520000000002</v>
      </c>
      <c r="E52" s="259">
        <f t="shared" si="41"/>
        <v>-0.37126520000000002</v>
      </c>
      <c r="F52" s="259">
        <f t="shared" si="41"/>
        <v>-1.7866308177193233</v>
      </c>
      <c r="G52" s="259">
        <f t="shared" si="41"/>
        <v>-0.39621051438679067</v>
      </c>
      <c r="H52" s="259">
        <f t="shared" si="41"/>
        <v>-0.45085259891653839</v>
      </c>
      <c r="I52" s="259">
        <f t="shared" si="41"/>
        <v>-0.46318687764776317</v>
      </c>
      <c r="J52" s="259">
        <f t="shared" si="41"/>
        <v>-0.48464314196934072</v>
      </c>
      <c r="K52" s="259">
        <f t="shared" si="41"/>
        <v>-1.6823677174911238</v>
      </c>
      <c r="L52" s="259">
        <f t="shared" si="41"/>
        <v>-1.1021003653327528</v>
      </c>
      <c r="M52" s="259">
        <f t="shared" si="41"/>
        <v>-1.1194402440831073</v>
      </c>
      <c r="N52" s="259">
        <f t="shared" si="41"/>
        <v>-1.1665468930000937</v>
      </c>
      <c r="O52" s="259">
        <f t="shared" si="41"/>
        <v>-1.1818025687320006</v>
      </c>
      <c r="P52" s="259">
        <f t="shared" si="41"/>
        <v>-1.0355825539076551</v>
      </c>
      <c r="Q52" s="259">
        <f t="shared" si="41"/>
        <v>-2.3328909639288926</v>
      </c>
      <c r="R52" s="259">
        <f t="shared" si="41"/>
        <v>-1.1370060863809934</v>
      </c>
      <c r="S52" s="259">
        <f t="shared" si="41"/>
        <v>-1.1395875812232081</v>
      </c>
      <c r="T52" s="259">
        <f t="shared" si="41"/>
        <v>-1.1412750081436436</v>
      </c>
      <c r="U52" s="259">
        <f t="shared" si="41"/>
        <v>-1.1424713421686721</v>
      </c>
      <c r="V52" s="259">
        <f t="shared" si="41"/>
        <v>-1.1434068085121458</v>
      </c>
      <c r="W52" s="259">
        <f t="shared" si="41"/>
        <v>-0.97753982153144681</v>
      </c>
      <c r="X52" s="259">
        <f t="shared" si="41"/>
        <v>-0.97826993589309208</v>
      </c>
      <c r="Y52" s="259">
        <f t="shared" si="41"/>
        <v>-0.97896508218355016</v>
      </c>
      <c r="Z52" s="259">
        <f t="shared" si="41"/>
        <v>-1.0199534152507348</v>
      </c>
      <c r="AA52" s="259">
        <f t="shared" si="41"/>
        <v>-1.0207578989791353</v>
      </c>
      <c r="AB52" s="259">
        <f t="shared" si="41"/>
        <v>-0.88150310210374072</v>
      </c>
      <c r="AC52" s="259">
        <f t="shared" si="41"/>
        <v>-0.9836145544680317</v>
      </c>
      <c r="AD52" s="259">
        <f t="shared" si="41"/>
        <v>-0.98428238967145176</v>
      </c>
      <c r="AE52" s="259">
        <f t="shared" si="41"/>
        <v>-0.98495170995875392</v>
      </c>
      <c r="AF52" s="259">
        <f t="shared" si="41"/>
        <v>-0.98562286020577372</v>
      </c>
      <c r="AG52" s="259">
        <f t="shared" si="41"/>
        <v>-0.98629602155573781</v>
      </c>
      <c r="AH52" s="259">
        <f t="shared" si="41"/>
        <v>-0.98697129081626001</v>
      </c>
      <c r="AI52" s="259">
        <f t="shared" si="41"/>
        <v>-0.98764872136300641</v>
      </c>
      <c r="AJ52" s="259">
        <f t="shared" ref="AJ52:BK52" si="42">(AJ40+AJ42+AJ44+AJ45)*2</f>
        <v>-0.98832834421081717</v>
      </c>
      <c r="AK52" s="259">
        <f t="shared" si="42"/>
        <v>-0.989010178867884</v>
      </c>
      <c r="AL52" s="259">
        <f t="shared" si="42"/>
        <v>-1.0316213542002428</v>
      </c>
      <c r="AM52" s="259">
        <f t="shared" si="42"/>
        <v>-1.0324449094219381</v>
      </c>
      <c r="AN52" s="259">
        <f t="shared" si="42"/>
        <v>-0.88766797562288224</v>
      </c>
      <c r="AO52" s="259">
        <f t="shared" si="42"/>
        <v>-0.99386397647083691</v>
      </c>
      <c r="AP52" s="259">
        <f t="shared" si="42"/>
        <v>-0.99455703164044895</v>
      </c>
      <c r="AQ52" s="259">
        <f t="shared" si="42"/>
        <v>-0.99525235544767099</v>
      </c>
      <c r="AR52" s="259">
        <f t="shared" si="42"/>
        <v>-0.99594995543807319</v>
      </c>
      <c r="AS52" s="259">
        <f t="shared" si="42"/>
        <v>-0.99664983912439886</v>
      </c>
      <c r="AT52" s="259">
        <f t="shared" si="42"/>
        <v>-0.99735201401435247</v>
      </c>
      <c r="AU52" s="259">
        <f t="shared" si="42"/>
        <v>-0.99805648762495325</v>
      </c>
      <c r="AV52" s="259">
        <f t="shared" si="42"/>
        <v>-0.99876326748996613</v>
      </c>
      <c r="AW52" s="259">
        <f t="shared" si="42"/>
        <v>-0.99947236116377058</v>
      </c>
      <c r="AX52" s="259">
        <f t="shared" si="42"/>
        <v>-1.0437879776802281</v>
      </c>
      <c r="AY52" s="259">
        <f t="shared" si="42"/>
        <v>-1.0446444705356555</v>
      </c>
      <c r="AZ52" s="259">
        <f t="shared" si="42"/>
        <v>-0.89413957875905548</v>
      </c>
      <c r="BA52" s="259">
        <f t="shared" si="42"/>
        <v>-1.004583419672425</v>
      </c>
      <c r="BB52" s="259">
        <f t="shared" si="42"/>
        <v>-1.0053041965277563</v>
      </c>
      <c r="BC52" s="259">
        <f t="shared" si="42"/>
        <v>-1.0060273330188676</v>
      </c>
      <c r="BD52" s="259">
        <f t="shared" si="42"/>
        <v>-1.0067528368706338</v>
      </c>
      <c r="BE52" s="259">
        <f t="shared" si="42"/>
        <v>-1.0074807158331989</v>
      </c>
      <c r="BF52" s="259">
        <f t="shared" si="42"/>
        <v>-1.0082109776820687</v>
      </c>
      <c r="BG52" s="259">
        <f t="shared" si="42"/>
        <v>-1.0089436302181989</v>
      </c>
      <c r="BH52" s="259">
        <f t="shared" si="42"/>
        <v>-1.0096786812680798</v>
      </c>
      <c r="BI52" s="259">
        <f t="shared" si="42"/>
        <v>-1.0104161386838231</v>
      </c>
      <c r="BJ52" s="259">
        <f t="shared" si="42"/>
        <v>-1.0565043798589053</v>
      </c>
      <c r="BK52" s="259">
        <f t="shared" si="42"/>
        <v>-1.0573951324269535</v>
      </c>
      <c r="BL52" s="261">
        <f>O52</f>
        <v>-1.1818025687320006</v>
      </c>
      <c r="BM52" s="261">
        <f>AA52</f>
        <v>-1.0207578989791353</v>
      </c>
      <c r="BN52" s="261">
        <f>AM52</f>
        <v>-1.0324449094219381</v>
      </c>
      <c r="BO52" s="261">
        <f>AY52</f>
        <v>-1.0446444705356555</v>
      </c>
      <c r="BP52" s="261">
        <f>BK52</f>
        <v>-1.0573951324269535</v>
      </c>
    </row>
    <row r="53" spans="1:68" x14ac:dyDescent="0.15">
      <c r="A53" t="s">
        <v>257</v>
      </c>
      <c r="B53" t="s">
        <v>236</v>
      </c>
      <c r="D53" s="259">
        <f t="shared" ref="D53:AI53" si="43">D51+D52</f>
        <v>-0.37126520000000002</v>
      </c>
      <c r="E53" s="259">
        <f t="shared" si="43"/>
        <v>-0.37126520000000002</v>
      </c>
      <c r="F53" s="259">
        <f t="shared" si="43"/>
        <v>-1.4697403747362383</v>
      </c>
      <c r="G53" s="259">
        <f t="shared" si="43"/>
        <v>0.16017234528297419</v>
      </c>
      <c r="H53" s="259">
        <f t="shared" si="43"/>
        <v>0.54622237399692186</v>
      </c>
      <c r="I53" s="259">
        <f t="shared" si="43"/>
        <v>1.0359250635463166</v>
      </c>
      <c r="J53" s="259">
        <f t="shared" si="43"/>
        <v>1.5508754072641777</v>
      </c>
      <c r="K53" s="259">
        <f t="shared" si="43"/>
        <v>0.99410855312030155</v>
      </c>
      <c r="L53" s="259">
        <f t="shared" si="43"/>
        <v>2.0676921013193974</v>
      </c>
      <c r="M53" s="259">
        <f t="shared" si="43"/>
        <v>2.4838491913279084</v>
      </c>
      <c r="N53" s="259">
        <f t="shared" si="43"/>
        <v>3.6144087653355816</v>
      </c>
      <c r="O53" s="259">
        <f t="shared" si="43"/>
        <v>3.9805449829013462</v>
      </c>
      <c r="P53" s="259">
        <f t="shared" si="43"/>
        <v>1.2350094271170597</v>
      </c>
      <c r="Q53" s="259">
        <f t="shared" si="43"/>
        <v>2.3704112676267646</v>
      </c>
      <c r="R53" s="259">
        <f t="shared" si="43"/>
        <v>3.6691742064771748</v>
      </c>
      <c r="S53" s="259">
        <f t="shared" si="43"/>
        <v>3.731130082690334</v>
      </c>
      <c r="T53" s="259">
        <f t="shared" si="43"/>
        <v>3.7716283287807819</v>
      </c>
      <c r="U53" s="259">
        <f t="shared" si="43"/>
        <v>3.8003403453814681</v>
      </c>
      <c r="V53" s="259">
        <f t="shared" si="43"/>
        <v>3.8227915376248394</v>
      </c>
      <c r="W53" s="259">
        <f t="shared" si="43"/>
        <v>4.0086505167547228</v>
      </c>
      <c r="X53" s="259">
        <f t="shared" si="43"/>
        <v>4.0261732614342103</v>
      </c>
      <c r="Y53" s="259">
        <f t="shared" si="43"/>
        <v>4.0428567724052051</v>
      </c>
      <c r="Z53" s="259">
        <f t="shared" si="43"/>
        <v>5.0265767660176355</v>
      </c>
      <c r="AA53" s="259">
        <f t="shared" si="43"/>
        <v>5.0458843754992468</v>
      </c>
      <c r="AB53" s="259">
        <f t="shared" si="43"/>
        <v>1.6546078864897782</v>
      </c>
      <c r="AC53" s="259">
        <f t="shared" si="43"/>
        <v>4.1052827432327605</v>
      </c>
      <c r="AD53" s="259">
        <f t="shared" si="43"/>
        <v>4.1213107881148421</v>
      </c>
      <c r="AE53" s="259">
        <f t="shared" si="43"/>
        <v>4.1373744750100938</v>
      </c>
      <c r="AF53" s="259">
        <f t="shared" si="43"/>
        <v>4.1534820809385691</v>
      </c>
      <c r="AG53" s="259">
        <f t="shared" si="43"/>
        <v>4.1696379533377055</v>
      </c>
      <c r="AH53" s="259">
        <f t="shared" si="43"/>
        <v>4.1858444155902408</v>
      </c>
      <c r="AI53" s="259">
        <f t="shared" si="43"/>
        <v>4.2021027487121545</v>
      </c>
      <c r="AJ53" s="259">
        <f t="shared" ref="AJ53:BK53" si="44">AJ51+AJ52</f>
        <v>4.2184136970596127</v>
      </c>
      <c r="AK53" s="259">
        <f t="shared" si="44"/>
        <v>4.234777728829215</v>
      </c>
      <c r="AL53" s="259">
        <f t="shared" si="44"/>
        <v>5.257445936805822</v>
      </c>
      <c r="AM53" s="259">
        <f t="shared" si="44"/>
        <v>5.2772112621265173</v>
      </c>
      <c r="AN53" s="259">
        <f t="shared" si="44"/>
        <v>1.7499621914691728</v>
      </c>
      <c r="AO53" s="259">
        <f t="shared" si="44"/>
        <v>4.298666211820084</v>
      </c>
      <c r="AP53" s="259">
        <f t="shared" si="44"/>
        <v>4.3152995358907749</v>
      </c>
      <c r="AQ53" s="259">
        <f t="shared" si="44"/>
        <v>4.3319873072641029</v>
      </c>
      <c r="AR53" s="259">
        <f t="shared" si="44"/>
        <v>4.3487297070337565</v>
      </c>
      <c r="AS53" s="259">
        <f t="shared" si="44"/>
        <v>4.3655269155055709</v>
      </c>
      <c r="AT53" s="259">
        <f t="shared" si="44"/>
        <v>4.3823791128644585</v>
      </c>
      <c r="AU53" s="259">
        <f t="shared" si="44"/>
        <v>4.3992864795188762</v>
      </c>
      <c r="AV53" s="259">
        <f t="shared" si="44"/>
        <v>4.4162491962791881</v>
      </c>
      <c r="AW53" s="259">
        <f t="shared" si="44"/>
        <v>4.433267444450494</v>
      </c>
      <c r="AX53" s="259">
        <f t="shared" si="44"/>
        <v>5.4968422408454787</v>
      </c>
      <c r="AY53" s="259">
        <f t="shared" si="44"/>
        <v>5.5173980693757319</v>
      </c>
      <c r="AZ53" s="259">
        <f t="shared" si="44"/>
        <v>1.8489958210937298</v>
      </c>
      <c r="BA53" s="259">
        <f t="shared" si="44"/>
        <v>4.4996480030145998</v>
      </c>
      <c r="BB53" s="259">
        <f t="shared" si="44"/>
        <v>4.5169466475425493</v>
      </c>
      <c r="BC53" s="259">
        <f t="shared" si="44"/>
        <v>4.5343019233292221</v>
      </c>
      <c r="BD53" s="259">
        <f t="shared" si="44"/>
        <v>4.5517140157716112</v>
      </c>
      <c r="BE53" s="259">
        <f t="shared" si="44"/>
        <v>4.5691831108731744</v>
      </c>
      <c r="BF53" s="259">
        <f t="shared" si="44"/>
        <v>4.5867093952460527</v>
      </c>
      <c r="BG53" s="259">
        <f t="shared" si="44"/>
        <v>4.6042930561131721</v>
      </c>
      <c r="BH53" s="259">
        <f t="shared" si="44"/>
        <v>4.621934281310315</v>
      </c>
      <c r="BI53" s="259">
        <f t="shared" si="44"/>
        <v>4.6396332592881544</v>
      </c>
      <c r="BJ53" s="259">
        <f t="shared" si="44"/>
        <v>5.7457510474901294</v>
      </c>
      <c r="BK53" s="259">
        <f t="shared" si="44"/>
        <v>5.7671291091232861</v>
      </c>
      <c r="BL53" s="261">
        <f>O53</f>
        <v>3.9805449829013462</v>
      </c>
      <c r="BM53" s="261">
        <f>AA53</f>
        <v>5.0458843754992468</v>
      </c>
      <c r="BN53" s="261">
        <f>AM53</f>
        <v>5.2772112621265173</v>
      </c>
      <c r="BO53" s="261">
        <f>AY53</f>
        <v>5.5173980693757319</v>
      </c>
      <c r="BP53" s="261">
        <f>BK53</f>
        <v>5.7671291091232861</v>
      </c>
    </row>
    <row r="54" spans="1:68" x14ac:dyDescent="0.15">
      <c r="A54" t="s">
        <v>135</v>
      </c>
      <c r="B54" t="s">
        <v>236</v>
      </c>
      <c r="D54" s="259">
        <f>-D53</f>
        <v>0.37126520000000002</v>
      </c>
      <c r="E54" s="259">
        <f t="shared" ref="E54:AJ54" si="45">-(E53-D53)</f>
        <v>0</v>
      </c>
      <c r="F54" s="259">
        <f t="shared" si="45"/>
        <v>1.0984751747362382</v>
      </c>
      <c r="G54" s="259">
        <f t="shared" si="45"/>
        <v>-1.6299127200192125</v>
      </c>
      <c r="H54" s="259">
        <f t="shared" si="45"/>
        <v>-0.38605002871394767</v>
      </c>
      <c r="I54" s="259">
        <f t="shared" si="45"/>
        <v>-0.48970268954939478</v>
      </c>
      <c r="J54" s="259">
        <f t="shared" si="45"/>
        <v>-0.51495034371786108</v>
      </c>
      <c r="K54" s="259">
        <f t="shared" si="45"/>
        <v>0.55676685414387617</v>
      </c>
      <c r="L54" s="259">
        <f t="shared" si="45"/>
        <v>-1.0735835481990958</v>
      </c>
      <c r="M54" s="259">
        <f t="shared" si="45"/>
        <v>-0.41615709000851098</v>
      </c>
      <c r="N54" s="259">
        <f t="shared" si="45"/>
        <v>-1.1305595740076733</v>
      </c>
      <c r="O54" s="259">
        <f t="shared" si="45"/>
        <v>-0.36613621756576453</v>
      </c>
      <c r="P54" s="259">
        <f t="shared" si="45"/>
        <v>2.7455355557842864</v>
      </c>
      <c r="Q54" s="259">
        <f t="shared" si="45"/>
        <v>-1.1354018405097048</v>
      </c>
      <c r="R54" s="259">
        <f t="shared" si="45"/>
        <v>-1.2987629388504103</v>
      </c>
      <c r="S54" s="259">
        <f t="shared" si="45"/>
        <v>-6.1955876213159122E-2</v>
      </c>
      <c r="T54" s="259">
        <f t="shared" si="45"/>
        <v>-4.0498246090447942E-2</v>
      </c>
      <c r="U54" s="259">
        <f t="shared" si="45"/>
        <v>-2.871201660068623E-2</v>
      </c>
      <c r="V54" s="259">
        <f t="shared" si="45"/>
        <v>-2.2451192243371221E-2</v>
      </c>
      <c r="W54" s="259">
        <f t="shared" si="45"/>
        <v>-0.18585897912988347</v>
      </c>
      <c r="X54" s="259">
        <f t="shared" si="45"/>
        <v>-1.7522744679487445E-2</v>
      </c>
      <c r="Y54" s="259">
        <f t="shared" si="45"/>
        <v>-1.6683510970994853E-2</v>
      </c>
      <c r="Z54" s="259">
        <f t="shared" si="45"/>
        <v>-0.98371999361243034</v>
      </c>
      <c r="AA54" s="259">
        <f t="shared" si="45"/>
        <v>-1.9307609481611365E-2</v>
      </c>
      <c r="AB54" s="259">
        <f t="shared" si="45"/>
        <v>3.3912764890094689</v>
      </c>
      <c r="AC54" s="259">
        <f t="shared" si="45"/>
        <v>-2.4506748567429826</v>
      </c>
      <c r="AD54" s="259">
        <f t="shared" si="45"/>
        <v>-1.6028044882081538E-2</v>
      </c>
      <c r="AE54" s="259">
        <f t="shared" si="45"/>
        <v>-1.6063686895251728E-2</v>
      </c>
      <c r="AF54" s="259">
        <f t="shared" si="45"/>
        <v>-1.6107605928475266E-2</v>
      </c>
      <c r="AG54" s="259">
        <f t="shared" si="45"/>
        <v>-1.6155872399136406E-2</v>
      </c>
      <c r="AH54" s="259">
        <f t="shared" si="45"/>
        <v>-1.6206462252535303E-2</v>
      </c>
      <c r="AI54" s="259">
        <f t="shared" si="45"/>
        <v>-1.6258333121913715E-2</v>
      </c>
      <c r="AJ54" s="259">
        <f t="shared" si="45"/>
        <v>-1.6310948347458165E-2</v>
      </c>
      <c r="AK54" s="259">
        <f t="shared" ref="AK54:BK54" si="46">-(AK53-AJ53)</f>
        <v>-1.6364031769602327E-2</v>
      </c>
      <c r="AL54" s="259">
        <f t="shared" si="46"/>
        <v>-1.022668207976607</v>
      </c>
      <c r="AM54" s="259">
        <f t="shared" si="46"/>
        <v>-1.9765325320695304E-2</v>
      </c>
      <c r="AN54" s="259">
        <f t="shared" si="46"/>
        <v>3.5272490706573443</v>
      </c>
      <c r="AO54" s="259">
        <f t="shared" si="46"/>
        <v>-2.548704020350911</v>
      </c>
      <c r="AP54" s="259">
        <f t="shared" si="46"/>
        <v>-1.6633324070690847E-2</v>
      </c>
      <c r="AQ54" s="259">
        <f t="shared" si="46"/>
        <v>-1.6687771373327998E-2</v>
      </c>
      <c r="AR54" s="259">
        <f t="shared" si="46"/>
        <v>-1.6742399769653638E-2</v>
      </c>
      <c r="AS54" s="259">
        <f t="shared" si="46"/>
        <v>-1.6797208471814429E-2</v>
      </c>
      <c r="AT54" s="259">
        <f t="shared" si="46"/>
        <v>-1.6852197358887544E-2</v>
      </c>
      <c r="AU54" s="259">
        <f t="shared" si="46"/>
        <v>-1.6907366654417721E-2</v>
      </c>
      <c r="AV54" s="259">
        <f t="shared" si="46"/>
        <v>-1.6962716760311913E-2</v>
      </c>
      <c r="AW54" s="259">
        <f t="shared" si="46"/>
        <v>-1.7018248171305927E-2</v>
      </c>
      <c r="AX54" s="259">
        <f t="shared" si="46"/>
        <v>-1.0635747963949846</v>
      </c>
      <c r="AY54" s="259">
        <f t="shared" si="46"/>
        <v>-2.0555828530253173E-2</v>
      </c>
      <c r="AZ54" s="259">
        <f t="shared" si="46"/>
        <v>3.668402248282002</v>
      </c>
      <c r="BA54" s="259">
        <f t="shared" si="46"/>
        <v>-2.6506521819208699</v>
      </c>
      <c r="BB54" s="259">
        <f t="shared" si="46"/>
        <v>-1.7298644527949492E-2</v>
      </c>
      <c r="BC54" s="259">
        <f t="shared" si="46"/>
        <v>-1.7355275786672841E-2</v>
      </c>
      <c r="BD54" s="259">
        <f t="shared" si="46"/>
        <v>-1.741209244238906E-2</v>
      </c>
      <c r="BE54" s="259">
        <f t="shared" si="46"/>
        <v>-1.7469095101563248E-2</v>
      </c>
      <c r="BF54" s="259">
        <f t="shared" si="46"/>
        <v>-1.7526284372878287E-2</v>
      </c>
      <c r="BG54" s="259">
        <f t="shared" si="46"/>
        <v>-1.7583660867119377E-2</v>
      </c>
      <c r="BH54" s="259">
        <f t="shared" si="46"/>
        <v>-1.7641225197142951E-2</v>
      </c>
      <c r="BI54" s="259">
        <f t="shared" si="46"/>
        <v>-1.769897797783937E-2</v>
      </c>
      <c r="BJ54" s="259">
        <f t="shared" si="46"/>
        <v>-1.106117788201975</v>
      </c>
      <c r="BK54" s="259">
        <f t="shared" si="46"/>
        <v>-2.1378061633156697E-2</v>
      </c>
      <c r="BL54" s="261">
        <f>-BL53</f>
        <v>-3.9805449829013462</v>
      </c>
      <c r="BM54" s="261">
        <f>-(BM53-BL53)</f>
        <v>-1.0653393925979007</v>
      </c>
      <c r="BN54" s="261">
        <f>-(BN53-BM53)</f>
        <v>-0.23132688662727041</v>
      </c>
      <c r="BO54" s="261">
        <f>-(BO53-BN53)</f>
        <v>-0.2401868072492146</v>
      </c>
      <c r="BP54" s="261">
        <f>-(BP53-BO53)</f>
        <v>-0.24973103974755428</v>
      </c>
    </row>
    <row r="55" spans="1:68" x14ac:dyDescent="0.15">
      <c r="A55" s="232" t="s">
        <v>258</v>
      </c>
      <c r="B55" t="s">
        <v>236</v>
      </c>
      <c r="D55" s="262">
        <f t="shared" ref="D55:AI55" si="47">D50+D54</f>
        <v>-1.0270193999999999</v>
      </c>
      <c r="E55" s="262">
        <f t="shared" si="47"/>
        <v>-1.3982846</v>
      </c>
      <c r="F55" s="262">
        <f t="shared" si="47"/>
        <v>-0.87594701263188113</v>
      </c>
      <c r="G55" s="262">
        <f t="shared" si="47"/>
        <v>-2.7893785473777255</v>
      </c>
      <c r="H55" s="262">
        <f t="shared" si="47"/>
        <v>-1.7226348417154869</v>
      </c>
      <c r="I55" s="262">
        <f t="shared" si="47"/>
        <v>-1.5039641577762364</v>
      </c>
      <c r="J55" s="262">
        <f t="shared" si="47"/>
        <v>-1.2717366400857724</v>
      </c>
      <c r="K55" s="262">
        <f t="shared" si="47"/>
        <v>0.46740113070402689</v>
      </c>
      <c r="L55" s="262">
        <f t="shared" si="47"/>
        <v>-0.64852880007238189</v>
      </c>
      <c r="M55" s="262">
        <f t="shared" si="47"/>
        <v>0.20657227587224536</v>
      </c>
      <c r="N55" s="262">
        <f t="shared" si="47"/>
        <v>2.9185589526728117E-2</v>
      </c>
      <c r="O55" s="262">
        <f t="shared" si="47"/>
        <v>0.96752364931237489</v>
      </c>
      <c r="P55" s="262">
        <f t="shared" si="47"/>
        <v>3.0652890576648897</v>
      </c>
      <c r="Q55" s="262">
        <f t="shared" si="47"/>
        <v>-0.27633246438699155</v>
      </c>
      <c r="R55" s="262">
        <f t="shared" si="47"/>
        <v>0.17721883322624787</v>
      </c>
      <c r="S55" s="262">
        <f t="shared" si="47"/>
        <v>1.4434549370647494</v>
      </c>
      <c r="T55" s="262">
        <f t="shared" si="47"/>
        <v>1.4841492340804234</v>
      </c>
      <c r="U55" s="262">
        <f t="shared" si="47"/>
        <v>1.509573671455511</v>
      </c>
      <c r="V55" s="262">
        <f t="shared" si="47"/>
        <v>1.5264988121284273</v>
      </c>
      <c r="W55" s="262">
        <f t="shared" si="47"/>
        <v>1.4513740403286097</v>
      </c>
      <c r="X55" s="262">
        <f t="shared" si="47"/>
        <v>1.6280335785017626</v>
      </c>
      <c r="Y55" s="262">
        <f t="shared" si="47"/>
        <v>1.6367974799214777</v>
      </c>
      <c r="Z55" s="262">
        <f t="shared" si="47"/>
        <v>1.1370279942459467</v>
      </c>
      <c r="AA55" s="262">
        <f t="shared" si="47"/>
        <v>2.1106114928805311</v>
      </c>
      <c r="AB55" s="262">
        <f t="shared" si="47"/>
        <v>3.8916579407721135</v>
      </c>
      <c r="AC55" s="262">
        <f t="shared" si="47"/>
        <v>-0.78622284802742137</v>
      </c>
      <c r="AD55" s="262">
        <f t="shared" si="47"/>
        <v>1.6560372851524683</v>
      </c>
      <c r="AE55" s="262">
        <f t="shared" si="47"/>
        <v>1.6636318944145425</v>
      </c>
      <c r="AF55" s="262">
        <f t="shared" si="47"/>
        <v>1.6712390881973449</v>
      </c>
      <c r="AG55" s="262">
        <f t="shared" si="47"/>
        <v>1.6788648611162738</v>
      </c>
      <c r="AH55" s="262">
        <f t="shared" si="47"/>
        <v>1.6865123408328293</v>
      </c>
      <c r="AI55" s="262">
        <f t="shared" si="47"/>
        <v>1.6941831781963599</v>
      </c>
      <c r="AJ55" s="262">
        <f t="shared" ref="AJ55:BO55" si="48">AJ50+AJ54</f>
        <v>1.7018782634358578</v>
      </c>
      <c r="AK55" s="262">
        <f t="shared" si="48"/>
        <v>1.7095980951042749</v>
      </c>
      <c r="AL55" s="262">
        <f t="shared" si="48"/>
        <v>1.1890613176861589</v>
      </c>
      <c r="AM55" s="262">
        <f t="shared" si="48"/>
        <v>2.2013527298694</v>
      </c>
      <c r="AN55" s="262">
        <f t="shared" si="48"/>
        <v>4.052934806682801</v>
      </c>
      <c r="AO55" s="262">
        <f t="shared" si="48"/>
        <v>-0.81238387465877104</v>
      </c>
      <c r="AP55" s="262">
        <f t="shared" si="48"/>
        <v>1.7275876505550272</v>
      </c>
      <c r="AQ55" s="262">
        <f t="shared" si="48"/>
        <v>1.7354598946547211</v>
      </c>
      <c r="AR55" s="262">
        <f t="shared" si="48"/>
        <v>1.7433579061489806</v>
      </c>
      <c r="AS55" s="262">
        <f t="shared" si="48"/>
        <v>1.7512817714709319</v>
      </c>
      <c r="AT55" s="262">
        <f t="shared" si="48"/>
        <v>1.7592315763293305</v>
      </c>
      <c r="AU55" s="262">
        <f t="shared" si="48"/>
        <v>1.7672074061946483</v>
      </c>
      <c r="AV55" s="262">
        <f t="shared" si="48"/>
        <v>1.7752093465499026</v>
      </c>
      <c r="AW55" s="262">
        <f t="shared" si="48"/>
        <v>1.7832374830202788</v>
      </c>
      <c r="AX55" s="262">
        <f t="shared" si="48"/>
        <v>1.241878963084218</v>
      </c>
      <c r="AY55" s="262">
        <f t="shared" si="48"/>
        <v>2.2946619495008198</v>
      </c>
      <c r="AZ55" s="262">
        <f t="shared" si="48"/>
        <v>4.219740717034556</v>
      </c>
      <c r="BA55" s="262">
        <f t="shared" si="48"/>
        <v>-0.84025392675590305</v>
      </c>
      <c r="BB55" s="262">
        <f t="shared" si="48"/>
        <v>1.8013164667877934</v>
      </c>
      <c r="BC55" s="262">
        <f t="shared" si="48"/>
        <v>1.8095035915277395</v>
      </c>
      <c r="BD55" s="262">
        <f t="shared" si="48"/>
        <v>1.8177175187821581</v>
      </c>
      <c r="BE55" s="262">
        <f t="shared" si="48"/>
        <v>1.8259583362962266</v>
      </c>
      <c r="BF55" s="262">
        <f t="shared" si="48"/>
        <v>1.8342261321020288</v>
      </c>
      <c r="BG55" s="262">
        <f t="shared" si="48"/>
        <v>1.8425209945196694</v>
      </c>
      <c r="BH55" s="262">
        <f t="shared" si="48"/>
        <v>1.8508430121582886</v>
      </c>
      <c r="BI55" s="262">
        <f t="shared" si="48"/>
        <v>1.8591922739170659</v>
      </c>
      <c r="BJ55" s="262">
        <f t="shared" si="48"/>
        <v>1.2961794130888684</v>
      </c>
      <c r="BK55" s="262">
        <f t="shared" si="48"/>
        <v>2.3910737189334363</v>
      </c>
      <c r="BL55" s="260">
        <f t="shared" si="48"/>
        <v>-9.5668113542441091</v>
      </c>
      <c r="BM55" s="260">
        <f t="shared" si="48"/>
        <v>16.893696667111584</v>
      </c>
      <c r="BN55" s="260">
        <f t="shared" si="48"/>
        <v>19.957794146750203</v>
      </c>
      <c r="BO55" s="260">
        <f t="shared" si="48"/>
        <v>20.819664879532887</v>
      </c>
      <c r="BP55" s="260">
        <f t="shared" ref="BP55" si="49">BP50+BP54</f>
        <v>21.708018248391923</v>
      </c>
    </row>
    <row r="57" spans="1:68" ht="16" customHeight="1" x14ac:dyDescent="0.2">
      <c r="A57" s="321" t="s">
        <v>260</v>
      </c>
      <c r="B57" s="315"/>
      <c r="C57" s="315"/>
      <c r="D57" s="315"/>
      <c r="E57" s="315"/>
      <c r="F57" s="315"/>
      <c r="G57" s="315"/>
      <c r="H57" s="315"/>
      <c r="I57" s="315"/>
      <c r="J57" s="315"/>
      <c r="K57" s="315"/>
      <c r="L57" s="315"/>
      <c r="M57" s="315"/>
      <c r="N57" s="315"/>
    </row>
    <row r="58" spans="1:68" x14ac:dyDescent="0.15">
      <c r="A58" s="232" t="s">
        <v>123</v>
      </c>
      <c r="B58" t="s">
        <v>236</v>
      </c>
      <c r="D58" s="266">
        <f t="shared" ref="D58:AI58" si="50">D20+D39</f>
        <v>20.454545454545453</v>
      </c>
      <c r="E58" s="266">
        <f t="shared" si="50"/>
        <v>41.043016627453582</v>
      </c>
      <c r="F58" s="266">
        <f t="shared" si="50"/>
        <v>33.100349848506205</v>
      </c>
      <c r="G58" s="266">
        <f t="shared" si="50"/>
        <v>33.327939280528405</v>
      </c>
      <c r="H58" s="266">
        <f t="shared" si="50"/>
        <v>33.656481611480714</v>
      </c>
      <c r="I58" s="266">
        <f t="shared" si="50"/>
        <v>34.016050576399032</v>
      </c>
      <c r="J58" s="266">
        <f t="shared" si="50"/>
        <v>34.393159727224074</v>
      </c>
      <c r="K58" s="266">
        <f t="shared" si="50"/>
        <v>34.822900964121558</v>
      </c>
      <c r="L58" s="266">
        <f t="shared" si="50"/>
        <v>35.179179134938117</v>
      </c>
      <c r="M58" s="266">
        <f t="shared" si="50"/>
        <v>35.505906559707007</v>
      </c>
      <c r="N58" s="266">
        <f t="shared" si="50"/>
        <v>42.967998818955806</v>
      </c>
      <c r="O58" s="266">
        <f t="shared" si="50"/>
        <v>43.291535010331927</v>
      </c>
      <c r="P58" s="266">
        <f t="shared" si="50"/>
        <v>18.153477808694184</v>
      </c>
      <c r="Q58" s="266">
        <f t="shared" si="50"/>
        <v>36.499440949819231</v>
      </c>
      <c r="R58" s="266">
        <f t="shared" si="50"/>
        <v>36.662670958524359</v>
      </c>
      <c r="S58" s="266">
        <f t="shared" si="50"/>
        <v>36.807096596678051</v>
      </c>
      <c r="T58" s="266">
        <f t="shared" si="50"/>
        <v>36.940713558487182</v>
      </c>
      <c r="U58" s="266">
        <f t="shared" si="50"/>
        <v>37.06856023380918</v>
      </c>
      <c r="V58" s="266">
        <f t="shared" si="50"/>
        <v>37.193515643780138</v>
      </c>
      <c r="W58" s="266">
        <f t="shared" si="50"/>
        <v>37.317144511111579</v>
      </c>
      <c r="X58" s="266">
        <f t="shared" si="50"/>
        <v>37.440275816340218</v>
      </c>
      <c r="Y58" s="266">
        <f t="shared" si="50"/>
        <v>37.563343242975968</v>
      </c>
      <c r="Z58" s="266">
        <f t="shared" si="50"/>
        <v>45.223886920013719</v>
      </c>
      <c r="AA58" s="266">
        <f t="shared" si="50"/>
        <v>45.372096821135102</v>
      </c>
      <c r="AB58" s="266">
        <f t="shared" si="50"/>
        <v>18.966964585205872</v>
      </c>
      <c r="AC58" s="266">
        <f t="shared" si="50"/>
        <v>38.05815007625349</v>
      </c>
      <c r="AD58" s="266">
        <f t="shared" si="50"/>
        <v>38.182760633472263</v>
      </c>
      <c r="AE58" s="266">
        <f t="shared" si="50"/>
        <v>38.307770367794589</v>
      </c>
      <c r="AF58" s="266">
        <f t="shared" si="50"/>
        <v>38.433184836198173</v>
      </c>
      <c r="AG58" s="266">
        <f t="shared" si="50"/>
        <v>38.559007553082225</v>
      </c>
      <c r="AH58" s="266">
        <f t="shared" si="50"/>
        <v>38.685240982743387</v>
      </c>
      <c r="AI58" s="266">
        <f t="shared" si="50"/>
        <v>38.811887050684867</v>
      </c>
      <c r="AJ58" s="266">
        <f t="shared" ref="AJ58:BP58" si="51">AJ20+AJ39</f>
        <v>38.938947407018865</v>
      </c>
      <c r="AK58" s="266">
        <f t="shared" si="51"/>
        <v>39.066423562157439</v>
      </c>
      <c r="AL58" s="266">
        <f t="shared" si="51"/>
        <v>47.033180348057776</v>
      </c>
      <c r="AM58" s="266">
        <f t="shared" si="51"/>
        <v>47.187154797025997</v>
      </c>
      <c r="AN58" s="266">
        <f t="shared" si="51"/>
        <v>19.725680538091517</v>
      </c>
      <c r="AO58" s="266">
        <f t="shared" si="51"/>
        <v>39.580514578644703</v>
      </c>
      <c r="AP58" s="266">
        <f t="shared" si="51"/>
        <v>39.710090890127923</v>
      </c>
      <c r="AQ58" s="266">
        <f t="shared" si="51"/>
        <v>39.840091397678485</v>
      </c>
      <c r="AR58" s="266">
        <f t="shared" si="51"/>
        <v>39.970517491486973</v>
      </c>
      <c r="AS58" s="266">
        <f t="shared" si="51"/>
        <v>40.101370565575927</v>
      </c>
      <c r="AT58" s="266">
        <f t="shared" si="51"/>
        <v>40.232652018161168</v>
      </c>
      <c r="AU58" s="266">
        <f t="shared" si="51"/>
        <v>40.364363251845106</v>
      </c>
      <c r="AV58" s="266">
        <f t="shared" si="51"/>
        <v>40.496505673723604</v>
      </c>
      <c r="AW58" s="266">
        <f t="shared" si="51"/>
        <v>40.629080695448401</v>
      </c>
      <c r="AX58" s="266">
        <f t="shared" si="51"/>
        <v>48.914507679919822</v>
      </c>
      <c r="AY58" s="266">
        <f t="shared" si="51"/>
        <v>49.074641049657565</v>
      </c>
      <c r="AZ58" s="266">
        <f t="shared" si="51"/>
        <v>20.514707772653722</v>
      </c>
      <c r="BA58" s="266">
        <f t="shared" si="51"/>
        <v>41.163735175222747</v>
      </c>
      <c r="BB58" s="266">
        <f t="shared" si="51"/>
        <v>41.298494532651972</v>
      </c>
      <c r="BC58" s="266">
        <f t="shared" si="51"/>
        <v>41.433695057149592</v>
      </c>
      <c r="BD58" s="266">
        <f t="shared" si="51"/>
        <v>41.569338192982265</v>
      </c>
      <c r="BE58" s="266">
        <f t="shared" si="51"/>
        <v>41.705425389144608</v>
      </c>
      <c r="BF58" s="266">
        <f t="shared" si="51"/>
        <v>41.841958099374729</v>
      </c>
      <c r="BG58" s="266">
        <f t="shared" si="51"/>
        <v>41.978937782169837</v>
      </c>
      <c r="BH58" s="266">
        <f t="shared" si="51"/>
        <v>42.116365900801824</v>
      </c>
      <c r="BI58" s="266">
        <f t="shared" si="51"/>
        <v>42.25424392333295</v>
      </c>
      <c r="BJ58" s="266">
        <f t="shared" si="51"/>
        <v>50.871087987157807</v>
      </c>
      <c r="BK58" s="266">
        <f t="shared" si="51"/>
        <v>51.03762669166511</v>
      </c>
      <c r="BL58" s="267">
        <f t="shared" si="51"/>
        <v>421.75906361419186</v>
      </c>
      <c r="BM58" s="267">
        <f t="shared" si="51"/>
        <v>442.24222306136892</v>
      </c>
      <c r="BN58" s="267">
        <f t="shared" si="51"/>
        <v>460.23067219969494</v>
      </c>
      <c r="BO58" s="267">
        <f t="shared" si="51"/>
        <v>478.64001583036116</v>
      </c>
      <c r="BP58" s="267">
        <f t="shared" si="51"/>
        <v>497.7856165043072</v>
      </c>
    </row>
    <row r="59" spans="1:68" x14ac:dyDescent="0.15">
      <c r="A59" t="s">
        <v>125</v>
      </c>
      <c r="B59" t="s">
        <v>236</v>
      </c>
      <c r="D59" s="268">
        <f t="shared" ref="D59:AI59" si="52">D21+D40</f>
        <v>-0.40909090909090906</v>
      </c>
      <c r="E59" s="268">
        <f t="shared" si="52"/>
        <v>-0.82086033254907165</v>
      </c>
      <c r="F59" s="268">
        <f t="shared" si="52"/>
        <v>-0.66517590139995497</v>
      </c>
      <c r="G59" s="268">
        <f t="shared" si="52"/>
        <v>-0.67212261420726571</v>
      </c>
      <c r="H59" s="268">
        <f t="shared" si="52"/>
        <v>-0.68310038195874889</v>
      </c>
      <c r="I59" s="268">
        <f t="shared" si="52"/>
        <v>-0.6953121309399215</v>
      </c>
      <c r="J59" s="268">
        <f t="shared" si="52"/>
        <v>-0.7082183800368167</v>
      </c>
      <c r="K59" s="268">
        <f t="shared" si="52"/>
        <v>-0.72322278198854528</v>
      </c>
      <c r="L59" s="268">
        <f t="shared" si="52"/>
        <v>-0.73528150736528386</v>
      </c>
      <c r="M59" s="268">
        <f t="shared" si="52"/>
        <v>-0.7461510255482503</v>
      </c>
      <c r="N59" s="268">
        <f t="shared" si="52"/>
        <v>-0.90716953296247294</v>
      </c>
      <c r="O59" s="268">
        <f t="shared" si="52"/>
        <v>-0.91745417572297205</v>
      </c>
      <c r="P59" s="268">
        <f t="shared" si="52"/>
        <v>-0.38577547598413087</v>
      </c>
      <c r="Q59" s="268">
        <f t="shared" si="52"/>
        <v>-0.77702184131194119</v>
      </c>
      <c r="R59" s="268">
        <f t="shared" si="52"/>
        <v>-0.78131522209906878</v>
      </c>
      <c r="S59" s="268">
        <f t="shared" si="52"/>
        <v>-0.78484910857269652</v>
      </c>
      <c r="T59" s="268">
        <f t="shared" si="52"/>
        <v>-0.78794330453898775</v>
      </c>
      <c r="U59" s="268">
        <f t="shared" si="52"/>
        <v>-0.79079932155168497</v>
      </c>
      <c r="V59" s="268">
        <f t="shared" si="52"/>
        <v>-0.79353229633697253</v>
      </c>
      <c r="W59" s="268">
        <f t="shared" si="52"/>
        <v>-0.79620479360509333</v>
      </c>
      <c r="X59" s="268">
        <f t="shared" si="52"/>
        <v>-0.79884994830007738</v>
      </c>
      <c r="Y59" s="268">
        <f t="shared" si="52"/>
        <v>-0.80148508340540692</v>
      </c>
      <c r="Z59" s="268">
        <f t="shared" si="52"/>
        <v>-0.96494304021295818</v>
      </c>
      <c r="AA59" s="268">
        <f t="shared" si="52"/>
        <v>-0.96810835916748594</v>
      </c>
      <c r="AB59" s="268">
        <f t="shared" si="52"/>
        <v>-0.40470040159005261</v>
      </c>
      <c r="AC59" s="268">
        <f t="shared" si="52"/>
        <v>-0.81205197450207778</v>
      </c>
      <c r="AD59" s="268">
        <f t="shared" si="52"/>
        <v>-0.8147111444473083</v>
      </c>
      <c r="AE59" s="268">
        <f t="shared" si="52"/>
        <v>-0.81737866920558033</v>
      </c>
      <c r="AF59" s="268">
        <f t="shared" si="52"/>
        <v>-0.82005474613540685</v>
      </c>
      <c r="AG59" s="268">
        <f t="shared" si="52"/>
        <v>-0.82273949081057896</v>
      </c>
      <c r="AH59" s="268">
        <f t="shared" si="52"/>
        <v>-0.82543297671893279</v>
      </c>
      <c r="AI59" s="268">
        <f t="shared" si="52"/>
        <v>-0.82813525571444879</v>
      </c>
      <c r="AJ59" s="268">
        <f t="shared" ref="AJ59:BP59" si="53">AJ21+AJ40</f>
        <v>-0.83084636855308169</v>
      </c>
      <c r="AK59" s="268">
        <f t="shared" si="53"/>
        <v>-0.83356635032011972</v>
      </c>
      <c r="AL59" s="268">
        <f t="shared" si="53"/>
        <v>-1.0035542798712163</v>
      </c>
      <c r="AM59" s="268">
        <f t="shared" si="53"/>
        <v>-1.0068396576560046</v>
      </c>
      <c r="AN59" s="268">
        <f t="shared" si="53"/>
        <v>-0.42088991243275098</v>
      </c>
      <c r="AO59" s="268">
        <f t="shared" si="53"/>
        <v>-0.84453559345580331</v>
      </c>
      <c r="AP59" s="268">
        <f t="shared" si="53"/>
        <v>-0.84730038347787062</v>
      </c>
      <c r="AQ59" s="268">
        <f t="shared" si="53"/>
        <v>-0.85007422458068749</v>
      </c>
      <c r="AR59" s="268">
        <f t="shared" si="53"/>
        <v>-0.85285714645445776</v>
      </c>
      <c r="AS59" s="268">
        <f t="shared" si="53"/>
        <v>-0.85564917885781833</v>
      </c>
      <c r="AT59" s="268">
        <f t="shared" si="53"/>
        <v>-0.85845035163201155</v>
      </c>
      <c r="AU59" s="268">
        <f t="shared" si="53"/>
        <v>-0.86126069470834044</v>
      </c>
      <c r="AV59" s="268">
        <f t="shared" si="53"/>
        <v>-0.86408023811216361</v>
      </c>
      <c r="AW59" s="268">
        <f t="shared" si="53"/>
        <v>-0.86690901196511072</v>
      </c>
      <c r="AX59" s="268">
        <f t="shared" si="53"/>
        <v>-1.0436964557836534</v>
      </c>
      <c r="AY59" s="268">
        <f t="shared" si="53"/>
        <v>-1.0471132463922652</v>
      </c>
      <c r="AZ59" s="268">
        <f t="shared" si="53"/>
        <v>-0.43772550945160238</v>
      </c>
      <c r="BA59" s="268">
        <f t="shared" si="53"/>
        <v>-0.87831701773132531</v>
      </c>
      <c r="BB59" s="268">
        <f t="shared" si="53"/>
        <v>-0.8811923990937427</v>
      </c>
      <c r="BC59" s="268">
        <f t="shared" si="53"/>
        <v>-0.88407719370647264</v>
      </c>
      <c r="BD59" s="268">
        <f t="shared" si="53"/>
        <v>-0.88697143238606779</v>
      </c>
      <c r="BE59" s="268">
        <f t="shared" si="53"/>
        <v>-0.88987514604995577</v>
      </c>
      <c r="BF59" s="268">
        <f t="shared" si="53"/>
        <v>-0.89278836571677578</v>
      </c>
      <c r="BG59" s="268">
        <f t="shared" si="53"/>
        <v>-0.89571112250671026</v>
      </c>
      <c r="BH59" s="268">
        <f t="shared" si="53"/>
        <v>-0.89864344764182036</v>
      </c>
      <c r="BI59" s="268">
        <f t="shared" si="53"/>
        <v>-0.90158537244637871</v>
      </c>
      <c r="BJ59" s="268">
        <f t="shared" si="53"/>
        <v>-1.0854443140166465</v>
      </c>
      <c r="BK59" s="268">
        <f t="shared" si="53"/>
        <v>-1.0889977762488048</v>
      </c>
      <c r="BL59" s="269">
        <f t="shared" si="53"/>
        <v>-8.6831596737702146</v>
      </c>
      <c r="BM59" s="269">
        <f t="shared" si="53"/>
        <v>-9.430827795086504</v>
      </c>
      <c r="BN59" s="269">
        <f t="shared" si="53"/>
        <v>-9.820011315524809</v>
      </c>
      <c r="BO59" s="269">
        <f t="shared" si="53"/>
        <v>-10.212816437852934</v>
      </c>
      <c r="BP59" s="269">
        <f t="shared" si="53"/>
        <v>-10.621329096996304</v>
      </c>
    </row>
    <row r="60" spans="1:68" x14ac:dyDescent="0.15">
      <c r="A60" t="s">
        <v>126</v>
      </c>
      <c r="B60" t="s">
        <v>236</v>
      </c>
      <c r="D60" s="268">
        <f t="shared" ref="D60:AI60" si="54">D22+D41</f>
        <v>-8.2126520000000003</v>
      </c>
      <c r="E60" s="268">
        <f t="shared" si="54"/>
        <v>-8.2126520000000003</v>
      </c>
      <c r="F60" s="268">
        <f t="shared" si="54"/>
        <v>-8.2395519999999998</v>
      </c>
      <c r="G60" s="268">
        <f t="shared" si="54"/>
        <v>-8.2395519999999998</v>
      </c>
      <c r="H60" s="268">
        <f t="shared" si="54"/>
        <v>-8.6096959999999996</v>
      </c>
      <c r="I60" s="268">
        <f t="shared" si="54"/>
        <v>-8.5322239999999994</v>
      </c>
      <c r="J60" s="268">
        <f t="shared" si="54"/>
        <v>-8.5322239999999994</v>
      </c>
      <c r="K60" s="268">
        <f t="shared" si="54"/>
        <v>-7.5864200000000004</v>
      </c>
      <c r="L60" s="268">
        <f t="shared" si="54"/>
        <v>-7.5864200000000004</v>
      </c>
      <c r="M60" s="268">
        <f t="shared" si="54"/>
        <v>-7.5864200000000004</v>
      </c>
      <c r="N60" s="268">
        <f t="shared" si="54"/>
        <v>-7.5864200000000004</v>
      </c>
      <c r="O60" s="268">
        <f t="shared" si="54"/>
        <v>-7.5864200000000004</v>
      </c>
      <c r="P60" s="268">
        <f t="shared" si="54"/>
        <v>-7.7709220800000001</v>
      </c>
      <c r="Q60" s="268">
        <f t="shared" si="54"/>
        <v>-7.7709220800000001</v>
      </c>
      <c r="R60" s="268">
        <f t="shared" si="54"/>
        <v>-7.7709220800000001</v>
      </c>
      <c r="S60" s="268">
        <f t="shared" si="54"/>
        <v>-7.7709220800000001</v>
      </c>
      <c r="T60" s="268">
        <f t="shared" si="54"/>
        <v>-7.7709220800000001</v>
      </c>
      <c r="U60" s="268">
        <f t="shared" si="54"/>
        <v>-7.7709220800000001</v>
      </c>
      <c r="V60" s="268">
        <f t="shared" si="54"/>
        <v>-7.7709220800000001</v>
      </c>
      <c r="W60" s="268">
        <f t="shared" si="54"/>
        <v>-7.7709220800000001</v>
      </c>
      <c r="X60" s="268">
        <f t="shared" si="54"/>
        <v>-7.7709220800000001</v>
      </c>
      <c r="Y60" s="268">
        <f t="shared" si="54"/>
        <v>-7.7709220800000001</v>
      </c>
      <c r="Z60" s="268">
        <f t="shared" si="54"/>
        <v>-7.7709220800000001</v>
      </c>
      <c r="AA60" s="268">
        <f t="shared" si="54"/>
        <v>-7.7709220800000001</v>
      </c>
      <c r="AB60" s="268">
        <f t="shared" si="54"/>
        <v>-8.3148866255999998</v>
      </c>
      <c r="AC60" s="268">
        <f t="shared" si="54"/>
        <v>-8.3148866255999998</v>
      </c>
      <c r="AD60" s="268">
        <f t="shared" si="54"/>
        <v>-8.3148866255999998</v>
      </c>
      <c r="AE60" s="268">
        <f t="shared" si="54"/>
        <v>-8.3148866255999998</v>
      </c>
      <c r="AF60" s="268">
        <f t="shared" si="54"/>
        <v>-8.3148866255999998</v>
      </c>
      <c r="AG60" s="268">
        <f t="shared" si="54"/>
        <v>-8.3148866255999998</v>
      </c>
      <c r="AH60" s="268">
        <f t="shared" si="54"/>
        <v>-8.3148866255999998</v>
      </c>
      <c r="AI60" s="268">
        <f t="shared" si="54"/>
        <v>-8.3148866255999998</v>
      </c>
      <c r="AJ60" s="268">
        <f t="shared" ref="AJ60:BP60" si="55">AJ22+AJ41</f>
        <v>-8.3148866255999998</v>
      </c>
      <c r="AK60" s="268">
        <f t="shared" si="55"/>
        <v>-8.3148866255999998</v>
      </c>
      <c r="AL60" s="268">
        <f t="shared" si="55"/>
        <v>-8.3148866255999998</v>
      </c>
      <c r="AM60" s="268">
        <f t="shared" si="55"/>
        <v>-8.3148866255999998</v>
      </c>
      <c r="AN60" s="268">
        <f t="shared" si="55"/>
        <v>-8.8969286893920003</v>
      </c>
      <c r="AO60" s="268">
        <f t="shared" si="55"/>
        <v>-8.8969286893920003</v>
      </c>
      <c r="AP60" s="268">
        <f t="shared" si="55"/>
        <v>-8.8969286893920003</v>
      </c>
      <c r="AQ60" s="268">
        <f t="shared" si="55"/>
        <v>-8.8969286893920003</v>
      </c>
      <c r="AR60" s="268">
        <f t="shared" si="55"/>
        <v>-8.8969286893920003</v>
      </c>
      <c r="AS60" s="268">
        <f t="shared" si="55"/>
        <v>-8.8969286893920003</v>
      </c>
      <c r="AT60" s="268">
        <f t="shared" si="55"/>
        <v>-8.8969286893920003</v>
      </c>
      <c r="AU60" s="268">
        <f t="shared" si="55"/>
        <v>-8.8969286893920003</v>
      </c>
      <c r="AV60" s="268">
        <f t="shared" si="55"/>
        <v>-8.8969286893920003</v>
      </c>
      <c r="AW60" s="268">
        <f t="shared" si="55"/>
        <v>-8.8969286893920003</v>
      </c>
      <c r="AX60" s="268">
        <f t="shared" si="55"/>
        <v>-8.8969286893920003</v>
      </c>
      <c r="AY60" s="268">
        <f t="shared" si="55"/>
        <v>-8.8969286893920003</v>
      </c>
      <c r="AZ60" s="268">
        <f t="shared" si="55"/>
        <v>-9.5197136976494399</v>
      </c>
      <c r="BA60" s="268">
        <f t="shared" si="55"/>
        <v>-9.5197136976494399</v>
      </c>
      <c r="BB60" s="268">
        <f t="shared" si="55"/>
        <v>-9.5197136976494399</v>
      </c>
      <c r="BC60" s="268">
        <f t="shared" si="55"/>
        <v>-9.5197136976494399</v>
      </c>
      <c r="BD60" s="268">
        <f t="shared" si="55"/>
        <v>-9.5197136976494399</v>
      </c>
      <c r="BE60" s="268">
        <f t="shared" si="55"/>
        <v>-9.5197136976494399</v>
      </c>
      <c r="BF60" s="268">
        <f t="shared" si="55"/>
        <v>-9.5197136976494399</v>
      </c>
      <c r="BG60" s="268">
        <f t="shared" si="55"/>
        <v>-9.5197136976494399</v>
      </c>
      <c r="BH60" s="268">
        <f t="shared" si="55"/>
        <v>-9.5197136976494399</v>
      </c>
      <c r="BI60" s="268">
        <f t="shared" si="55"/>
        <v>-9.5197136976494399</v>
      </c>
      <c r="BJ60" s="268">
        <f t="shared" si="55"/>
        <v>-9.5197136976494399</v>
      </c>
      <c r="BK60" s="268">
        <f t="shared" si="55"/>
        <v>-9.5197136976494399</v>
      </c>
      <c r="BL60" s="269">
        <f t="shared" si="55"/>
        <v>-96.510651999999993</v>
      </c>
      <c r="BM60" s="269">
        <f t="shared" si="55"/>
        <v>-93.251064959999994</v>
      </c>
      <c r="BN60" s="269">
        <f t="shared" si="55"/>
        <v>-99.778639507200026</v>
      </c>
      <c r="BO60" s="269">
        <f t="shared" si="55"/>
        <v>-106.76314427270397</v>
      </c>
      <c r="BP60" s="269">
        <f t="shared" si="55"/>
        <v>-114.23656437179328</v>
      </c>
    </row>
    <row r="61" spans="1:68" x14ac:dyDescent="0.15">
      <c r="A61" t="s">
        <v>127</v>
      </c>
      <c r="B61" t="s">
        <v>236</v>
      </c>
      <c r="D61" s="268">
        <f t="shared" ref="D61:AI61" si="56">D23+D42</f>
        <v>-1.0227272727272727</v>
      </c>
      <c r="E61" s="268">
        <f t="shared" si="56"/>
        <v>-2.0521508313726793</v>
      </c>
      <c r="F61" s="268">
        <f t="shared" si="56"/>
        <v>-1.6470952313507332</v>
      </c>
      <c r="G61" s="268">
        <f t="shared" si="56"/>
        <v>-1.6524873925346761</v>
      </c>
      <c r="H61" s="268">
        <f t="shared" si="56"/>
        <v>-1.6578972062511994</v>
      </c>
      <c r="I61" s="268">
        <f t="shared" si="56"/>
        <v>-1.6633247302900998</v>
      </c>
      <c r="J61" s="268">
        <f t="shared" si="56"/>
        <v>-1.6687700226303661</v>
      </c>
      <c r="K61" s="268">
        <f t="shared" si="56"/>
        <v>-2.0075664747741255</v>
      </c>
      <c r="L61" s="268">
        <f t="shared" si="56"/>
        <v>-2.0130474784139358</v>
      </c>
      <c r="M61" s="268">
        <f t="shared" si="56"/>
        <v>-2.0185464254334082</v>
      </c>
      <c r="N61" s="268">
        <f t="shared" si="56"/>
        <v>-2.3622093828227322</v>
      </c>
      <c r="O61" s="268">
        <f t="shared" si="56"/>
        <v>-2.3688513950590964</v>
      </c>
      <c r="P61" s="268">
        <f t="shared" si="56"/>
        <v>-1.1842424242424248</v>
      </c>
      <c r="Q61" s="268">
        <f t="shared" si="56"/>
        <v>-2.0407228250354037</v>
      </c>
      <c r="R61" s="268">
        <f t="shared" si="56"/>
        <v>-2.0463123739380968</v>
      </c>
      <c r="S61" s="268">
        <f t="shared" si="56"/>
        <v>-2.0519202215693975</v>
      </c>
      <c r="T61" s="268">
        <f t="shared" si="56"/>
        <v>-2.0575464278345819</v>
      </c>
      <c r="U61" s="268">
        <f t="shared" si="56"/>
        <v>-2.0631910528350388</v>
      </c>
      <c r="V61" s="268">
        <f t="shared" si="56"/>
        <v>-2.0688541568689156</v>
      </c>
      <c r="W61" s="268">
        <f t="shared" si="56"/>
        <v>-1.9912024670984252</v>
      </c>
      <c r="X61" s="268">
        <f t="shared" si="56"/>
        <v>-1.9969027108838284</v>
      </c>
      <c r="Y61" s="268">
        <f t="shared" si="56"/>
        <v>-2.0026216157840797</v>
      </c>
      <c r="Z61" s="268">
        <f t="shared" si="56"/>
        <v>-2.3600310914689766</v>
      </c>
      <c r="AA61" s="268">
        <f t="shared" si="56"/>
        <v>-2.3669387841947955</v>
      </c>
      <c r="AB61" s="268">
        <f t="shared" si="56"/>
        <v>-1.1349454545454556</v>
      </c>
      <c r="AC61" s="268">
        <f t="shared" si="56"/>
        <v>-2.0256850713701544</v>
      </c>
      <c r="AD61" s="268">
        <f t="shared" si="56"/>
        <v>-2.0314982022289558</v>
      </c>
      <c r="AE61" s="268">
        <f t="shared" si="56"/>
        <v>-2.0373303637655082</v>
      </c>
      <c r="AF61" s="268">
        <f t="shared" si="56"/>
        <v>-2.0431816182813001</v>
      </c>
      <c r="AG61" s="268">
        <f t="shared" si="56"/>
        <v>-2.0490520282817752</v>
      </c>
      <c r="AH61" s="268">
        <f t="shared" si="56"/>
        <v>-2.0549416564770073</v>
      </c>
      <c r="AI61" s="268">
        <f t="shared" si="56"/>
        <v>-2.0608505657823644</v>
      </c>
      <c r="AJ61" s="268">
        <f t="shared" ref="AJ61:BP61" si="57">AJ23+AJ42</f>
        <v>-2.0667788193191825</v>
      </c>
      <c r="AK61" s="268">
        <f t="shared" si="57"/>
        <v>-2.0727264804154446</v>
      </c>
      <c r="AL61" s="268">
        <f t="shared" si="57"/>
        <v>-2.4444323351277375</v>
      </c>
      <c r="AM61" s="268">
        <f t="shared" si="57"/>
        <v>-2.4516163355625888</v>
      </c>
      <c r="AN61" s="268">
        <f t="shared" si="57"/>
        <v>-1.1703432727272745</v>
      </c>
      <c r="AO61" s="268">
        <f t="shared" si="57"/>
        <v>-2.0967124742249621</v>
      </c>
      <c r="AP61" s="268">
        <f t="shared" si="57"/>
        <v>-2.1027581303181155</v>
      </c>
      <c r="AQ61" s="268">
        <f t="shared" si="57"/>
        <v>-2.1088235783161298</v>
      </c>
      <c r="AR61" s="268">
        <f t="shared" si="57"/>
        <v>-2.1149088830125531</v>
      </c>
      <c r="AS61" s="268">
        <f t="shared" si="57"/>
        <v>-2.1210141094130472</v>
      </c>
      <c r="AT61" s="268">
        <f t="shared" si="57"/>
        <v>-2.1271393227360882</v>
      </c>
      <c r="AU61" s="268">
        <f t="shared" si="57"/>
        <v>-2.1332845884136598</v>
      </c>
      <c r="AV61" s="268">
        <f t="shared" si="57"/>
        <v>-2.1394499720919513</v>
      </c>
      <c r="AW61" s="268">
        <f t="shared" si="57"/>
        <v>-2.1456355396320634</v>
      </c>
      <c r="AX61" s="268">
        <f t="shared" si="57"/>
        <v>-2.5322096285328488</v>
      </c>
      <c r="AY61" s="268">
        <f t="shared" si="57"/>
        <v>-2.539680988985094</v>
      </c>
      <c r="AZ61" s="268">
        <f t="shared" si="57"/>
        <v>-1.2071570036363666</v>
      </c>
      <c r="BA61" s="268">
        <f t="shared" si="57"/>
        <v>-2.170580973193962</v>
      </c>
      <c r="BB61" s="268">
        <f t="shared" si="57"/>
        <v>-2.1768684555308413</v>
      </c>
      <c r="BC61" s="268">
        <f t="shared" si="57"/>
        <v>-2.1831765214487771</v>
      </c>
      <c r="BD61" s="268">
        <f t="shared" si="57"/>
        <v>-2.1895052383330573</v>
      </c>
      <c r="BE61" s="268">
        <f t="shared" si="57"/>
        <v>-2.195854673789571</v>
      </c>
      <c r="BF61" s="268">
        <f t="shared" si="57"/>
        <v>-2.2022248956455339</v>
      </c>
      <c r="BG61" s="268">
        <f t="shared" si="57"/>
        <v>-2.2086159719502074</v>
      </c>
      <c r="BH61" s="268">
        <f t="shared" si="57"/>
        <v>-2.2150279709756311</v>
      </c>
      <c r="BI61" s="268">
        <f t="shared" si="57"/>
        <v>-2.2214609612173479</v>
      </c>
      <c r="BJ61" s="268">
        <f t="shared" si="57"/>
        <v>-2.6234980136741646</v>
      </c>
      <c r="BK61" s="268">
        <f t="shared" si="57"/>
        <v>-2.6312682285444997</v>
      </c>
      <c r="BL61" s="269">
        <f t="shared" si="57"/>
        <v>-22.134673843660327</v>
      </c>
      <c r="BM61" s="269">
        <f t="shared" si="57"/>
        <v>-24.230486151753961</v>
      </c>
      <c r="BN61" s="269">
        <f t="shared" si="57"/>
        <v>-24.473038931157468</v>
      </c>
      <c r="BO61" s="269">
        <f t="shared" si="57"/>
        <v>-25.331960488403784</v>
      </c>
      <c r="BP61" s="269">
        <f t="shared" si="57"/>
        <v>-26.225238907939961</v>
      </c>
    </row>
    <row r="62" spans="1:68" x14ac:dyDescent="0.15">
      <c r="A62" t="s">
        <v>128</v>
      </c>
      <c r="B62" t="s">
        <v>236</v>
      </c>
      <c r="D62" s="268">
        <f t="shared" ref="D62:AI62" si="58">D24+D43</f>
        <v>0</v>
      </c>
      <c r="E62" s="268">
        <f t="shared" si="58"/>
        <v>0</v>
      </c>
      <c r="F62" s="268">
        <f t="shared" si="58"/>
        <v>0</v>
      </c>
      <c r="G62" s="268">
        <f t="shared" si="58"/>
        <v>0</v>
      </c>
      <c r="H62" s="268">
        <f t="shared" si="58"/>
        <v>0</v>
      </c>
      <c r="I62" s="268">
        <f t="shared" si="58"/>
        <v>0</v>
      </c>
      <c r="J62" s="268">
        <f t="shared" si="58"/>
        <v>0</v>
      </c>
      <c r="K62" s="268">
        <f t="shared" si="58"/>
        <v>0</v>
      </c>
      <c r="L62" s="268">
        <f t="shared" si="58"/>
        <v>0</v>
      </c>
      <c r="M62" s="268">
        <f t="shared" si="58"/>
        <v>0</v>
      </c>
      <c r="N62" s="268">
        <f t="shared" si="58"/>
        <v>0</v>
      </c>
      <c r="O62" s="268">
        <f t="shared" si="58"/>
        <v>0</v>
      </c>
      <c r="P62" s="268">
        <f t="shared" si="58"/>
        <v>0</v>
      </c>
      <c r="Q62" s="268">
        <f t="shared" si="58"/>
        <v>0</v>
      </c>
      <c r="R62" s="268">
        <f t="shared" si="58"/>
        <v>0</v>
      </c>
      <c r="S62" s="268">
        <f t="shared" si="58"/>
        <v>0</v>
      </c>
      <c r="T62" s="268">
        <f t="shared" si="58"/>
        <v>0</v>
      </c>
      <c r="U62" s="268">
        <f t="shared" si="58"/>
        <v>0</v>
      </c>
      <c r="V62" s="268">
        <f t="shared" si="58"/>
        <v>0</v>
      </c>
      <c r="W62" s="268">
        <f t="shared" si="58"/>
        <v>0</v>
      </c>
      <c r="X62" s="268">
        <f t="shared" si="58"/>
        <v>0</v>
      </c>
      <c r="Y62" s="268">
        <f t="shared" si="58"/>
        <v>0</v>
      </c>
      <c r="Z62" s="268">
        <f t="shared" si="58"/>
        <v>0</v>
      </c>
      <c r="AA62" s="268">
        <f t="shared" si="58"/>
        <v>0</v>
      </c>
      <c r="AB62" s="268">
        <f t="shared" si="58"/>
        <v>0</v>
      </c>
      <c r="AC62" s="268">
        <f t="shared" si="58"/>
        <v>0</v>
      </c>
      <c r="AD62" s="268">
        <f t="shared" si="58"/>
        <v>0</v>
      </c>
      <c r="AE62" s="268">
        <f t="shared" si="58"/>
        <v>0</v>
      </c>
      <c r="AF62" s="268">
        <f t="shared" si="58"/>
        <v>0</v>
      </c>
      <c r="AG62" s="268">
        <f t="shared" si="58"/>
        <v>0</v>
      </c>
      <c r="AH62" s="268">
        <f t="shared" si="58"/>
        <v>0</v>
      </c>
      <c r="AI62" s="268">
        <f t="shared" si="58"/>
        <v>0</v>
      </c>
      <c r="AJ62" s="268">
        <f t="shared" ref="AJ62:BP62" si="59">AJ24+AJ43</f>
        <v>0</v>
      </c>
      <c r="AK62" s="268">
        <f t="shared" si="59"/>
        <v>0</v>
      </c>
      <c r="AL62" s="268">
        <f t="shared" si="59"/>
        <v>0</v>
      </c>
      <c r="AM62" s="268">
        <f t="shared" si="59"/>
        <v>0</v>
      </c>
      <c r="AN62" s="268">
        <f t="shared" si="59"/>
        <v>0</v>
      </c>
      <c r="AO62" s="268">
        <f t="shared" si="59"/>
        <v>0</v>
      </c>
      <c r="AP62" s="268">
        <f t="shared" si="59"/>
        <v>0</v>
      </c>
      <c r="AQ62" s="268">
        <f t="shared" si="59"/>
        <v>0</v>
      </c>
      <c r="AR62" s="268">
        <f t="shared" si="59"/>
        <v>0</v>
      </c>
      <c r="AS62" s="268">
        <f t="shared" si="59"/>
        <v>0</v>
      </c>
      <c r="AT62" s="268">
        <f t="shared" si="59"/>
        <v>0</v>
      </c>
      <c r="AU62" s="268">
        <f t="shared" si="59"/>
        <v>0</v>
      </c>
      <c r="AV62" s="268">
        <f t="shared" si="59"/>
        <v>0</v>
      </c>
      <c r="AW62" s="268">
        <f t="shared" si="59"/>
        <v>0</v>
      </c>
      <c r="AX62" s="268">
        <f t="shared" si="59"/>
        <v>0</v>
      </c>
      <c r="AY62" s="268">
        <f t="shared" si="59"/>
        <v>0</v>
      </c>
      <c r="AZ62" s="268">
        <f t="shared" si="59"/>
        <v>0</v>
      </c>
      <c r="BA62" s="268">
        <f t="shared" si="59"/>
        <v>0</v>
      </c>
      <c r="BB62" s="268">
        <f t="shared" si="59"/>
        <v>0</v>
      </c>
      <c r="BC62" s="268">
        <f t="shared" si="59"/>
        <v>0</v>
      </c>
      <c r="BD62" s="268">
        <f t="shared" si="59"/>
        <v>0</v>
      </c>
      <c r="BE62" s="268">
        <f t="shared" si="59"/>
        <v>0</v>
      </c>
      <c r="BF62" s="268">
        <f t="shared" si="59"/>
        <v>0</v>
      </c>
      <c r="BG62" s="268">
        <f t="shared" si="59"/>
        <v>0</v>
      </c>
      <c r="BH62" s="268">
        <f t="shared" si="59"/>
        <v>0</v>
      </c>
      <c r="BI62" s="268">
        <f t="shared" si="59"/>
        <v>0</v>
      </c>
      <c r="BJ62" s="268">
        <f t="shared" si="59"/>
        <v>0</v>
      </c>
      <c r="BK62" s="268">
        <f t="shared" si="59"/>
        <v>0</v>
      </c>
      <c r="BL62" s="269">
        <f t="shared" si="59"/>
        <v>0</v>
      </c>
      <c r="BM62" s="269">
        <f t="shared" si="59"/>
        <v>0</v>
      </c>
      <c r="BN62" s="269">
        <f t="shared" si="59"/>
        <v>0</v>
      </c>
      <c r="BO62" s="269">
        <f t="shared" si="59"/>
        <v>0</v>
      </c>
      <c r="BP62" s="269">
        <f t="shared" si="59"/>
        <v>0</v>
      </c>
    </row>
    <row r="63" spans="1:68" x14ac:dyDescent="0.15">
      <c r="A63" t="s">
        <v>129</v>
      </c>
      <c r="B63" t="s">
        <v>236</v>
      </c>
      <c r="D63" s="268">
        <f t="shared" ref="D63:AI63" si="60">D25+D44</f>
        <v>-0.375</v>
      </c>
      <c r="E63" s="268">
        <f t="shared" si="60"/>
        <v>-0.375</v>
      </c>
      <c r="F63" s="268">
        <f t="shared" si="60"/>
        <v>-1.075</v>
      </c>
      <c r="G63" s="268">
        <f t="shared" si="60"/>
        <v>-0.375</v>
      </c>
      <c r="H63" s="268">
        <f t="shared" si="60"/>
        <v>-0.375</v>
      </c>
      <c r="I63" s="268">
        <f t="shared" si="60"/>
        <v>-0.375</v>
      </c>
      <c r="J63" s="268">
        <f t="shared" si="60"/>
        <v>-0.375</v>
      </c>
      <c r="K63" s="268">
        <f t="shared" si="60"/>
        <v>-0.67500000000000004</v>
      </c>
      <c r="L63" s="268">
        <f t="shared" si="60"/>
        <v>-0.375</v>
      </c>
      <c r="M63" s="268">
        <f t="shared" si="60"/>
        <v>-0.375</v>
      </c>
      <c r="N63" s="268">
        <f t="shared" si="60"/>
        <v>-0.375</v>
      </c>
      <c r="O63" s="268">
        <f t="shared" si="60"/>
        <v>-0.375</v>
      </c>
      <c r="P63" s="268">
        <f t="shared" si="60"/>
        <v>-0.375</v>
      </c>
      <c r="Q63" s="268">
        <f t="shared" si="60"/>
        <v>-0.97499999999999998</v>
      </c>
      <c r="R63" s="268">
        <f t="shared" si="60"/>
        <v>-0.375</v>
      </c>
      <c r="S63" s="268">
        <f t="shared" si="60"/>
        <v>-0.375</v>
      </c>
      <c r="T63" s="268">
        <f t="shared" si="60"/>
        <v>-0.375</v>
      </c>
      <c r="U63" s="268">
        <f t="shared" si="60"/>
        <v>-0.375</v>
      </c>
      <c r="V63" s="268">
        <f t="shared" si="60"/>
        <v>-0.375</v>
      </c>
      <c r="W63" s="268">
        <f t="shared" si="60"/>
        <v>-0.375</v>
      </c>
      <c r="X63" s="268">
        <f t="shared" si="60"/>
        <v>-0.375</v>
      </c>
      <c r="Y63" s="268">
        <f t="shared" si="60"/>
        <v>-0.375</v>
      </c>
      <c r="Z63" s="268">
        <f t="shared" si="60"/>
        <v>-0.375</v>
      </c>
      <c r="AA63" s="268">
        <f t="shared" si="60"/>
        <v>-0.375</v>
      </c>
      <c r="AB63" s="268">
        <f t="shared" si="60"/>
        <v>-0.375</v>
      </c>
      <c r="AC63" s="268">
        <f t="shared" si="60"/>
        <v>-0.375</v>
      </c>
      <c r="AD63" s="268">
        <f t="shared" si="60"/>
        <v>-0.375</v>
      </c>
      <c r="AE63" s="268">
        <f t="shared" si="60"/>
        <v>-0.375</v>
      </c>
      <c r="AF63" s="268">
        <f t="shared" si="60"/>
        <v>-0.375</v>
      </c>
      <c r="AG63" s="268">
        <f t="shared" si="60"/>
        <v>-0.375</v>
      </c>
      <c r="AH63" s="268">
        <f t="shared" si="60"/>
        <v>-0.375</v>
      </c>
      <c r="AI63" s="268">
        <f t="shared" si="60"/>
        <v>-0.375</v>
      </c>
      <c r="AJ63" s="268">
        <f t="shared" ref="AJ63:BP63" si="61">AJ25+AJ44</f>
        <v>-0.375</v>
      </c>
      <c r="AK63" s="268">
        <f t="shared" si="61"/>
        <v>-0.375</v>
      </c>
      <c r="AL63" s="268">
        <f t="shared" si="61"/>
        <v>-0.375</v>
      </c>
      <c r="AM63" s="268">
        <f t="shared" si="61"/>
        <v>-0.375</v>
      </c>
      <c r="AN63" s="268">
        <f t="shared" si="61"/>
        <v>-0.375</v>
      </c>
      <c r="AO63" s="268">
        <f t="shared" si="61"/>
        <v>-0.375</v>
      </c>
      <c r="AP63" s="268">
        <f t="shared" si="61"/>
        <v>-0.375</v>
      </c>
      <c r="AQ63" s="268">
        <f t="shared" si="61"/>
        <v>-0.375</v>
      </c>
      <c r="AR63" s="268">
        <f t="shared" si="61"/>
        <v>-0.375</v>
      </c>
      <c r="AS63" s="268">
        <f t="shared" si="61"/>
        <v>-0.375</v>
      </c>
      <c r="AT63" s="268">
        <f t="shared" si="61"/>
        <v>-0.375</v>
      </c>
      <c r="AU63" s="268">
        <f t="shared" si="61"/>
        <v>-0.375</v>
      </c>
      <c r="AV63" s="268">
        <f t="shared" si="61"/>
        <v>-0.375</v>
      </c>
      <c r="AW63" s="268">
        <f t="shared" si="61"/>
        <v>-0.375</v>
      </c>
      <c r="AX63" s="268">
        <f t="shared" si="61"/>
        <v>-0.375</v>
      </c>
      <c r="AY63" s="268">
        <f t="shared" si="61"/>
        <v>-0.375</v>
      </c>
      <c r="AZ63" s="268">
        <f t="shared" si="61"/>
        <v>-0.375</v>
      </c>
      <c r="BA63" s="268">
        <f t="shared" si="61"/>
        <v>-0.375</v>
      </c>
      <c r="BB63" s="268">
        <f t="shared" si="61"/>
        <v>-0.375</v>
      </c>
      <c r="BC63" s="268">
        <f t="shared" si="61"/>
        <v>-0.375</v>
      </c>
      <c r="BD63" s="268">
        <f t="shared" si="61"/>
        <v>-0.375</v>
      </c>
      <c r="BE63" s="268">
        <f t="shared" si="61"/>
        <v>-0.375</v>
      </c>
      <c r="BF63" s="268">
        <f t="shared" si="61"/>
        <v>-0.375</v>
      </c>
      <c r="BG63" s="268">
        <f t="shared" si="61"/>
        <v>-0.375</v>
      </c>
      <c r="BH63" s="268">
        <f t="shared" si="61"/>
        <v>-0.375</v>
      </c>
      <c r="BI63" s="268">
        <f t="shared" si="61"/>
        <v>-0.375</v>
      </c>
      <c r="BJ63" s="268">
        <f t="shared" si="61"/>
        <v>-0.375</v>
      </c>
      <c r="BK63" s="268">
        <f t="shared" si="61"/>
        <v>-0.375</v>
      </c>
      <c r="BL63" s="269">
        <f t="shared" si="61"/>
        <v>-5.5</v>
      </c>
      <c r="BM63" s="269">
        <f t="shared" si="61"/>
        <v>-5.0999999999999996</v>
      </c>
      <c r="BN63" s="269">
        <f t="shared" si="61"/>
        <v>-4.5</v>
      </c>
      <c r="BO63" s="269">
        <f t="shared" si="61"/>
        <v>-4.5</v>
      </c>
      <c r="BP63" s="269">
        <f t="shared" si="61"/>
        <v>-4.5</v>
      </c>
    </row>
    <row r="64" spans="1:68" x14ac:dyDescent="0.15">
      <c r="A64" t="s">
        <v>130</v>
      </c>
      <c r="B64" t="s">
        <v>236</v>
      </c>
      <c r="D64" s="268">
        <f t="shared" ref="D64:AI64" si="62">D26+D45</f>
        <v>-0.41063260000000001</v>
      </c>
      <c r="E64" s="268">
        <f t="shared" si="62"/>
        <v>-0.41063260000000001</v>
      </c>
      <c r="F64" s="268">
        <f t="shared" si="62"/>
        <v>-0.4119776</v>
      </c>
      <c r="G64" s="268">
        <f t="shared" si="62"/>
        <v>-0.4119776</v>
      </c>
      <c r="H64" s="268">
        <f t="shared" si="62"/>
        <v>-0.4304848</v>
      </c>
      <c r="I64" s="268">
        <f t="shared" si="62"/>
        <v>-0.42661119999999997</v>
      </c>
      <c r="J64" s="268">
        <f t="shared" si="62"/>
        <v>-0.42661119999999997</v>
      </c>
      <c r="K64" s="268">
        <f t="shared" si="62"/>
        <v>-0.37932099999999996</v>
      </c>
      <c r="L64" s="268">
        <f t="shared" si="62"/>
        <v>-0.37932099999999996</v>
      </c>
      <c r="M64" s="268">
        <f t="shared" si="62"/>
        <v>-0.37932099999999996</v>
      </c>
      <c r="N64" s="268">
        <f t="shared" si="62"/>
        <v>-0.37932099999999996</v>
      </c>
      <c r="O64" s="268">
        <f t="shared" si="62"/>
        <v>-0.37932099999999996</v>
      </c>
      <c r="P64" s="268">
        <f t="shared" si="62"/>
        <v>-0.388546104</v>
      </c>
      <c r="Q64" s="268">
        <f t="shared" si="62"/>
        <v>-0.388546104</v>
      </c>
      <c r="R64" s="268">
        <f t="shared" si="62"/>
        <v>-0.388546104</v>
      </c>
      <c r="S64" s="268">
        <f t="shared" si="62"/>
        <v>-0.388546104</v>
      </c>
      <c r="T64" s="268">
        <f t="shared" si="62"/>
        <v>-0.388546104</v>
      </c>
      <c r="U64" s="268">
        <f t="shared" si="62"/>
        <v>-0.388546104</v>
      </c>
      <c r="V64" s="268">
        <f t="shared" si="62"/>
        <v>-0.388546104</v>
      </c>
      <c r="W64" s="268">
        <f t="shared" si="62"/>
        <v>-0.388546104</v>
      </c>
      <c r="X64" s="268">
        <f t="shared" si="62"/>
        <v>-0.388546104</v>
      </c>
      <c r="Y64" s="268">
        <f t="shared" si="62"/>
        <v>-0.388546104</v>
      </c>
      <c r="Z64" s="268">
        <f t="shared" si="62"/>
        <v>-0.388546104</v>
      </c>
      <c r="AA64" s="268">
        <f t="shared" si="62"/>
        <v>-0.388546104</v>
      </c>
      <c r="AB64" s="268">
        <f t="shared" si="62"/>
        <v>-0.41574433127999999</v>
      </c>
      <c r="AC64" s="268">
        <f t="shared" si="62"/>
        <v>-0.41574433127999999</v>
      </c>
      <c r="AD64" s="268">
        <f t="shared" si="62"/>
        <v>-0.41574433127999999</v>
      </c>
      <c r="AE64" s="268">
        <f t="shared" si="62"/>
        <v>-0.41574433127999999</v>
      </c>
      <c r="AF64" s="268">
        <f t="shared" si="62"/>
        <v>-0.41574433127999999</v>
      </c>
      <c r="AG64" s="268">
        <f t="shared" si="62"/>
        <v>-0.41574433127999999</v>
      </c>
      <c r="AH64" s="268">
        <f t="shared" si="62"/>
        <v>-0.41574433127999999</v>
      </c>
      <c r="AI64" s="268">
        <f t="shared" si="62"/>
        <v>-0.41574433127999999</v>
      </c>
      <c r="AJ64" s="268">
        <f t="shared" ref="AJ64:BP64" si="63">AJ26+AJ45</f>
        <v>-0.41574433127999999</v>
      </c>
      <c r="AK64" s="268">
        <f t="shared" si="63"/>
        <v>-0.41574433127999999</v>
      </c>
      <c r="AL64" s="268">
        <f t="shared" si="63"/>
        <v>-0.41574433127999999</v>
      </c>
      <c r="AM64" s="268">
        <f t="shared" si="63"/>
        <v>-0.41574433127999999</v>
      </c>
      <c r="AN64" s="268">
        <f t="shared" si="63"/>
        <v>-0.44484643446960004</v>
      </c>
      <c r="AO64" s="268">
        <f t="shared" si="63"/>
        <v>-0.44484643446960004</v>
      </c>
      <c r="AP64" s="268">
        <f t="shared" si="63"/>
        <v>-0.44484643446960004</v>
      </c>
      <c r="AQ64" s="268">
        <f t="shared" si="63"/>
        <v>-0.44484643446960004</v>
      </c>
      <c r="AR64" s="268">
        <f t="shared" si="63"/>
        <v>-0.44484643446960004</v>
      </c>
      <c r="AS64" s="268">
        <f t="shared" si="63"/>
        <v>-0.44484643446960004</v>
      </c>
      <c r="AT64" s="268">
        <f t="shared" si="63"/>
        <v>-0.44484643446960004</v>
      </c>
      <c r="AU64" s="268">
        <f t="shared" si="63"/>
        <v>-0.44484643446960004</v>
      </c>
      <c r="AV64" s="268">
        <f t="shared" si="63"/>
        <v>-0.44484643446960004</v>
      </c>
      <c r="AW64" s="268">
        <f t="shared" si="63"/>
        <v>-0.44484643446960004</v>
      </c>
      <c r="AX64" s="268">
        <f t="shared" si="63"/>
        <v>-0.44484643446960004</v>
      </c>
      <c r="AY64" s="268">
        <f t="shared" si="63"/>
        <v>-0.44484643446960004</v>
      </c>
      <c r="AZ64" s="268">
        <f t="shared" si="63"/>
        <v>-0.47598568488247206</v>
      </c>
      <c r="BA64" s="268">
        <f t="shared" si="63"/>
        <v>-0.47598568488247206</v>
      </c>
      <c r="BB64" s="268">
        <f t="shared" si="63"/>
        <v>-0.47598568488247206</v>
      </c>
      <c r="BC64" s="268">
        <f t="shared" si="63"/>
        <v>-0.47598568488247206</v>
      </c>
      <c r="BD64" s="268">
        <f t="shared" si="63"/>
        <v>-0.47598568488247206</v>
      </c>
      <c r="BE64" s="268">
        <f t="shared" si="63"/>
        <v>-0.47598568488247206</v>
      </c>
      <c r="BF64" s="268">
        <f t="shared" si="63"/>
        <v>-0.47598568488247206</v>
      </c>
      <c r="BG64" s="268">
        <f t="shared" si="63"/>
        <v>-0.47598568488247206</v>
      </c>
      <c r="BH64" s="268">
        <f t="shared" si="63"/>
        <v>-0.47598568488247206</v>
      </c>
      <c r="BI64" s="268">
        <f t="shared" si="63"/>
        <v>-0.47598568488247206</v>
      </c>
      <c r="BJ64" s="268">
        <f t="shared" si="63"/>
        <v>-0.47598568488247206</v>
      </c>
      <c r="BK64" s="268">
        <f t="shared" si="63"/>
        <v>-0.47598568488247206</v>
      </c>
      <c r="BL64" s="269">
        <f t="shared" si="63"/>
        <v>-4.8255326000000007</v>
      </c>
      <c r="BM64" s="269">
        <f t="shared" si="63"/>
        <v>-4.662553248</v>
      </c>
      <c r="BN64" s="269">
        <f t="shared" si="63"/>
        <v>-4.9889319753599999</v>
      </c>
      <c r="BO64" s="269">
        <f t="shared" si="63"/>
        <v>-5.3381572136352009</v>
      </c>
      <c r="BP64" s="269">
        <f t="shared" si="63"/>
        <v>-5.7118282185896634</v>
      </c>
    </row>
    <row r="65" spans="1:68" x14ac:dyDescent="0.15">
      <c r="A65" t="s">
        <v>131</v>
      </c>
      <c r="B65" t="s">
        <v>236</v>
      </c>
      <c r="D65" s="268">
        <f t="shared" ref="D65:AI65" si="64">D27+D46</f>
        <v>0</v>
      </c>
      <c r="E65" s="268">
        <f t="shared" si="64"/>
        <v>0</v>
      </c>
      <c r="F65" s="268">
        <f t="shared" si="64"/>
        <v>0</v>
      </c>
      <c r="G65" s="268">
        <f t="shared" si="64"/>
        <v>0</v>
      </c>
      <c r="H65" s="268">
        <f t="shared" si="64"/>
        <v>0</v>
      </c>
      <c r="I65" s="268">
        <f t="shared" si="64"/>
        <v>0</v>
      </c>
      <c r="J65" s="268">
        <f t="shared" si="64"/>
        <v>0</v>
      </c>
      <c r="K65" s="268">
        <f t="shared" si="64"/>
        <v>0</v>
      </c>
      <c r="L65" s="268">
        <f t="shared" si="64"/>
        <v>0</v>
      </c>
      <c r="M65" s="268">
        <f t="shared" si="64"/>
        <v>0</v>
      </c>
      <c r="N65" s="268">
        <f t="shared" si="64"/>
        <v>0</v>
      </c>
      <c r="O65" s="268">
        <f t="shared" si="64"/>
        <v>0</v>
      </c>
      <c r="P65" s="268">
        <f t="shared" si="64"/>
        <v>0</v>
      </c>
      <c r="Q65" s="268">
        <f t="shared" si="64"/>
        <v>0</v>
      </c>
      <c r="R65" s="268">
        <f t="shared" si="64"/>
        <v>0</v>
      </c>
      <c r="S65" s="268">
        <f t="shared" si="64"/>
        <v>0</v>
      </c>
      <c r="T65" s="268">
        <f t="shared" si="64"/>
        <v>0</v>
      </c>
      <c r="U65" s="268">
        <f t="shared" si="64"/>
        <v>0</v>
      </c>
      <c r="V65" s="268">
        <f t="shared" si="64"/>
        <v>0</v>
      </c>
      <c r="W65" s="268">
        <f t="shared" si="64"/>
        <v>0</v>
      </c>
      <c r="X65" s="268">
        <f t="shared" si="64"/>
        <v>0</v>
      </c>
      <c r="Y65" s="268">
        <f t="shared" si="64"/>
        <v>0</v>
      </c>
      <c r="Z65" s="268">
        <f t="shared" si="64"/>
        <v>0</v>
      </c>
      <c r="AA65" s="268">
        <f t="shared" si="64"/>
        <v>0</v>
      </c>
      <c r="AB65" s="268">
        <f t="shared" si="64"/>
        <v>0</v>
      </c>
      <c r="AC65" s="268">
        <f t="shared" si="64"/>
        <v>0</v>
      </c>
      <c r="AD65" s="268">
        <f t="shared" si="64"/>
        <v>0</v>
      </c>
      <c r="AE65" s="268">
        <f t="shared" si="64"/>
        <v>0</v>
      </c>
      <c r="AF65" s="268">
        <f t="shared" si="64"/>
        <v>0</v>
      </c>
      <c r="AG65" s="268">
        <f t="shared" si="64"/>
        <v>0</v>
      </c>
      <c r="AH65" s="268">
        <f t="shared" si="64"/>
        <v>0</v>
      </c>
      <c r="AI65" s="268">
        <f t="shared" si="64"/>
        <v>0</v>
      </c>
      <c r="AJ65" s="268">
        <f t="shared" ref="AJ65:BP65" si="65">AJ27+AJ46</f>
        <v>0</v>
      </c>
      <c r="AK65" s="268">
        <f t="shared" si="65"/>
        <v>0</v>
      </c>
      <c r="AL65" s="268">
        <f t="shared" si="65"/>
        <v>0</v>
      </c>
      <c r="AM65" s="268">
        <f t="shared" si="65"/>
        <v>0</v>
      </c>
      <c r="AN65" s="268">
        <f t="shared" si="65"/>
        <v>0</v>
      </c>
      <c r="AO65" s="268">
        <f t="shared" si="65"/>
        <v>0</v>
      </c>
      <c r="AP65" s="268">
        <f t="shared" si="65"/>
        <v>0</v>
      </c>
      <c r="AQ65" s="268">
        <f t="shared" si="65"/>
        <v>0</v>
      </c>
      <c r="AR65" s="268">
        <f t="shared" si="65"/>
        <v>0</v>
      </c>
      <c r="AS65" s="268">
        <f t="shared" si="65"/>
        <v>0</v>
      </c>
      <c r="AT65" s="268">
        <f t="shared" si="65"/>
        <v>0</v>
      </c>
      <c r="AU65" s="268">
        <f t="shared" si="65"/>
        <v>0</v>
      </c>
      <c r="AV65" s="268">
        <f t="shared" si="65"/>
        <v>0</v>
      </c>
      <c r="AW65" s="268">
        <f t="shared" si="65"/>
        <v>0</v>
      </c>
      <c r="AX65" s="268">
        <f t="shared" si="65"/>
        <v>0</v>
      </c>
      <c r="AY65" s="268">
        <f t="shared" si="65"/>
        <v>0</v>
      </c>
      <c r="AZ65" s="268">
        <f t="shared" si="65"/>
        <v>0</v>
      </c>
      <c r="BA65" s="268">
        <f t="shared" si="65"/>
        <v>0</v>
      </c>
      <c r="BB65" s="268">
        <f t="shared" si="65"/>
        <v>0</v>
      </c>
      <c r="BC65" s="268">
        <f t="shared" si="65"/>
        <v>0</v>
      </c>
      <c r="BD65" s="268">
        <f t="shared" si="65"/>
        <v>0</v>
      </c>
      <c r="BE65" s="268">
        <f t="shared" si="65"/>
        <v>0</v>
      </c>
      <c r="BF65" s="268">
        <f t="shared" si="65"/>
        <v>0</v>
      </c>
      <c r="BG65" s="268">
        <f t="shared" si="65"/>
        <v>0</v>
      </c>
      <c r="BH65" s="268">
        <f t="shared" si="65"/>
        <v>0</v>
      </c>
      <c r="BI65" s="268">
        <f t="shared" si="65"/>
        <v>0</v>
      </c>
      <c r="BJ65" s="268">
        <f t="shared" si="65"/>
        <v>0</v>
      </c>
      <c r="BK65" s="268">
        <f t="shared" si="65"/>
        <v>0</v>
      </c>
      <c r="BL65" s="269">
        <f t="shared" si="65"/>
        <v>0</v>
      </c>
      <c r="BM65" s="269">
        <f t="shared" si="65"/>
        <v>0</v>
      </c>
      <c r="BN65" s="269">
        <f t="shared" si="65"/>
        <v>0</v>
      </c>
      <c r="BO65" s="269">
        <f t="shared" si="65"/>
        <v>0</v>
      </c>
      <c r="BP65" s="269">
        <f t="shared" si="65"/>
        <v>0</v>
      </c>
    </row>
    <row r="66" spans="1:68" x14ac:dyDescent="0.15">
      <c r="A66" s="232" t="s">
        <v>132</v>
      </c>
      <c r="B66" t="s">
        <v>236</v>
      </c>
      <c r="D66" s="266">
        <f t="shared" ref="D66:AI66" si="66">D28+D47</f>
        <v>10.024442672727272</v>
      </c>
      <c r="E66" s="266">
        <f t="shared" si="66"/>
        <v>29.171720863531831</v>
      </c>
      <c r="F66" s="266">
        <f t="shared" si="66"/>
        <v>21.061549115755518</v>
      </c>
      <c r="G66" s="266">
        <f t="shared" si="66"/>
        <v>21.976799673786463</v>
      </c>
      <c r="H66" s="266">
        <f t="shared" si="66"/>
        <v>21.900303223270765</v>
      </c>
      <c r="I66" s="266">
        <f t="shared" si="66"/>
        <v>22.323578515169014</v>
      </c>
      <c r="J66" s="266">
        <f t="shared" si="66"/>
        <v>22.682336124556894</v>
      </c>
      <c r="K66" s="266">
        <f t="shared" si="66"/>
        <v>23.451370707358883</v>
      </c>
      <c r="L66" s="266">
        <f t="shared" si="66"/>
        <v>24.090109149158899</v>
      </c>
      <c r="M66" s="266">
        <f t="shared" si="66"/>
        <v>24.400468108725349</v>
      </c>
      <c r="N66" s="266">
        <f t="shared" si="66"/>
        <v>31.357878903170604</v>
      </c>
      <c r="O66" s="266">
        <f t="shared" si="66"/>
        <v>31.66448843954986</v>
      </c>
      <c r="P66" s="266">
        <f t="shared" si="66"/>
        <v>8.0489917244676299</v>
      </c>
      <c r="Q66" s="266">
        <f t="shared" si="66"/>
        <v>24.547228099471891</v>
      </c>
      <c r="R66" s="266">
        <f t="shared" si="66"/>
        <v>25.300575178487193</v>
      </c>
      <c r="S66" s="266">
        <f t="shared" si="66"/>
        <v>25.435859082535959</v>
      </c>
      <c r="T66" s="266">
        <f t="shared" si="66"/>
        <v>25.560755642113609</v>
      </c>
      <c r="U66" s="266">
        <f t="shared" si="66"/>
        <v>25.680101675422449</v>
      </c>
      <c r="V66" s="266">
        <f t="shared" si="66"/>
        <v>25.796661006574247</v>
      </c>
      <c r="W66" s="266">
        <f t="shared" si="66"/>
        <v>25.995269066408063</v>
      </c>
      <c r="X66" s="266">
        <f t="shared" si="66"/>
        <v>26.110054973156313</v>
      </c>
      <c r="Y66" s="266">
        <f t="shared" si="66"/>
        <v>26.224768359786488</v>
      </c>
      <c r="Z66" s="266">
        <f t="shared" si="66"/>
        <v>33.364444604331787</v>
      </c>
      <c r="AA66" s="266">
        <f t="shared" si="66"/>
        <v>33.502581493772823</v>
      </c>
      <c r="AB66" s="266">
        <f t="shared" si="66"/>
        <v>8.3216877721903639</v>
      </c>
      <c r="AC66" s="266">
        <f t="shared" si="66"/>
        <v>26.114782073501257</v>
      </c>
      <c r="AD66" s="266">
        <f t="shared" si="66"/>
        <v>26.230920329916003</v>
      </c>
      <c r="AE66" s="266">
        <f t="shared" si="66"/>
        <v>26.347430377943503</v>
      </c>
      <c r="AF66" s="266">
        <f t="shared" si="66"/>
        <v>26.46431751490147</v>
      </c>
      <c r="AG66" s="266">
        <f t="shared" si="66"/>
        <v>26.581585077109871</v>
      </c>
      <c r="AH66" s="266">
        <f t="shared" si="66"/>
        <v>26.69923539266745</v>
      </c>
      <c r="AI66" s="266">
        <f t="shared" si="66"/>
        <v>26.81727027230805</v>
      </c>
      <c r="AJ66" s="266">
        <f t="shared" ref="AJ66:BP66" si="67">AJ28+AJ47</f>
        <v>26.935691262266602</v>
      </c>
      <c r="AK66" s="266">
        <f t="shared" si="67"/>
        <v>27.05449977454187</v>
      </c>
      <c r="AL66" s="266">
        <f t="shared" si="67"/>
        <v>34.479562776178824</v>
      </c>
      <c r="AM66" s="266">
        <f t="shared" si="67"/>
        <v>34.623067846927405</v>
      </c>
      <c r="AN66" s="266">
        <f t="shared" si="67"/>
        <v>8.4176722290698898</v>
      </c>
      <c r="AO66" s="266">
        <f t="shared" si="67"/>
        <v>26.922491387102337</v>
      </c>
      <c r="AP66" s="266">
        <f t="shared" si="67"/>
        <v>27.043257252470337</v>
      </c>
      <c r="AQ66" s="266">
        <f t="shared" si="67"/>
        <v>27.164418470920065</v>
      </c>
      <c r="AR66" s="266">
        <f t="shared" si="67"/>
        <v>27.28597633815836</v>
      </c>
      <c r="AS66" s="266">
        <f t="shared" si="67"/>
        <v>27.407932153443458</v>
      </c>
      <c r="AT66" s="266">
        <f t="shared" si="67"/>
        <v>27.53028721993147</v>
      </c>
      <c r="AU66" s="266">
        <f t="shared" si="67"/>
        <v>27.653042844861503</v>
      </c>
      <c r="AV66" s="266">
        <f t="shared" si="67"/>
        <v>27.77620033965789</v>
      </c>
      <c r="AW66" s="266">
        <f t="shared" si="67"/>
        <v>27.899761019989629</v>
      </c>
      <c r="AX66" s="266">
        <f t="shared" si="67"/>
        <v>35.62182647174172</v>
      </c>
      <c r="AY66" s="266">
        <f t="shared" si="67"/>
        <v>35.771071690418609</v>
      </c>
      <c r="AZ66" s="266">
        <f t="shared" si="67"/>
        <v>8.4991258770338423</v>
      </c>
      <c r="BA66" s="266">
        <f t="shared" si="67"/>
        <v>27.744137801765547</v>
      </c>
      <c r="BB66" s="266">
        <f t="shared" si="67"/>
        <v>27.86973429549548</v>
      </c>
      <c r="BC66" s="266">
        <f t="shared" si="67"/>
        <v>27.995741959462428</v>
      </c>
      <c r="BD66" s="266">
        <f t="shared" si="67"/>
        <v>28.12216213973123</v>
      </c>
      <c r="BE66" s="266">
        <f t="shared" si="67"/>
        <v>28.248996186773166</v>
      </c>
      <c r="BF66" s="266">
        <f t="shared" si="67"/>
        <v>28.376245455480515</v>
      </c>
      <c r="BG66" s="266">
        <f t="shared" si="67"/>
        <v>28.503911305181006</v>
      </c>
      <c r="BH66" s="266">
        <f t="shared" si="67"/>
        <v>28.631995099652457</v>
      </c>
      <c r="BI66" s="266">
        <f t="shared" si="67"/>
        <v>28.76049820713731</v>
      </c>
      <c r="BJ66" s="266">
        <f t="shared" si="67"/>
        <v>36.791446276935083</v>
      </c>
      <c r="BK66" s="266">
        <f t="shared" si="67"/>
        <v>36.946661304339891</v>
      </c>
      <c r="BL66" s="267">
        <f t="shared" si="67"/>
        <v>284.10504549676136</v>
      </c>
      <c r="BM66" s="267">
        <f t="shared" si="67"/>
        <v>305.5672909065284</v>
      </c>
      <c r="BN66" s="267">
        <f t="shared" si="67"/>
        <v>316.67005047045268</v>
      </c>
      <c r="BO66" s="267">
        <f t="shared" si="67"/>
        <v>326.49393741776521</v>
      </c>
      <c r="BP66" s="267">
        <f t="shared" si="67"/>
        <v>336.49065590898795</v>
      </c>
    </row>
    <row r="67" spans="1:68" x14ac:dyDescent="0.15">
      <c r="A67" s="232" t="s">
        <v>133</v>
      </c>
      <c r="B67" t="s">
        <v>134</v>
      </c>
      <c r="D67" s="270">
        <f t="shared" ref="D67:AI67" si="68">IFERROR(D66/D58,0)</f>
        <v>0.49008386399999998</v>
      </c>
      <c r="E67" s="270">
        <f t="shared" si="68"/>
        <v>0.71075966779739408</v>
      </c>
      <c r="F67" s="270">
        <f t="shared" si="68"/>
        <v>0.63629385224476742</v>
      </c>
      <c r="G67" s="270">
        <f t="shared" si="68"/>
        <v>0.65941069709720224</v>
      </c>
      <c r="H67" s="270">
        <f t="shared" si="68"/>
        <v>0.65070091033521027</v>
      </c>
      <c r="I67" s="270">
        <f t="shared" si="68"/>
        <v>0.65626603138512285</v>
      </c>
      <c r="J67" s="270">
        <f t="shared" si="68"/>
        <v>0.6595013748214178</v>
      </c>
      <c r="K67" s="270">
        <f t="shared" si="68"/>
        <v>0.67344678524977297</v>
      </c>
      <c r="L67" s="270">
        <f t="shared" si="68"/>
        <v>0.68478315132810663</v>
      </c>
      <c r="M67" s="270">
        <f t="shared" si="68"/>
        <v>0.6872227883463089</v>
      </c>
      <c r="N67" s="270">
        <f t="shared" si="68"/>
        <v>0.72979612188354304</v>
      </c>
      <c r="O67" s="270">
        <f t="shared" si="68"/>
        <v>0.73142447898862528</v>
      </c>
      <c r="P67" s="270">
        <f t="shared" si="68"/>
        <v>0.44338565917175127</v>
      </c>
      <c r="Q67" s="270">
        <f t="shared" si="68"/>
        <v>0.67253709812214169</v>
      </c>
      <c r="R67" s="270">
        <f t="shared" si="68"/>
        <v>0.69009088855280498</v>
      </c>
      <c r="S67" s="270">
        <f t="shared" si="68"/>
        <v>0.69105855757260737</v>
      </c>
      <c r="T67" s="270">
        <f t="shared" si="68"/>
        <v>0.69193995404674546</v>
      </c>
      <c r="U67" s="270">
        <f t="shared" si="68"/>
        <v>0.69277310781551094</v>
      </c>
      <c r="V67" s="270">
        <f t="shared" si="68"/>
        <v>0.69357952750799501</v>
      </c>
      <c r="W67" s="270">
        <f t="shared" si="68"/>
        <v>0.69660391776942354</v>
      </c>
      <c r="X67" s="270">
        <f t="shared" si="68"/>
        <v>0.69737880942001473</v>
      </c>
      <c r="Y67" s="270">
        <f t="shared" si="68"/>
        <v>0.69814787757717234</v>
      </c>
      <c r="Z67" s="270">
        <f t="shared" si="68"/>
        <v>0.73776154321592458</v>
      </c>
      <c r="AA67" s="270">
        <f t="shared" si="68"/>
        <v>0.73839614743497473</v>
      </c>
      <c r="AB67" s="270">
        <f t="shared" si="68"/>
        <v>0.43874641800518965</v>
      </c>
      <c r="AC67" s="270">
        <f t="shared" si="68"/>
        <v>0.68618106821213209</v>
      </c>
      <c r="AD67" s="270">
        <f t="shared" si="68"/>
        <v>0.68698333736825501</v>
      </c>
      <c r="AE67" s="270">
        <f t="shared" si="68"/>
        <v>0.68778292563050958</v>
      </c>
      <c r="AF67" s="270">
        <f t="shared" si="68"/>
        <v>0.68857987251621511</v>
      </c>
      <c r="AG67" s="270">
        <f t="shared" si="68"/>
        <v>0.68937420239658276</v>
      </c>
      <c r="AH67" s="270">
        <f t="shared" si="68"/>
        <v>0.69016593187508835</v>
      </c>
      <c r="AI67" s="270">
        <f t="shared" si="68"/>
        <v>0.69095507356514474</v>
      </c>
      <c r="AJ67" s="270">
        <f t="shared" ref="AJ67:BO67" si="69">IFERROR(AJ66/AJ58,0)</f>
        <v>0.69174163802412802</v>
      </c>
      <c r="AK67" s="270">
        <f t="shared" si="69"/>
        <v>0.69252563474350937</v>
      </c>
      <c r="AL67" s="270">
        <f t="shared" si="69"/>
        <v>0.73309018273952742</v>
      </c>
      <c r="AM67" s="270">
        <f t="shared" si="69"/>
        <v>0.73373925586014666</v>
      </c>
      <c r="AN67" s="270">
        <f t="shared" si="69"/>
        <v>0.42673672083530101</v>
      </c>
      <c r="AO67" s="270">
        <f t="shared" si="69"/>
        <v>0.68019558799844704</v>
      </c>
      <c r="AP67" s="270">
        <f t="shared" si="69"/>
        <v>0.68101725899583354</v>
      </c>
      <c r="AQ67" s="270">
        <f t="shared" si="69"/>
        <v>0.68183624881199334</v>
      </c>
      <c r="AR67" s="270">
        <f t="shared" si="69"/>
        <v>0.68265256620632442</v>
      </c>
      <c r="AS67" s="270">
        <f t="shared" si="69"/>
        <v>0.68346621990449241</v>
      </c>
      <c r="AT67" s="270">
        <f t="shared" si="69"/>
        <v>0.68427721860105561</v>
      </c>
      <c r="AU67" s="270">
        <f t="shared" si="69"/>
        <v>0.6850855709608511</v>
      </c>
      <c r="AV67" s="270">
        <f t="shared" si="69"/>
        <v>0.68589128561975266</v>
      </c>
      <c r="AW67" s="270">
        <f t="shared" si="69"/>
        <v>0.68669437118510013</v>
      </c>
      <c r="AX67" s="270">
        <f t="shared" si="69"/>
        <v>0.72824665240094077</v>
      </c>
      <c r="AY67" s="270">
        <f t="shared" si="69"/>
        <v>0.72891152997375241</v>
      </c>
      <c r="AZ67" s="270">
        <f t="shared" si="69"/>
        <v>0.41429426980984096</v>
      </c>
      <c r="BA67" s="270">
        <f t="shared" si="69"/>
        <v>0.67399466262394192</v>
      </c>
      <c r="BB67" s="270">
        <f t="shared" si="69"/>
        <v>0.67483656755237742</v>
      </c>
      <c r="BC67" s="270">
        <f t="shared" si="69"/>
        <v>0.67567572529671405</v>
      </c>
      <c r="BD67" s="270">
        <f t="shared" si="69"/>
        <v>0.67651214482117528</v>
      </c>
      <c r="BE67" s="270">
        <f t="shared" si="69"/>
        <v>0.67734583506073098</v>
      </c>
      <c r="BF67" s="270">
        <f t="shared" si="69"/>
        <v>0.67817680492119603</v>
      </c>
      <c r="BG67" s="270">
        <f t="shared" si="69"/>
        <v>0.67900506327932331</v>
      </c>
      <c r="BH67" s="270">
        <f t="shared" si="69"/>
        <v>0.6798306189829012</v>
      </c>
      <c r="BI67" s="270">
        <f t="shared" si="69"/>
        <v>0.68065348085084676</v>
      </c>
      <c r="BJ67" s="270">
        <f t="shared" si="69"/>
        <v>0.72322900359872255</v>
      </c>
      <c r="BK67" s="270">
        <f t="shared" si="69"/>
        <v>0.72391025404740461</v>
      </c>
      <c r="BL67" s="270">
        <f t="shared" si="69"/>
        <v>0.67361930070256693</v>
      </c>
      <c r="BM67" s="270">
        <f t="shared" si="69"/>
        <v>0.69095006078631604</v>
      </c>
      <c r="BN67" s="270">
        <f t="shared" si="69"/>
        <v>0.68806811366333476</v>
      </c>
      <c r="BO67" s="270">
        <f t="shared" si="69"/>
        <v>0.68212837752679811</v>
      </c>
      <c r="BP67" s="270">
        <f t="shared" ref="BP67" si="70">IFERROR(BP66/BP58,0)</f>
        <v>0.67597504779665807</v>
      </c>
    </row>
    <row r="68" spans="1:68" x14ac:dyDescent="0.15">
      <c r="A68" t="s">
        <v>111</v>
      </c>
      <c r="B68" t="s">
        <v>236</v>
      </c>
      <c r="D68" s="268">
        <f t="shared" ref="D68:AI68" si="71">D30+D49</f>
        <v>-0.57113636363636366</v>
      </c>
      <c r="E68" s="268">
        <f t="shared" si="71"/>
        <v>-1.5285002731765918</v>
      </c>
      <c r="F68" s="268">
        <f t="shared" si="71"/>
        <v>-1.151798565156182</v>
      </c>
      <c r="G68" s="268">
        <f t="shared" si="71"/>
        <v>-1.1568132750572488</v>
      </c>
      <c r="H68" s="268">
        <f t="shared" si="71"/>
        <v>-1.1618444018136154</v>
      </c>
      <c r="I68" s="268">
        <f t="shared" si="71"/>
        <v>-1.1668919991697928</v>
      </c>
      <c r="J68" s="268">
        <f t="shared" si="71"/>
        <v>-1.1719561210462401</v>
      </c>
      <c r="K68" s="268">
        <f t="shared" si="71"/>
        <v>-1.1770368215399367</v>
      </c>
      <c r="L68" s="268">
        <f t="shared" si="71"/>
        <v>-1.204505457457945</v>
      </c>
      <c r="M68" s="268">
        <f t="shared" si="71"/>
        <v>-1.2200234054362677</v>
      </c>
      <c r="N68" s="268">
        <f t="shared" si="71"/>
        <v>-1.5678939451585303</v>
      </c>
      <c r="O68" s="268">
        <f t="shared" si="71"/>
        <v>-1.5832244219774931</v>
      </c>
      <c r="P68" s="268">
        <f t="shared" si="71"/>
        <v>-0.40244958622338151</v>
      </c>
      <c r="Q68" s="268">
        <f t="shared" si="71"/>
        <v>-1.2273614049735946</v>
      </c>
      <c r="R68" s="268">
        <f t="shared" si="71"/>
        <v>-1.2650287589243598</v>
      </c>
      <c r="S68" s="268">
        <f t="shared" si="71"/>
        <v>-1.271792954126798</v>
      </c>
      <c r="T68" s="268">
        <f t="shared" si="71"/>
        <v>-1.2780377821056805</v>
      </c>
      <c r="U68" s="268">
        <f t="shared" si="71"/>
        <v>-1.2840050837711228</v>
      </c>
      <c r="V68" s="268">
        <f t="shared" si="71"/>
        <v>-1.2898330503287125</v>
      </c>
      <c r="W68" s="268">
        <f t="shared" si="71"/>
        <v>-1.2997634533204034</v>
      </c>
      <c r="X68" s="268">
        <f t="shared" si="71"/>
        <v>-1.3055027486578157</v>
      </c>
      <c r="Y68" s="268">
        <f t="shared" si="71"/>
        <v>-1.3112384179893244</v>
      </c>
      <c r="Z68" s="268">
        <f t="shared" si="71"/>
        <v>-1.6682222302165894</v>
      </c>
      <c r="AA68" s="268">
        <f t="shared" si="71"/>
        <v>-1.6751290746886411</v>
      </c>
      <c r="AB68" s="268">
        <f t="shared" si="71"/>
        <v>-0.41608438860951819</v>
      </c>
      <c r="AC68" s="268">
        <f t="shared" si="71"/>
        <v>-1.305739103675063</v>
      </c>
      <c r="AD68" s="268">
        <f t="shared" si="71"/>
        <v>-1.3115460164958002</v>
      </c>
      <c r="AE68" s="268">
        <f t="shared" si="71"/>
        <v>-1.3173715188971753</v>
      </c>
      <c r="AF68" s="268">
        <f t="shared" si="71"/>
        <v>-1.3232158757450736</v>
      </c>
      <c r="AG68" s="268">
        <f t="shared" si="71"/>
        <v>-1.3290792538554936</v>
      </c>
      <c r="AH68" s="268">
        <f t="shared" si="71"/>
        <v>-1.3349617696333724</v>
      </c>
      <c r="AI68" s="268">
        <f t="shared" si="71"/>
        <v>-1.3408635136154026</v>
      </c>
      <c r="AJ68" s="268">
        <f t="shared" ref="AJ68:BP68" si="72">AJ30+AJ49</f>
        <v>-1.3467845631133302</v>
      </c>
      <c r="AK68" s="268">
        <f t="shared" si="72"/>
        <v>-1.3527249887270938</v>
      </c>
      <c r="AL68" s="268">
        <f t="shared" si="72"/>
        <v>-1.7239781388089412</v>
      </c>
      <c r="AM68" s="268">
        <f t="shared" si="72"/>
        <v>-1.7311533923463702</v>
      </c>
      <c r="AN68" s="268">
        <f t="shared" si="72"/>
        <v>-0.42088361145349451</v>
      </c>
      <c r="AO68" s="268">
        <f t="shared" si="72"/>
        <v>-1.3461245693551169</v>
      </c>
      <c r="AP68" s="268">
        <f t="shared" si="72"/>
        <v>-1.3521628626235169</v>
      </c>
      <c r="AQ68" s="268">
        <f t="shared" si="72"/>
        <v>-1.3582209235460034</v>
      </c>
      <c r="AR68" s="268">
        <f t="shared" si="72"/>
        <v>-1.3642988169079182</v>
      </c>
      <c r="AS68" s="268">
        <f t="shared" si="72"/>
        <v>-1.370396607672173</v>
      </c>
      <c r="AT68" s="268">
        <f t="shared" si="72"/>
        <v>-1.3765143609965735</v>
      </c>
      <c r="AU68" s="268">
        <f t="shared" si="72"/>
        <v>-1.3826521422430753</v>
      </c>
      <c r="AV68" s="268">
        <f t="shared" si="72"/>
        <v>-1.3888100169828945</v>
      </c>
      <c r="AW68" s="268">
        <f t="shared" si="72"/>
        <v>-1.3949880509994816</v>
      </c>
      <c r="AX68" s="268">
        <f t="shared" si="72"/>
        <v>-1.781091323587086</v>
      </c>
      <c r="AY68" s="268">
        <f t="shared" si="72"/>
        <v>-1.7885535845209304</v>
      </c>
      <c r="AZ68" s="268">
        <f t="shared" si="72"/>
        <v>-0.42495629385169215</v>
      </c>
      <c r="BA68" s="268">
        <f t="shared" si="72"/>
        <v>-1.3872068900882775</v>
      </c>
      <c r="BB68" s="268">
        <f t="shared" si="72"/>
        <v>-1.393486714774774</v>
      </c>
      <c r="BC68" s="268">
        <f t="shared" si="72"/>
        <v>-1.3997870979731215</v>
      </c>
      <c r="BD68" s="268">
        <f t="shared" si="72"/>
        <v>-1.4061081069865617</v>
      </c>
      <c r="BE68" s="268">
        <f t="shared" si="72"/>
        <v>-1.4124498093386584</v>
      </c>
      <c r="BF68" s="268">
        <f t="shared" si="72"/>
        <v>-1.4188122727740258</v>
      </c>
      <c r="BG68" s="268">
        <f t="shared" si="72"/>
        <v>-1.4251955652590502</v>
      </c>
      <c r="BH68" s="268">
        <f t="shared" si="72"/>
        <v>-1.4315997549826232</v>
      </c>
      <c r="BI68" s="268">
        <f t="shared" si="72"/>
        <v>-1.4380249103568656</v>
      </c>
      <c r="BJ68" s="268">
        <f t="shared" si="72"/>
        <v>-1.8395723138467543</v>
      </c>
      <c r="BK68" s="268">
        <f t="shared" si="72"/>
        <v>-1.8473330652169948</v>
      </c>
      <c r="BL68" s="269">
        <f t="shared" si="72"/>
        <v>-14.661625050626206</v>
      </c>
      <c r="BM68" s="269">
        <f t="shared" si="72"/>
        <v>-15.278364545326422</v>
      </c>
      <c r="BN68" s="269">
        <f t="shared" si="72"/>
        <v>-15.833502523522634</v>
      </c>
      <c r="BO68" s="269">
        <f t="shared" si="72"/>
        <v>-16.324696870888264</v>
      </c>
      <c r="BP68" s="269">
        <f t="shared" si="72"/>
        <v>-16.824532795449397</v>
      </c>
    </row>
    <row r="69" spans="1:68" x14ac:dyDescent="0.15">
      <c r="A69" s="232" t="s">
        <v>254</v>
      </c>
      <c r="B69" t="s">
        <v>236</v>
      </c>
      <c r="D69" s="266">
        <f t="shared" ref="D69:AI69" si="73">D31+D50</f>
        <v>9.4533063090909089</v>
      </c>
      <c r="E69" s="266">
        <f t="shared" si="73"/>
        <v>27.643220590355238</v>
      </c>
      <c r="F69" s="266">
        <f t="shared" si="73"/>
        <v>19.909750550599338</v>
      </c>
      <c r="G69" s="266">
        <f t="shared" si="73"/>
        <v>20.819986398729213</v>
      </c>
      <c r="H69" s="266">
        <f t="shared" si="73"/>
        <v>20.738458821457151</v>
      </c>
      <c r="I69" s="266">
        <f t="shared" si="73"/>
        <v>21.156686515999223</v>
      </c>
      <c r="J69" s="266">
        <f t="shared" si="73"/>
        <v>21.510380003510654</v>
      </c>
      <c r="K69" s="266">
        <f t="shared" si="73"/>
        <v>22.274333885818947</v>
      </c>
      <c r="L69" s="266">
        <f t="shared" si="73"/>
        <v>22.885603691700954</v>
      </c>
      <c r="M69" s="266">
        <f t="shared" si="73"/>
        <v>23.18044470328908</v>
      </c>
      <c r="N69" s="266">
        <f t="shared" si="73"/>
        <v>29.789984958012077</v>
      </c>
      <c r="O69" s="266">
        <f t="shared" si="73"/>
        <v>30.081264017572366</v>
      </c>
      <c r="P69" s="266">
        <f t="shared" si="73"/>
        <v>7.6465421382442482</v>
      </c>
      <c r="Q69" s="266">
        <f t="shared" si="73"/>
        <v>23.319866694498295</v>
      </c>
      <c r="R69" s="266">
        <f t="shared" si="73"/>
        <v>24.035546419562834</v>
      </c>
      <c r="S69" s="266">
        <f t="shared" si="73"/>
        <v>24.164066128409161</v>
      </c>
      <c r="T69" s="266">
        <f t="shared" si="73"/>
        <v>24.282717860007928</v>
      </c>
      <c r="U69" s="266">
        <f t="shared" si="73"/>
        <v>24.396096591651329</v>
      </c>
      <c r="V69" s="266">
        <f t="shared" si="73"/>
        <v>24.506827956245537</v>
      </c>
      <c r="W69" s="266">
        <f t="shared" si="73"/>
        <v>24.695505613087661</v>
      </c>
      <c r="X69" s="266">
        <f t="shared" si="73"/>
        <v>24.804552224498497</v>
      </c>
      <c r="Y69" s="266">
        <f t="shared" si="73"/>
        <v>24.913529941797162</v>
      </c>
      <c r="Z69" s="266">
        <f t="shared" si="73"/>
        <v>31.696222374115198</v>
      </c>
      <c r="AA69" s="266">
        <f t="shared" si="73"/>
        <v>31.827452419084178</v>
      </c>
      <c r="AB69" s="266">
        <f t="shared" si="73"/>
        <v>7.9056033835808446</v>
      </c>
      <c r="AC69" s="266">
        <f t="shared" si="73"/>
        <v>24.809042969826194</v>
      </c>
      <c r="AD69" s="266">
        <f t="shared" si="73"/>
        <v>24.919374313420199</v>
      </c>
      <c r="AE69" s="266">
        <f t="shared" si="73"/>
        <v>25.030058859046328</v>
      </c>
      <c r="AF69" s="266">
        <f t="shared" si="73"/>
        <v>25.141101639156396</v>
      </c>
      <c r="AG69" s="266">
        <f t="shared" si="73"/>
        <v>25.252505823254378</v>
      </c>
      <c r="AH69" s="266">
        <f t="shared" si="73"/>
        <v>25.364273623034077</v>
      </c>
      <c r="AI69" s="266">
        <f t="shared" si="73"/>
        <v>25.476406758692647</v>
      </c>
      <c r="AJ69" s="266">
        <f t="shared" ref="AJ69:BP69" si="74">AJ31+AJ50</f>
        <v>25.58890669915327</v>
      </c>
      <c r="AK69" s="266">
        <f t="shared" si="74"/>
        <v>25.701774785814777</v>
      </c>
      <c r="AL69" s="266">
        <f t="shared" si="74"/>
        <v>32.755584637369878</v>
      </c>
      <c r="AM69" s="266">
        <f t="shared" si="74"/>
        <v>32.891914454581034</v>
      </c>
      <c r="AN69" s="266">
        <f t="shared" si="74"/>
        <v>7.9967886176163958</v>
      </c>
      <c r="AO69" s="266">
        <f t="shared" si="74"/>
        <v>25.576366817747218</v>
      </c>
      <c r="AP69" s="266">
        <f t="shared" si="74"/>
        <v>25.691094389846821</v>
      </c>
      <c r="AQ69" s="266">
        <f t="shared" si="74"/>
        <v>25.806197547374062</v>
      </c>
      <c r="AR69" s="266">
        <f t="shared" si="74"/>
        <v>25.921677521250441</v>
      </c>
      <c r="AS69" s="266">
        <f t="shared" si="74"/>
        <v>26.037535545771284</v>
      </c>
      <c r="AT69" s="266">
        <f t="shared" si="74"/>
        <v>26.153772858934897</v>
      </c>
      <c r="AU69" s="266">
        <f t="shared" si="74"/>
        <v>26.270390702618428</v>
      </c>
      <c r="AV69" s="266">
        <f t="shared" si="74"/>
        <v>26.387390322674996</v>
      </c>
      <c r="AW69" s="266">
        <f t="shared" si="74"/>
        <v>26.504772968990146</v>
      </c>
      <c r="AX69" s="266">
        <f t="shared" si="74"/>
        <v>33.840735148154636</v>
      </c>
      <c r="AY69" s="266">
        <f t="shared" si="74"/>
        <v>33.982518105897675</v>
      </c>
      <c r="AZ69" s="266">
        <f t="shared" si="74"/>
        <v>8.0741695831821509</v>
      </c>
      <c r="BA69" s="266">
        <f t="shared" si="74"/>
        <v>26.356930911677267</v>
      </c>
      <c r="BB69" s="266">
        <f t="shared" si="74"/>
        <v>26.476247580720706</v>
      </c>
      <c r="BC69" s="266">
        <f t="shared" si="74"/>
        <v>26.595954861489311</v>
      </c>
      <c r="BD69" s="266">
        <f t="shared" si="74"/>
        <v>26.716054032744669</v>
      </c>
      <c r="BE69" s="266">
        <f t="shared" si="74"/>
        <v>26.836546377434509</v>
      </c>
      <c r="BF69" s="266">
        <f t="shared" si="74"/>
        <v>26.957433182706485</v>
      </c>
      <c r="BG69" s="266">
        <f t="shared" si="74"/>
        <v>27.078715739921954</v>
      </c>
      <c r="BH69" s="266">
        <f t="shared" si="74"/>
        <v>27.200395344669836</v>
      </c>
      <c r="BI69" s="266">
        <f t="shared" si="74"/>
        <v>27.322473296780441</v>
      </c>
      <c r="BJ69" s="266">
        <f t="shared" si="74"/>
        <v>34.951873963088332</v>
      </c>
      <c r="BK69" s="266">
        <f t="shared" si="74"/>
        <v>35.099328239122897</v>
      </c>
      <c r="BL69" s="267">
        <f t="shared" si="74"/>
        <v>269.44342044613506</v>
      </c>
      <c r="BM69" s="267">
        <f t="shared" si="74"/>
        <v>290.28892636120202</v>
      </c>
      <c r="BN69" s="267">
        <f t="shared" si="74"/>
        <v>300.83654794693001</v>
      </c>
      <c r="BO69" s="267">
        <f t="shared" si="74"/>
        <v>310.16924054687701</v>
      </c>
      <c r="BP69" s="267">
        <f t="shared" si="74"/>
        <v>319.66612311353856</v>
      </c>
    </row>
    <row r="70" spans="1:68" x14ac:dyDescent="0.15">
      <c r="A70" t="s">
        <v>255</v>
      </c>
      <c r="B70" t="s">
        <v>236</v>
      </c>
      <c r="D70" s="268">
        <f t="shared" ref="D70:AI70" si="75">D32+D51</f>
        <v>40.909090909090907</v>
      </c>
      <c r="E70" s="268">
        <f t="shared" si="75"/>
        <v>82.086033254907164</v>
      </c>
      <c r="F70" s="268">
        <f t="shared" si="75"/>
        <v>66.200699697012411</v>
      </c>
      <c r="G70" s="268">
        <f t="shared" si="75"/>
        <v>66.655878561056809</v>
      </c>
      <c r="H70" s="268">
        <f t="shared" si="75"/>
        <v>67.312963222961429</v>
      </c>
      <c r="I70" s="268">
        <f t="shared" si="75"/>
        <v>68.032101152798063</v>
      </c>
      <c r="J70" s="268">
        <f t="shared" si="75"/>
        <v>68.786319454448147</v>
      </c>
      <c r="K70" s="268">
        <f t="shared" si="75"/>
        <v>69.645801928243117</v>
      </c>
      <c r="L70" s="268">
        <f t="shared" si="75"/>
        <v>70.358358269876234</v>
      </c>
      <c r="M70" s="268">
        <f t="shared" si="75"/>
        <v>71.011813119414015</v>
      </c>
      <c r="N70" s="268">
        <f t="shared" si="75"/>
        <v>85.935997637911612</v>
      </c>
      <c r="O70" s="268">
        <f t="shared" si="75"/>
        <v>86.583070020663854</v>
      </c>
      <c r="P70" s="268">
        <f t="shared" si="75"/>
        <v>36.306955617388368</v>
      </c>
      <c r="Q70" s="268">
        <f t="shared" si="75"/>
        <v>72.998881899638462</v>
      </c>
      <c r="R70" s="268">
        <f t="shared" si="75"/>
        <v>73.325341917048718</v>
      </c>
      <c r="S70" s="268">
        <f t="shared" si="75"/>
        <v>73.614193193356101</v>
      </c>
      <c r="T70" s="268">
        <f t="shared" si="75"/>
        <v>73.881427116974365</v>
      </c>
      <c r="U70" s="268">
        <f t="shared" si="75"/>
        <v>74.137120467618359</v>
      </c>
      <c r="V70" s="268">
        <f t="shared" si="75"/>
        <v>74.387031287560276</v>
      </c>
      <c r="W70" s="268">
        <f t="shared" si="75"/>
        <v>74.634289022223157</v>
      </c>
      <c r="X70" s="268">
        <f t="shared" si="75"/>
        <v>74.880551632680437</v>
      </c>
      <c r="Y70" s="268">
        <f t="shared" si="75"/>
        <v>75.126686485951936</v>
      </c>
      <c r="Z70" s="268">
        <f t="shared" si="75"/>
        <v>90.447773840027438</v>
      </c>
      <c r="AA70" s="268">
        <f t="shared" si="75"/>
        <v>90.744193642270204</v>
      </c>
      <c r="AB70" s="268">
        <f t="shared" si="75"/>
        <v>37.933929170411744</v>
      </c>
      <c r="AC70" s="268">
        <f t="shared" si="75"/>
        <v>76.11630015250698</v>
      </c>
      <c r="AD70" s="268">
        <f t="shared" si="75"/>
        <v>76.365521266944526</v>
      </c>
      <c r="AE70" s="268">
        <f t="shared" si="75"/>
        <v>76.615540735589178</v>
      </c>
      <c r="AF70" s="268">
        <f t="shared" si="75"/>
        <v>76.866369672396345</v>
      </c>
      <c r="AG70" s="268">
        <f t="shared" si="75"/>
        <v>77.118015106164449</v>
      </c>
      <c r="AH70" s="268">
        <f t="shared" si="75"/>
        <v>77.370481965486775</v>
      </c>
      <c r="AI70" s="268">
        <f t="shared" si="75"/>
        <v>77.623774101369733</v>
      </c>
      <c r="AJ70" s="268">
        <f t="shared" ref="AJ70:BP70" si="76">AJ32+AJ51</f>
        <v>77.877894814037731</v>
      </c>
      <c r="AK70" s="268">
        <f t="shared" si="76"/>
        <v>78.132847124314878</v>
      </c>
      <c r="AL70" s="268">
        <f t="shared" si="76"/>
        <v>94.066360696115552</v>
      </c>
      <c r="AM70" s="268">
        <f t="shared" si="76"/>
        <v>94.374309594051994</v>
      </c>
      <c r="AN70" s="268">
        <f t="shared" si="76"/>
        <v>39.451361076183034</v>
      </c>
      <c r="AO70" s="268">
        <f t="shared" si="76"/>
        <v>79.161029157289406</v>
      </c>
      <c r="AP70" s="268">
        <f t="shared" si="76"/>
        <v>79.420181780255845</v>
      </c>
      <c r="AQ70" s="268">
        <f t="shared" si="76"/>
        <v>79.68018279535697</v>
      </c>
      <c r="AR70" s="268">
        <f t="shared" si="76"/>
        <v>79.941034982973946</v>
      </c>
      <c r="AS70" s="268">
        <f t="shared" si="76"/>
        <v>80.202741131151853</v>
      </c>
      <c r="AT70" s="268">
        <f t="shared" si="76"/>
        <v>80.465304036322337</v>
      </c>
      <c r="AU70" s="268">
        <f t="shared" si="76"/>
        <v>80.728726503690211</v>
      </c>
      <c r="AV70" s="268">
        <f t="shared" si="76"/>
        <v>80.993011347447208</v>
      </c>
      <c r="AW70" s="268">
        <f t="shared" si="76"/>
        <v>81.258161390896802</v>
      </c>
      <c r="AX70" s="268">
        <f t="shared" si="76"/>
        <v>97.829015359839644</v>
      </c>
      <c r="AY70" s="268">
        <f t="shared" si="76"/>
        <v>98.14928209931513</v>
      </c>
      <c r="AZ70" s="268">
        <f t="shared" si="76"/>
        <v>41.029415545307444</v>
      </c>
      <c r="BA70" s="268">
        <f t="shared" si="76"/>
        <v>82.327470350445495</v>
      </c>
      <c r="BB70" s="268">
        <f t="shared" si="76"/>
        <v>82.596989065303944</v>
      </c>
      <c r="BC70" s="268">
        <f t="shared" si="76"/>
        <v>82.867390114299184</v>
      </c>
      <c r="BD70" s="268">
        <f t="shared" si="76"/>
        <v>83.13867638596453</v>
      </c>
      <c r="BE70" s="268">
        <f t="shared" si="76"/>
        <v>83.410850778289216</v>
      </c>
      <c r="BF70" s="268">
        <f t="shared" si="76"/>
        <v>83.683916198749458</v>
      </c>
      <c r="BG70" s="268">
        <f t="shared" si="76"/>
        <v>83.957875564339673</v>
      </c>
      <c r="BH70" s="268">
        <f t="shared" si="76"/>
        <v>84.232731801603649</v>
      </c>
      <c r="BI70" s="268">
        <f t="shared" si="76"/>
        <v>84.508487846665901</v>
      </c>
      <c r="BJ70" s="268">
        <f t="shared" si="76"/>
        <v>101.74217597431561</v>
      </c>
      <c r="BK70" s="268">
        <f t="shared" si="76"/>
        <v>102.07525338333022</v>
      </c>
      <c r="BL70" s="269">
        <f t="shared" si="76"/>
        <v>86.583070020663854</v>
      </c>
      <c r="BM70" s="269">
        <f t="shared" si="76"/>
        <v>90.744193642270204</v>
      </c>
      <c r="BN70" s="269">
        <f t="shared" si="76"/>
        <v>94.374309594051994</v>
      </c>
      <c r="BO70" s="269">
        <f t="shared" si="76"/>
        <v>98.14928209931513</v>
      </c>
      <c r="BP70" s="269">
        <f t="shared" si="76"/>
        <v>102.07525338333022</v>
      </c>
    </row>
    <row r="71" spans="1:68" x14ac:dyDescent="0.15">
      <c r="A71" t="s">
        <v>256</v>
      </c>
      <c r="B71" t="s">
        <v>236</v>
      </c>
      <c r="D71" s="268">
        <f t="shared" ref="D71:AI71" si="77">D33+D52</f>
        <v>-4.4349015636363633</v>
      </c>
      <c r="E71" s="268">
        <f t="shared" si="77"/>
        <v>-7.3172875278435017</v>
      </c>
      <c r="F71" s="268">
        <f t="shared" si="77"/>
        <v>-7.5984974655013762</v>
      </c>
      <c r="G71" s="268">
        <f t="shared" si="77"/>
        <v>-6.2231752134838842</v>
      </c>
      <c r="H71" s="268">
        <f t="shared" si="77"/>
        <v>-6.2929647764198968</v>
      </c>
      <c r="I71" s="268">
        <f t="shared" si="77"/>
        <v>-6.3204961224600424</v>
      </c>
      <c r="J71" s="268">
        <f t="shared" si="77"/>
        <v>-6.357199205334366</v>
      </c>
      <c r="K71" s="268">
        <f t="shared" si="77"/>
        <v>-7.5702205135253413</v>
      </c>
      <c r="L71" s="268">
        <f t="shared" si="77"/>
        <v>-7.005299971558439</v>
      </c>
      <c r="M71" s="268">
        <f t="shared" si="77"/>
        <v>-7.0380369019633173</v>
      </c>
      <c r="N71" s="268">
        <f t="shared" si="77"/>
        <v>-8.0473998315704094</v>
      </c>
      <c r="O71" s="268">
        <f t="shared" si="77"/>
        <v>-8.0812531415641367</v>
      </c>
      <c r="P71" s="268">
        <f t="shared" si="77"/>
        <v>-4.667128008453111</v>
      </c>
      <c r="Q71" s="268">
        <f t="shared" si="77"/>
        <v>-8.3625815406946895</v>
      </c>
      <c r="R71" s="268">
        <f t="shared" si="77"/>
        <v>-7.182347400074331</v>
      </c>
      <c r="S71" s="268">
        <f t="shared" si="77"/>
        <v>-7.2006308682841871</v>
      </c>
      <c r="T71" s="268">
        <f t="shared" si="77"/>
        <v>-7.218071672747139</v>
      </c>
      <c r="U71" s="268">
        <f t="shared" si="77"/>
        <v>-7.2350729567734469</v>
      </c>
      <c r="V71" s="268">
        <f t="shared" si="77"/>
        <v>-7.2518651144117756</v>
      </c>
      <c r="W71" s="268">
        <f t="shared" si="77"/>
        <v>-7.1019067294070366</v>
      </c>
      <c r="X71" s="268">
        <f t="shared" si="77"/>
        <v>-7.118597526367811</v>
      </c>
      <c r="Y71" s="268">
        <f t="shared" si="77"/>
        <v>-7.1353056063789726</v>
      </c>
      <c r="Z71" s="268">
        <f t="shared" si="77"/>
        <v>-8.1770404713638687</v>
      </c>
      <c r="AA71" s="268">
        <f t="shared" si="77"/>
        <v>-8.1971864947245621</v>
      </c>
      <c r="AB71" s="268">
        <f t="shared" si="77"/>
        <v>-4.6607803748310159</v>
      </c>
      <c r="AC71" s="268">
        <f t="shared" si="77"/>
        <v>-7.2569627543044648</v>
      </c>
      <c r="AD71" s="268">
        <f t="shared" si="77"/>
        <v>-7.2739073559125282</v>
      </c>
      <c r="AE71" s="268">
        <f t="shared" si="77"/>
        <v>-7.2909067285021774</v>
      </c>
      <c r="AF71" s="268">
        <f t="shared" si="77"/>
        <v>-7.3079613913934134</v>
      </c>
      <c r="AG71" s="268">
        <f t="shared" si="77"/>
        <v>-7.3250717007447079</v>
      </c>
      <c r="AH71" s="268">
        <f t="shared" si="77"/>
        <v>-7.3422379289518798</v>
      </c>
      <c r="AI71" s="268">
        <f t="shared" si="77"/>
        <v>-7.3594603055536263</v>
      </c>
      <c r="AJ71" s="268">
        <f t="shared" ref="AJ71:BP71" si="78">AJ33+AJ52</f>
        <v>-7.376739038304529</v>
      </c>
      <c r="AK71" s="268">
        <f t="shared" si="78"/>
        <v>-7.3940743240311289</v>
      </c>
      <c r="AL71" s="268">
        <f t="shared" si="78"/>
        <v>-8.4774618925579084</v>
      </c>
      <c r="AM71" s="268">
        <f t="shared" si="78"/>
        <v>-8.4984006489971868</v>
      </c>
      <c r="AN71" s="268">
        <f t="shared" si="78"/>
        <v>-4.8221592392592507</v>
      </c>
      <c r="AO71" s="268">
        <f t="shared" si="78"/>
        <v>-7.5221890043007305</v>
      </c>
      <c r="AP71" s="268">
        <f t="shared" si="78"/>
        <v>-7.539809896531172</v>
      </c>
      <c r="AQ71" s="268">
        <f t="shared" si="78"/>
        <v>-7.5574884747328346</v>
      </c>
      <c r="AR71" s="268">
        <f t="shared" si="78"/>
        <v>-7.5752249278732213</v>
      </c>
      <c r="AS71" s="268">
        <f t="shared" si="78"/>
        <v>-7.5930194454809312</v>
      </c>
      <c r="AT71" s="268">
        <f t="shared" si="78"/>
        <v>-7.6108722176753991</v>
      </c>
      <c r="AU71" s="268">
        <f t="shared" si="78"/>
        <v>-7.6287834351831991</v>
      </c>
      <c r="AV71" s="268">
        <f t="shared" si="78"/>
        <v>-7.6467532893474299</v>
      </c>
      <c r="AW71" s="268">
        <f t="shared" si="78"/>
        <v>-7.6647819721335484</v>
      </c>
      <c r="AX71" s="268">
        <f t="shared" si="78"/>
        <v>-8.7915050375722039</v>
      </c>
      <c r="AY71" s="268">
        <f t="shared" si="78"/>
        <v>-8.8132813396939174</v>
      </c>
      <c r="AZ71" s="268">
        <f t="shared" si="78"/>
        <v>-4.9917363959408823</v>
      </c>
      <c r="BA71" s="268">
        <f t="shared" si="78"/>
        <v>-7.7997673516155182</v>
      </c>
      <c r="BB71" s="268">
        <f t="shared" si="78"/>
        <v>-7.8180930790141119</v>
      </c>
      <c r="BC71" s="268">
        <f t="shared" si="78"/>
        <v>-7.8364788000754437</v>
      </c>
      <c r="BD71" s="268">
        <f t="shared" si="78"/>
        <v>-7.8549247112031937</v>
      </c>
      <c r="BE71" s="268">
        <f t="shared" si="78"/>
        <v>-7.8734310094439977</v>
      </c>
      <c r="BF71" s="268">
        <f t="shared" si="78"/>
        <v>-7.8919978924895631</v>
      </c>
      <c r="BG71" s="268">
        <f t="shared" si="78"/>
        <v>-7.9106255586787793</v>
      </c>
      <c r="BH71" s="268">
        <f t="shared" si="78"/>
        <v>-7.9293142069998463</v>
      </c>
      <c r="BI71" s="268">
        <f t="shared" si="78"/>
        <v>-7.9480640370923972</v>
      </c>
      <c r="BJ71" s="268">
        <f t="shared" si="78"/>
        <v>-9.1198560251465661</v>
      </c>
      <c r="BK71" s="268">
        <f t="shared" si="78"/>
        <v>-9.1425033793515524</v>
      </c>
      <c r="BL71" s="269">
        <f t="shared" si="78"/>
        <v>-8.0812531415641367</v>
      </c>
      <c r="BM71" s="269">
        <f t="shared" si="78"/>
        <v>-8.1971864947245621</v>
      </c>
      <c r="BN71" s="269">
        <f t="shared" si="78"/>
        <v>-8.4984006489971868</v>
      </c>
      <c r="BO71" s="269">
        <f t="shared" si="78"/>
        <v>-8.8132813396939174</v>
      </c>
      <c r="BP71" s="269">
        <f t="shared" si="78"/>
        <v>-9.1425033793515524</v>
      </c>
    </row>
    <row r="72" spans="1:68" x14ac:dyDescent="0.15">
      <c r="A72" t="s">
        <v>257</v>
      </c>
      <c r="B72" t="s">
        <v>236</v>
      </c>
      <c r="D72" s="268">
        <f t="shared" ref="D72:AI72" si="79">D34+D53</f>
        <v>36.474189345454541</v>
      </c>
      <c r="E72" s="268">
        <f t="shared" si="79"/>
        <v>74.76874572706366</v>
      </c>
      <c r="F72" s="268">
        <f t="shared" si="79"/>
        <v>58.602202231511036</v>
      </c>
      <c r="G72" s="268">
        <f t="shared" si="79"/>
        <v>60.432703347572925</v>
      </c>
      <c r="H72" s="268">
        <f t="shared" si="79"/>
        <v>61.019998446541521</v>
      </c>
      <c r="I72" s="268">
        <f t="shared" si="79"/>
        <v>61.711605030338028</v>
      </c>
      <c r="J72" s="268">
        <f t="shared" si="79"/>
        <v>62.429120249113787</v>
      </c>
      <c r="K72" s="268">
        <f t="shared" si="79"/>
        <v>62.075581414717767</v>
      </c>
      <c r="L72" s="268">
        <f t="shared" si="79"/>
        <v>63.353058298317791</v>
      </c>
      <c r="M72" s="268">
        <f t="shared" si="79"/>
        <v>63.973776217450698</v>
      </c>
      <c r="N72" s="268">
        <f t="shared" si="79"/>
        <v>77.88859780634121</v>
      </c>
      <c r="O72" s="268">
        <f t="shared" si="79"/>
        <v>78.501816879099721</v>
      </c>
      <c r="P72" s="268">
        <f t="shared" si="79"/>
        <v>31.639827608935256</v>
      </c>
      <c r="Q72" s="268">
        <f t="shared" si="79"/>
        <v>64.636300358943785</v>
      </c>
      <c r="R72" s="268">
        <f t="shared" si="79"/>
        <v>66.142994516974383</v>
      </c>
      <c r="S72" s="268">
        <f t="shared" si="79"/>
        <v>66.413562325071908</v>
      </c>
      <c r="T72" s="268">
        <f t="shared" si="79"/>
        <v>66.663355444227221</v>
      </c>
      <c r="U72" s="268">
        <f t="shared" si="79"/>
        <v>66.902047510844909</v>
      </c>
      <c r="V72" s="268">
        <f t="shared" si="79"/>
        <v>67.135166173148491</v>
      </c>
      <c r="W72" s="268">
        <f t="shared" si="79"/>
        <v>67.532382292816123</v>
      </c>
      <c r="X72" s="268">
        <f t="shared" si="79"/>
        <v>67.761954106312629</v>
      </c>
      <c r="Y72" s="268">
        <f t="shared" si="79"/>
        <v>67.991380879572972</v>
      </c>
      <c r="Z72" s="268">
        <f t="shared" si="79"/>
        <v>82.270733368663585</v>
      </c>
      <c r="AA72" s="268">
        <f t="shared" si="79"/>
        <v>82.547007147545642</v>
      </c>
      <c r="AB72" s="268">
        <f t="shared" si="79"/>
        <v>33.273148795580731</v>
      </c>
      <c r="AC72" s="268">
        <f t="shared" si="79"/>
        <v>68.859337398202513</v>
      </c>
      <c r="AD72" s="268">
        <f t="shared" si="79"/>
        <v>69.091613911031999</v>
      </c>
      <c r="AE72" s="268">
        <f t="shared" si="79"/>
        <v>69.324634007086999</v>
      </c>
      <c r="AF72" s="268">
        <f t="shared" si="79"/>
        <v>69.55840828100294</v>
      </c>
      <c r="AG72" s="268">
        <f t="shared" si="79"/>
        <v>69.792943405419749</v>
      </c>
      <c r="AH72" s="268">
        <f t="shared" si="79"/>
        <v>70.0282440365349</v>
      </c>
      <c r="AI72" s="268">
        <f t="shared" si="79"/>
        <v>70.264313795816093</v>
      </c>
      <c r="AJ72" s="268">
        <f t="shared" ref="AJ72:BP72" si="80">AJ34+AJ53</f>
        <v>70.50115577573321</v>
      </c>
      <c r="AK72" s="268">
        <f t="shared" si="80"/>
        <v>70.738772800283755</v>
      </c>
      <c r="AL72" s="268">
        <f t="shared" si="80"/>
        <v>85.58889880355764</v>
      </c>
      <c r="AM72" s="268">
        <f t="shared" si="80"/>
        <v>85.875908945054803</v>
      </c>
      <c r="AN72" s="268">
        <f t="shared" si="80"/>
        <v>34.629201836923784</v>
      </c>
      <c r="AO72" s="268">
        <f t="shared" si="80"/>
        <v>71.638840152988678</v>
      </c>
      <c r="AP72" s="268">
        <f t="shared" si="80"/>
        <v>71.880371883724663</v>
      </c>
      <c r="AQ72" s="268">
        <f t="shared" si="80"/>
        <v>72.122694320624134</v>
      </c>
      <c r="AR72" s="268">
        <f t="shared" si="80"/>
        <v>72.365810055100724</v>
      </c>
      <c r="AS72" s="268">
        <f t="shared" si="80"/>
        <v>72.60972168567092</v>
      </c>
      <c r="AT72" s="268">
        <f t="shared" si="80"/>
        <v>72.854431818646944</v>
      </c>
      <c r="AU72" s="268">
        <f t="shared" si="80"/>
        <v>73.099943068507017</v>
      </c>
      <c r="AV72" s="268">
        <f t="shared" si="80"/>
        <v>73.346258058099764</v>
      </c>
      <c r="AW72" s="268">
        <f t="shared" si="80"/>
        <v>73.593379418763263</v>
      </c>
      <c r="AX72" s="268">
        <f t="shared" si="80"/>
        <v>89.037510322267437</v>
      </c>
      <c r="AY72" s="268">
        <f t="shared" si="80"/>
        <v>89.336000759621214</v>
      </c>
      <c r="AZ72" s="268">
        <f t="shared" si="80"/>
        <v>36.037679149366568</v>
      </c>
      <c r="BA72" s="268">
        <f t="shared" si="80"/>
        <v>74.52770299882998</v>
      </c>
      <c r="BB72" s="268">
        <f t="shared" si="80"/>
        <v>74.778895986289839</v>
      </c>
      <c r="BC72" s="268">
        <f t="shared" si="80"/>
        <v>75.030911314223744</v>
      </c>
      <c r="BD72" s="268">
        <f t="shared" si="80"/>
        <v>75.283751674761334</v>
      </c>
      <c r="BE72" s="268">
        <f t="shared" si="80"/>
        <v>75.537419768845211</v>
      </c>
      <c r="BF72" s="268">
        <f t="shared" si="80"/>
        <v>75.791918306259888</v>
      </c>
      <c r="BG72" s="268">
        <f t="shared" si="80"/>
        <v>76.047250005660899</v>
      </c>
      <c r="BH72" s="268">
        <f t="shared" si="80"/>
        <v>76.3034175946038</v>
      </c>
      <c r="BI72" s="268">
        <f t="shared" si="80"/>
        <v>76.560423809573507</v>
      </c>
      <c r="BJ72" s="268">
        <f t="shared" si="80"/>
        <v>92.622319949169054</v>
      </c>
      <c r="BK72" s="268">
        <f t="shared" si="80"/>
        <v>92.932750003978668</v>
      </c>
      <c r="BL72" s="269">
        <f t="shared" si="80"/>
        <v>78.501816879099721</v>
      </c>
      <c r="BM72" s="269">
        <f t="shared" si="80"/>
        <v>82.547007147545642</v>
      </c>
      <c r="BN72" s="269">
        <f t="shared" si="80"/>
        <v>85.875908945054803</v>
      </c>
      <c r="BO72" s="269">
        <f t="shared" si="80"/>
        <v>89.336000759621214</v>
      </c>
      <c r="BP72" s="269">
        <f t="shared" si="80"/>
        <v>92.932750003978668</v>
      </c>
    </row>
    <row r="73" spans="1:68" x14ac:dyDescent="0.15">
      <c r="A73" t="s">
        <v>135</v>
      </c>
      <c r="B73" t="s">
        <v>236</v>
      </c>
      <c r="D73" s="268">
        <f t="shared" ref="D73:AI73" si="81">D35+D54</f>
        <v>-36.474189345454541</v>
      </c>
      <c r="E73" s="268">
        <f t="shared" si="81"/>
        <v>-38.294556381609112</v>
      </c>
      <c r="F73" s="268">
        <f t="shared" si="81"/>
        <v>16.166543495552617</v>
      </c>
      <c r="G73" s="268">
        <f t="shared" si="81"/>
        <v>-1.8305011160618883</v>
      </c>
      <c r="H73" s="268">
        <f t="shared" si="81"/>
        <v>-0.58729509896859788</v>
      </c>
      <c r="I73" s="268">
        <f t="shared" si="81"/>
        <v>-0.69160658379650464</v>
      </c>
      <c r="J73" s="268">
        <f t="shared" si="81"/>
        <v>-0.7175152187757563</v>
      </c>
      <c r="K73" s="268">
        <f t="shared" si="81"/>
        <v>0.35353883439601486</v>
      </c>
      <c r="L73" s="268">
        <f t="shared" si="81"/>
        <v>-1.2774768836000232</v>
      </c>
      <c r="M73" s="268">
        <f t="shared" si="81"/>
        <v>-0.62071791913290753</v>
      </c>
      <c r="N73" s="268">
        <f t="shared" si="81"/>
        <v>-13.914821588890508</v>
      </c>
      <c r="O73" s="268">
        <f t="shared" si="81"/>
        <v>-0.61321907275850851</v>
      </c>
      <c r="P73" s="268">
        <f t="shared" si="81"/>
        <v>46.861989270164457</v>
      </c>
      <c r="Q73" s="268">
        <f t="shared" si="81"/>
        <v>-32.996472750008522</v>
      </c>
      <c r="R73" s="268">
        <f t="shared" si="81"/>
        <v>-1.5066941580306064</v>
      </c>
      <c r="S73" s="268">
        <f t="shared" si="81"/>
        <v>-0.27056780809752912</v>
      </c>
      <c r="T73" s="268">
        <f t="shared" si="81"/>
        <v>-0.24979311915531088</v>
      </c>
      <c r="U73" s="268">
        <f t="shared" si="81"/>
        <v>-0.23869206661768105</v>
      </c>
      <c r="V73" s="268">
        <f t="shared" si="81"/>
        <v>-0.2331186623035868</v>
      </c>
      <c r="W73" s="268">
        <f t="shared" si="81"/>
        <v>-0.39721611966763337</v>
      </c>
      <c r="X73" s="268">
        <f t="shared" si="81"/>
        <v>-0.2295718134964968</v>
      </c>
      <c r="Y73" s="268">
        <f t="shared" si="81"/>
        <v>-0.22942677326034566</v>
      </c>
      <c r="Z73" s="268">
        <f t="shared" si="81"/>
        <v>-14.279352489090611</v>
      </c>
      <c r="AA73" s="268">
        <f t="shared" si="81"/>
        <v>-0.27627377888206794</v>
      </c>
      <c r="AB73" s="268">
        <f t="shared" si="81"/>
        <v>49.273858351964918</v>
      </c>
      <c r="AC73" s="268">
        <f t="shared" si="81"/>
        <v>-35.586188602621782</v>
      </c>
      <c r="AD73" s="268">
        <f t="shared" si="81"/>
        <v>-0.23227651282949058</v>
      </c>
      <c r="AE73" s="268">
        <f t="shared" si="81"/>
        <v>-0.23302009605500107</v>
      </c>
      <c r="AF73" s="268">
        <f t="shared" si="81"/>
        <v>-0.23377427391593386</v>
      </c>
      <c r="AG73" s="268">
        <f t="shared" si="81"/>
        <v>-0.23453512441680591</v>
      </c>
      <c r="AH73" s="268">
        <f t="shared" si="81"/>
        <v>-0.23530063111516064</v>
      </c>
      <c r="AI73" s="268">
        <f t="shared" si="81"/>
        <v>-0.23606975928119578</v>
      </c>
      <c r="AJ73" s="268">
        <f t="shared" ref="AJ73:BP73" si="82">AJ35+AJ54</f>
        <v>-0.23684197991710754</v>
      </c>
      <c r="AK73" s="268">
        <f t="shared" si="82"/>
        <v>-0.23761702455054934</v>
      </c>
      <c r="AL73" s="268">
        <f t="shared" si="82"/>
        <v>-14.850126003273886</v>
      </c>
      <c r="AM73" s="268">
        <f t="shared" si="82"/>
        <v>-0.2870101414971673</v>
      </c>
      <c r="AN73" s="268">
        <f t="shared" si="82"/>
        <v>51.246707108131019</v>
      </c>
      <c r="AO73" s="268">
        <f t="shared" si="82"/>
        <v>-37.009638316064887</v>
      </c>
      <c r="AP73" s="268">
        <f t="shared" si="82"/>
        <v>-0.24153173073599454</v>
      </c>
      <c r="AQ73" s="268">
        <f t="shared" si="82"/>
        <v>-0.24232243689947186</v>
      </c>
      <c r="AR73" s="268">
        <f t="shared" si="82"/>
        <v>-0.24311573447658841</v>
      </c>
      <c r="AS73" s="268">
        <f t="shared" si="82"/>
        <v>-0.24391163057019583</v>
      </c>
      <c r="AT73" s="268">
        <f t="shared" si="82"/>
        <v>-0.24471013297602529</v>
      </c>
      <c r="AU73" s="268">
        <f t="shared" si="82"/>
        <v>-0.24551124986006823</v>
      </c>
      <c r="AV73" s="268">
        <f t="shared" si="82"/>
        <v>-0.24631498959275522</v>
      </c>
      <c r="AW73" s="268">
        <f t="shared" si="82"/>
        <v>-0.24712136066349366</v>
      </c>
      <c r="AX73" s="268">
        <f t="shared" si="82"/>
        <v>-15.444130903504171</v>
      </c>
      <c r="AY73" s="268">
        <f t="shared" si="82"/>
        <v>-0.29849043735378178</v>
      </c>
      <c r="AZ73" s="268">
        <f t="shared" si="82"/>
        <v>53.298321610254646</v>
      </c>
      <c r="BA73" s="268">
        <f t="shared" si="82"/>
        <v>-38.490023849463412</v>
      </c>
      <c r="BB73" s="268">
        <f t="shared" si="82"/>
        <v>-0.25119298745985397</v>
      </c>
      <c r="BC73" s="268">
        <f t="shared" si="82"/>
        <v>-0.2520153279339068</v>
      </c>
      <c r="BD73" s="268">
        <f t="shared" si="82"/>
        <v>-0.2528403605375944</v>
      </c>
      <c r="BE73" s="268">
        <f t="shared" si="82"/>
        <v>-0.25366809408388047</v>
      </c>
      <c r="BF73" s="268">
        <f t="shared" si="82"/>
        <v>-0.2544985374146771</v>
      </c>
      <c r="BG73" s="268">
        <f t="shared" si="82"/>
        <v>-0.25533169940099931</v>
      </c>
      <c r="BH73" s="268">
        <f t="shared" si="82"/>
        <v>-0.25616758894290559</v>
      </c>
      <c r="BI73" s="268">
        <f t="shared" si="82"/>
        <v>-0.25700621496970211</v>
      </c>
      <c r="BJ73" s="268">
        <f t="shared" si="82"/>
        <v>-16.06189613959555</v>
      </c>
      <c r="BK73" s="268">
        <f t="shared" si="82"/>
        <v>-0.31043005480961394</v>
      </c>
      <c r="BL73" s="269">
        <f t="shared" si="82"/>
        <v>-78.501816879099721</v>
      </c>
      <c r="BM73" s="269">
        <f t="shared" si="82"/>
        <v>-4.0451902684459302</v>
      </c>
      <c r="BN73" s="269">
        <f t="shared" si="82"/>
        <v>-3.3289017975091593</v>
      </c>
      <c r="BO73" s="269">
        <f t="shared" si="82"/>
        <v>-3.4600918145664092</v>
      </c>
      <c r="BP73" s="269">
        <f t="shared" si="82"/>
        <v>-3.5967492443574498</v>
      </c>
    </row>
    <row r="74" spans="1:68" x14ac:dyDescent="0.15">
      <c r="A74" s="232" t="s">
        <v>258</v>
      </c>
      <c r="B74" t="s">
        <v>236</v>
      </c>
      <c r="D74" s="266">
        <f t="shared" ref="D74:AI74" si="83">D36+D55</f>
        <v>-27.020883036363635</v>
      </c>
      <c r="E74" s="266">
        <f t="shared" si="83"/>
        <v>-10.651335791253874</v>
      </c>
      <c r="F74" s="266">
        <f t="shared" si="83"/>
        <v>36.076294046151958</v>
      </c>
      <c r="G74" s="266">
        <f t="shared" si="83"/>
        <v>18.989485282667324</v>
      </c>
      <c r="H74" s="266">
        <f t="shared" si="83"/>
        <v>20.151163722488555</v>
      </c>
      <c r="I74" s="266">
        <f t="shared" si="83"/>
        <v>20.46507993220272</v>
      </c>
      <c r="J74" s="266">
        <f t="shared" si="83"/>
        <v>20.792864784734896</v>
      </c>
      <c r="K74" s="266">
        <f t="shared" si="83"/>
        <v>22.627872720214963</v>
      </c>
      <c r="L74" s="266">
        <f t="shared" si="83"/>
        <v>21.608126808100931</v>
      </c>
      <c r="M74" s="266">
        <f t="shared" si="83"/>
        <v>22.559726784156172</v>
      </c>
      <c r="N74" s="266">
        <f t="shared" si="83"/>
        <v>15.875163369121568</v>
      </c>
      <c r="O74" s="266">
        <f t="shared" si="83"/>
        <v>29.468044944813858</v>
      </c>
      <c r="P74" s="266">
        <f t="shared" si="83"/>
        <v>54.508531408408707</v>
      </c>
      <c r="Q74" s="266">
        <f t="shared" si="83"/>
        <v>-9.6766060555102253</v>
      </c>
      <c r="R74" s="266">
        <f t="shared" si="83"/>
        <v>22.528852261532229</v>
      </c>
      <c r="S74" s="266">
        <f t="shared" si="83"/>
        <v>23.893498320311632</v>
      </c>
      <c r="T74" s="266">
        <f t="shared" si="83"/>
        <v>24.032924740852618</v>
      </c>
      <c r="U74" s="266">
        <f t="shared" si="83"/>
        <v>24.157404525033645</v>
      </c>
      <c r="V74" s="266">
        <f t="shared" si="83"/>
        <v>24.273709293941948</v>
      </c>
      <c r="W74" s="266">
        <f t="shared" si="83"/>
        <v>24.298289493420029</v>
      </c>
      <c r="X74" s="266">
        <f t="shared" si="83"/>
        <v>24.574980411002002</v>
      </c>
      <c r="Y74" s="266">
        <f t="shared" si="83"/>
        <v>24.684103168536815</v>
      </c>
      <c r="Z74" s="266">
        <f t="shared" si="83"/>
        <v>17.416869885024589</v>
      </c>
      <c r="AA74" s="266">
        <f t="shared" si="83"/>
        <v>31.55117864020211</v>
      </c>
      <c r="AB74" s="266">
        <f t="shared" si="83"/>
        <v>57.179461735545765</v>
      </c>
      <c r="AC74" s="266">
        <f t="shared" si="83"/>
        <v>-10.777145632795584</v>
      </c>
      <c r="AD74" s="266">
        <f t="shared" si="83"/>
        <v>24.68709780059071</v>
      </c>
      <c r="AE74" s="266">
        <f t="shared" si="83"/>
        <v>24.797038762991328</v>
      </c>
      <c r="AF74" s="266">
        <f t="shared" si="83"/>
        <v>24.907327365240462</v>
      </c>
      <c r="AG74" s="266">
        <f t="shared" si="83"/>
        <v>25.017970698837573</v>
      </c>
      <c r="AH74" s="266">
        <f t="shared" si="83"/>
        <v>25.128972991918918</v>
      </c>
      <c r="AI74" s="266">
        <f t="shared" si="83"/>
        <v>25.240336999411454</v>
      </c>
      <c r="AJ74" s="266">
        <f t="shared" ref="AJ74:BP74" si="84">AJ36+AJ55</f>
        <v>25.352064719236164</v>
      </c>
      <c r="AK74" s="266">
        <f t="shared" si="84"/>
        <v>25.464157761264229</v>
      </c>
      <c r="AL74" s="266">
        <f t="shared" si="84"/>
        <v>17.905458634095993</v>
      </c>
      <c r="AM74" s="266">
        <f t="shared" si="84"/>
        <v>32.604904313083864</v>
      </c>
      <c r="AN74" s="266">
        <f t="shared" si="84"/>
        <v>59.243495725747415</v>
      </c>
      <c r="AO74" s="266">
        <f t="shared" si="84"/>
        <v>-11.433271498317669</v>
      </c>
      <c r="AP74" s="266">
        <f t="shared" si="84"/>
        <v>25.449562659110825</v>
      </c>
      <c r="AQ74" s="266">
        <f t="shared" si="84"/>
        <v>25.563875110474591</v>
      </c>
      <c r="AR74" s="266">
        <f t="shared" si="84"/>
        <v>25.678561786773852</v>
      </c>
      <c r="AS74" s="266">
        <f t="shared" si="84"/>
        <v>25.793623915201088</v>
      </c>
      <c r="AT74" s="266">
        <f t="shared" si="84"/>
        <v>25.909062725958872</v>
      </c>
      <c r="AU74" s="266">
        <f t="shared" si="84"/>
        <v>26.024879452758359</v>
      </c>
      <c r="AV74" s="266">
        <f t="shared" si="84"/>
        <v>26.141075333082242</v>
      </c>
      <c r="AW74" s="266">
        <f t="shared" si="84"/>
        <v>26.257651608326654</v>
      </c>
      <c r="AX74" s="266">
        <f t="shared" si="84"/>
        <v>18.396604244650465</v>
      </c>
      <c r="AY74" s="266">
        <f t="shared" si="84"/>
        <v>33.684027668543891</v>
      </c>
      <c r="AZ74" s="266">
        <f t="shared" si="84"/>
        <v>61.372491193436801</v>
      </c>
      <c r="BA74" s="266">
        <f t="shared" si="84"/>
        <v>-12.133092937786145</v>
      </c>
      <c r="BB74" s="266">
        <f t="shared" si="84"/>
        <v>26.22505459326085</v>
      </c>
      <c r="BC74" s="266">
        <f t="shared" si="84"/>
        <v>26.343939533555403</v>
      </c>
      <c r="BD74" s="266">
        <f t="shared" si="84"/>
        <v>26.463213672207072</v>
      </c>
      <c r="BE74" s="266">
        <f t="shared" si="84"/>
        <v>26.582878283350631</v>
      </c>
      <c r="BF74" s="266">
        <f t="shared" si="84"/>
        <v>26.702934645291808</v>
      </c>
      <c r="BG74" s="266">
        <f t="shared" si="84"/>
        <v>26.823384040520956</v>
      </c>
      <c r="BH74" s="266">
        <f t="shared" si="84"/>
        <v>26.944227755726931</v>
      </c>
      <c r="BI74" s="266">
        <f t="shared" si="84"/>
        <v>27.065467081810741</v>
      </c>
      <c r="BJ74" s="266">
        <f t="shared" si="84"/>
        <v>18.889977823492782</v>
      </c>
      <c r="BK74" s="266">
        <f t="shared" si="84"/>
        <v>34.788898184313283</v>
      </c>
      <c r="BL74" s="267">
        <f t="shared" si="84"/>
        <v>190.94160356703537</v>
      </c>
      <c r="BM74" s="267">
        <f t="shared" si="84"/>
        <v>286.24373609275608</v>
      </c>
      <c r="BN74" s="267">
        <f t="shared" si="84"/>
        <v>297.50764614942079</v>
      </c>
      <c r="BO74" s="267">
        <f t="shared" si="84"/>
        <v>306.70914873231055</v>
      </c>
      <c r="BP74" s="267">
        <f t="shared" si="84"/>
        <v>316.06937386918105</v>
      </c>
    </row>
  </sheetData>
  <mergeCells count="6">
    <mergeCell ref="A1:N1"/>
    <mergeCell ref="A8:N8"/>
    <mergeCell ref="A38:N38"/>
    <mergeCell ref="A2:N2"/>
    <mergeCell ref="A57:N57"/>
    <mergeCell ref="A19:N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53"/>
  <sheetViews>
    <sheetView topLeftCell="A16" zoomScale="107" workbookViewId="0">
      <selection activeCell="A16" sqref="A16"/>
    </sheetView>
  </sheetViews>
  <sheetFormatPr baseColWidth="10" defaultColWidth="8.83203125" defaultRowHeight="13" x14ac:dyDescent="0.15"/>
  <cols>
    <col min="1" max="1" width="30" customWidth="1"/>
    <col min="2" max="2" width="14" customWidth="1"/>
    <col min="3" max="3" width="12" customWidth="1"/>
    <col min="4" max="4" width="10.33203125" customWidth="1"/>
    <col min="5" max="5" width="9.33203125" customWidth="1"/>
    <col min="6" max="63" width="9" customWidth="1"/>
    <col min="64" max="68" width="13" customWidth="1"/>
  </cols>
  <sheetData>
    <row r="1" spans="1:14" ht="18" customHeight="1" x14ac:dyDescent="0.2">
      <c r="A1" s="325" t="s">
        <v>0</v>
      </c>
      <c r="B1" s="315"/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315"/>
      <c r="N1" s="315"/>
    </row>
    <row r="2" spans="1:14" x14ac:dyDescent="0.15">
      <c r="A2" s="318" t="s">
        <v>1</v>
      </c>
      <c r="B2" s="315"/>
      <c r="C2" s="315"/>
      <c r="D2" s="315"/>
      <c r="E2" s="315"/>
      <c r="F2" s="315"/>
      <c r="G2" s="315"/>
      <c r="H2" s="315"/>
      <c r="I2" s="315"/>
      <c r="J2" s="315"/>
      <c r="K2" s="315"/>
      <c r="L2" s="315"/>
      <c r="M2" s="315"/>
      <c r="N2" s="315"/>
    </row>
    <row r="4" spans="1:14" ht="16" customHeight="1" x14ac:dyDescent="0.2">
      <c r="A4" s="319" t="s">
        <v>814</v>
      </c>
      <c r="B4" s="315"/>
      <c r="C4" s="315"/>
      <c r="D4" s="315"/>
      <c r="E4" s="315"/>
      <c r="F4" s="315"/>
      <c r="G4" s="315"/>
      <c r="H4" s="315"/>
      <c r="I4" s="315"/>
      <c r="J4" s="315"/>
      <c r="K4" s="315"/>
      <c r="L4" s="315"/>
      <c r="M4" s="315"/>
      <c r="N4" s="315"/>
    </row>
    <row r="5" spans="1:14" ht="56" customHeight="1" x14ac:dyDescent="0.15">
      <c r="A5" s="224" t="s">
        <v>2</v>
      </c>
      <c r="B5" s="224" t="s">
        <v>3</v>
      </c>
      <c r="C5" s="224" t="s">
        <v>4</v>
      </c>
      <c r="D5" s="224" t="s">
        <v>815</v>
      </c>
      <c r="E5" s="224" t="s">
        <v>5</v>
      </c>
      <c r="F5" s="303" t="s">
        <v>6</v>
      </c>
      <c r="G5" s="305" t="s">
        <v>7</v>
      </c>
    </row>
    <row r="6" spans="1:14" x14ac:dyDescent="0.15">
      <c r="A6" s="225" t="s">
        <v>8</v>
      </c>
      <c r="B6" s="226" t="s">
        <v>9</v>
      </c>
      <c r="C6" s="227">
        <v>250000</v>
      </c>
      <c r="D6" s="302">
        <v>1.0760000000000001</v>
      </c>
      <c r="E6" s="228">
        <f t="shared" ref="E6:E13" si="0">C6*D6</f>
        <v>269000</v>
      </c>
      <c r="F6" s="304">
        <f t="shared" ref="F6:F13" si="1">E6/1000000</f>
        <v>0.26900000000000002</v>
      </c>
      <c r="G6" s="306"/>
    </row>
    <row r="7" spans="1:14" x14ac:dyDescent="0.15">
      <c r="A7" s="225" t="s">
        <v>10</v>
      </c>
      <c r="B7" s="226" t="s">
        <v>11</v>
      </c>
      <c r="C7" s="227">
        <v>180000</v>
      </c>
      <c r="D7" s="302">
        <v>1.0760000000000001</v>
      </c>
      <c r="E7" s="228">
        <f t="shared" si="0"/>
        <v>193680</v>
      </c>
      <c r="F7" s="304">
        <f t="shared" si="1"/>
        <v>0.19367999999999999</v>
      </c>
      <c r="G7" s="306"/>
    </row>
    <row r="8" spans="1:14" x14ac:dyDescent="0.15">
      <c r="A8" s="225" t="s">
        <v>12</v>
      </c>
      <c r="B8" s="226" t="s">
        <v>11</v>
      </c>
      <c r="C8" s="227">
        <v>180000</v>
      </c>
      <c r="D8" s="302">
        <v>1.0760000000000001</v>
      </c>
      <c r="E8" s="228">
        <f t="shared" si="0"/>
        <v>193680</v>
      </c>
      <c r="F8" s="304">
        <f t="shared" si="1"/>
        <v>0.19367999999999999</v>
      </c>
      <c r="G8" s="306"/>
    </row>
    <row r="9" spans="1:14" x14ac:dyDescent="0.15">
      <c r="A9" s="225" t="s">
        <v>13</v>
      </c>
      <c r="B9" s="226" t="s">
        <v>11</v>
      </c>
      <c r="C9" s="227">
        <v>280000</v>
      </c>
      <c r="D9" s="302">
        <v>1.0760000000000001</v>
      </c>
      <c r="E9" s="228">
        <f t="shared" si="0"/>
        <v>301280</v>
      </c>
      <c r="F9" s="304">
        <f t="shared" si="1"/>
        <v>0.30127999999999999</v>
      </c>
      <c r="G9" s="306"/>
    </row>
    <row r="10" spans="1:14" x14ac:dyDescent="0.15">
      <c r="A10" s="225" t="s">
        <v>14</v>
      </c>
      <c r="B10" s="226" t="s">
        <v>11</v>
      </c>
      <c r="C10" s="227">
        <v>250000</v>
      </c>
      <c r="D10" s="302">
        <v>1.0760000000000001</v>
      </c>
      <c r="E10" s="228">
        <f t="shared" si="0"/>
        <v>269000</v>
      </c>
      <c r="F10" s="304">
        <f t="shared" si="1"/>
        <v>0.26900000000000002</v>
      </c>
      <c r="G10" s="306"/>
    </row>
    <row r="11" spans="1:14" x14ac:dyDescent="0.15">
      <c r="A11" s="225" t="s">
        <v>15</v>
      </c>
      <c r="B11" s="226" t="s">
        <v>16</v>
      </c>
      <c r="C11" s="227">
        <v>200000</v>
      </c>
      <c r="D11" s="302">
        <v>1.0760000000000001</v>
      </c>
      <c r="E11" s="228">
        <f t="shared" si="0"/>
        <v>215200</v>
      </c>
      <c r="F11" s="304">
        <f t="shared" si="1"/>
        <v>0.2152</v>
      </c>
      <c r="G11" s="306"/>
    </row>
    <row r="12" spans="1:14" x14ac:dyDescent="0.15">
      <c r="A12" s="225" t="s">
        <v>17</v>
      </c>
      <c r="B12" s="226" t="s">
        <v>16</v>
      </c>
      <c r="C12" s="227">
        <v>150000</v>
      </c>
      <c r="D12" s="302">
        <v>1.0760000000000001</v>
      </c>
      <c r="E12" s="228">
        <f t="shared" si="0"/>
        <v>161400</v>
      </c>
      <c r="F12" s="304">
        <f t="shared" si="1"/>
        <v>0.16139999999999999</v>
      </c>
      <c r="G12" s="306"/>
    </row>
    <row r="13" spans="1:14" x14ac:dyDescent="0.15">
      <c r="A13" s="225" t="s">
        <v>18</v>
      </c>
      <c r="B13" s="226" t="s">
        <v>11</v>
      </c>
      <c r="C13" s="227">
        <v>220000</v>
      </c>
      <c r="D13" s="302">
        <v>1.0760000000000001</v>
      </c>
      <c r="E13" s="228">
        <f t="shared" si="0"/>
        <v>236720.00000000003</v>
      </c>
      <c r="F13" s="304">
        <f t="shared" si="1"/>
        <v>0.23672000000000004</v>
      </c>
      <c r="G13" s="306"/>
    </row>
    <row r="15" spans="1:14" x14ac:dyDescent="0.15">
      <c r="A15" s="326" t="s">
        <v>826</v>
      </c>
      <c r="B15" s="315"/>
      <c r="C15" s="315"/>
      <c r="D15" s="315"/>
      <c r="E15" s="315"/>
      <c r="F15" s="315"/>
      <c r="G15" s="315"/>
      <c r="H15" s="315"/>
      <c r="I15" s="315"/>
      <c r="J15" s="315"/>
      <c r="K15" s="315"/>
      <c r="L15" s="315"/>
      <c r="M15" s="315"/>
      <c r="N15" s="315"/>
    </row>
    <row r="16" spans="1:14" x14ac:dyDescent="0.15">
      <c r="A16" t="s">
        <v>19</v>
      </c>
    </row>
    <row r="17" spans="1:68" ht="16" customHeight="1" x14ac:dyDescent="0.2">
      <c r="A17" s="319" t="s">
        <v>20</v>
      </c>
      <c r="B17" s="315"/>
      <c r="C17" s="315"/>
      <c r="D17" s="315"/>
      <c r="E17" s="315"/>
      <c r="F17" s="315"/>
      <c r="G17" s="315"/>
      <c r="H17" s="315"/>
      <c r="I17" s="315"/>
      <c r="J17" s="315"/>
      <c r="K17" s="315"/>
      <c r="L17" s="315"/>
      <c r="M17" s="315"/>
      <c r="N17" s="315"/>
    </row>
    <row r="18" spans="1:68" ht="28" customHeight="1" x14ac:dyDescent="0.15">
      <c r="A18" s="224" t="s">
        <v>21</v>
      </c>
      <c r="B18" s="224" t="s">
        <v>22</v>
      </c>
      <c r="C18" s="224" t="s">
        <v>23</v>
      </c>
      <c r="D18" s="224" t="s">
        <v>24</v>
      </c>
      <c r="E18" s="224" t="s">
        <v>25</v>
      </c>
      <c r="F18" s="224" t="s">
        <v>26</v>
      </c>
      <c r="G18" s="224" t="s">
        <v>27</v>
      </c>
    </row>
    <row r="19" spans="1:68" ht="70" customHeight="1" x14ac:dyDescent="0.15">
      <c r="A19" s="231" t="s">
        <v>28</v>
      </c>
      <c r="B19" s="231" t="s">
        <v>29</v>
      </c>
      <c r="C19" s="231">
        <v>0.75</v>
      </c>
      <c r="D19" s="231" t="s">
        <v>30</v>
      </c>
      <c r="E19" s="231" t="s">
        <v>31</v>
      </c>
      <c r="F19" s="231" t="s">
        <v>32</v>
      </c>
      <c r="G19" s="231" t="s">
        <v>33</v>
      </c>
    </row>
    <row r="20" spans="1:68" ht="56" customHeight="1" x14ac:dyDescent="0.15">
      <c r="A20" s="231" t="s">
        <v>34</v>
      </c>
      <c r="B20" s="231" t="s">
        <v>35</v>
      </c>
      <c r="C20" s="231">
        <v>0.6</v>
      </c>
      <c r="D20" s="231" t="s">
        <v>36</v>
      </c>
      <c r="E20" s="231" t="s">
        <v>37</v>
      </c>
      <c r="F20" s="231" t="s">
        <v>38</v>
      </c>
      <c r="G20" s="231" t="s">
        <v>39</v>
      </c>
    </row>
    <row r="21" spans="1:68" ht="70" customHeight="1" x14ac:dyDescent="0.15">
      <c r="A21" s="231" t="s">
        <v>40</v>
      </c>
      <c r="B21" s="231" t="s">
        <v>41</v>
      </c>
      <c r="C21" s="231">
        <v>0.4</v>
      </c>
      <c r="D21" s="231" t="s">
        <v>42</v>
      </c>
      <c r="E21" s="231" t="s">
        <v>43</v>
      </c>
      <c r="F21" s="231" t="s">
        <v>44</v>
      </c>
      <c r="G21" s="231" t="s">
        <v>45</v>
      </c>
    </row>
    <row r="23" spans="1:68" x14ac:dyDescent="0.15">
      <c r="A23" s="300" t="s">
        <v>46</v>
      </c>
      <c r="B23">
        <v>8</v>
      </c>
      <c r="C23" t="s">
        <v>47</v>
      </c>
    </row>
    <row r="24" spans="1:68" x14ac:dyDescent="0.15">
      <c r="A24" t="s">
        <v>48</v>
      </c>
      <c r="B24" s="233">
        <v>0.2</v>
      </c>
    </row>
    <row r="25" spans="1:68" x14ac:dyDescent="0.15">
      <c r="A25" s="300" t="s">
        <v>49</v>
      </c>
      <c r="B25" s="234">
        <f>B23*(1+B24)</f>
        <v>9.6</v>
      </c>
      <c r="C25" t="s">
        <v>50</v>
      </c>
    </row>
    <row r="26" spans="1:68" x14ac:dyDescent="0.15">
      <c r="A26" t="s">
        <v>51</v>
      </c>
      <c r="B26">
        <v>3</v>
      </c>
      <c r="C26" t="s">
        <v>827</v>
      </c>
    </row>
    <row r="28" spans="1:68" ht="16" customHeight="1" x14ac:dyDescent="0.2">
      <c r="A28" s="319" t="s">
        <v>52</v>
      </c>
      <c r="B28" s="315"/>
      <c r="C28" s="315"/>
      <c r="D28" s="315"/>
      <c r="E28" s="315"/>
      <c r="F28" s="315"/>
      <c r="G28" s="315"/>
      <c r="H28" s="315"/>
      <c r="I28" s="315"/>
      <c r="J28" s="315"/>
      <c r="K28" s="315"/>
      <c r="L28" s="315"/>
      <c r="M28" s="315"/>
      <c r="N28" s="315"/>
    </row>
    <row r="29" spans="1:68" x14ac:dyDescent="0.15">
      <c r="A29" s="323" t="s">
        <v>53</v>
      </c>
      <c r="B29" s="315"/>
      <c r="C29" s="315"/>
      <c r="D29" s="315"/>
      <c r="E29" s="315"/>
      <c r="F29" s="315"/>
      <c r="G29" s="315"/>
      <c r="H29" s="315"/>
      <c r="I29" s="315"/>
      <c r="J29" s="315"/>
      <c r="K29" s="315"/>
      <c r="L29" s="315"/>
      <c r="M29" s="315"/>
      <c r="N29" s="315"/>
    </row>
    <row r="30" spans="1:68" ht="14" customHeight="1" x14ac:dyDescent="0.15">
      <c r="A30" t="s">
        <v>2</v>
      </c>
      <c r="B30" t="s">
        <v>54</v>
      </c>
      <c r="C30" t="s">
        <v>55</v>
      </c>
      <c r="D30" s="235">
        <v>2026</v>
      </c>
      <c r="E30" s="235">
        <v>2026</v>
      </c>
      <c r="F30" s="235">
        <v>2026</v>
      </c>
      <c r="G30" s="235">
        <v>2026</v>
      </c>
      <c r="H30" s="235">
        <v>2026</v>
      </c>
      <c r="I30" s="235">
        <v>2026</v>
      </c>
      <c r="J30" s="235">
        <v>2026</v>
      </c>
      <c r="K30" s="235">
        <v>2026</v>
      </c>
      <c r="L30" s="235">
        <v>2026</v>
      </c>
      <c r="M30" s="235">
        <v>2026</v>
      </c>
      <c r="N30" s="235">
        <v>2026</v>
      </c>
      <c r="O30" s="235">
        <v>2026</v>
      </c>
      <c r="P30" s="235">
        <v>2027</v>
      </c>
      <c r="Q30" s="235">
        <v>2027</v>
      </c>
      <c r="R30" s="235">
        <v>2027</v>
      </c>
      <c r="S30" s="235">
        <v>2027</v>
      </c>
      <c r="T30" s="235">
        <v>2027</v>
      </c>
      <c r="U30" s="235">
        <v>2027</v>
      </c>
      <c r="V30" s="235">
        <v>2027</v>
      </c>
      <c r="W30" s="235">
        <v>2027</v>
      </c>
      <c r="X30" s="235">
        <v>2027</v>
      </c>
      <c r="Y30" s="235">
        <v>2027</v>
      </c>
      <c r="Z30" s="235">
        <v>2027</v>
      </c>
      <c r="AA30" s="235">
        <v>2027</v>
      </c>
      <c r="AB30" s="235">
        <v>2028</v>
      </c>
      <c r="AC30" s="235">
        <v>2028</v>
      </c>
      <c r="AD30" s="235">
        <v>2028</v>
      </c>
      <c r="AE30" s="235">
        <v>2028</v>
      </c>
      <c r="AF30" s="235">
        <v>2028</v>
      </c>
      <c r="AG30" s="235">
        <v>2028</v>
      </c>
      <c r="AH30" s="235">
        <v>2028</v>
      </c>
      <c r="AI30" s="235">
        <v>2028</v>
      </c>
      <c r="AJ30" s="235">
        <v>2028</v>
      </c>
      <c r="AK30" s="235">
        <v>2028</v>
      </c>
      <c r="AL30" s="235">
        <v>2028</v>
      </c>
      <c r="AM30" s="235">
        <v>2028</v>
      </c>
      <c r="AN30" s="235">
        <v>2029</v>
      </c>
      <c r="AO30" s="235">
        <v>2029</v>
      </c>
      <c r="AP30" s="235">
        <v>2029</v>
      </c>
      <c r="AQ30" s="235">
        <v>2029</v>
      </c>
      <c r="AR30" s="235">
        <v>2029</v>
      </c>
      <c r="AS30" s="235">
        <v>2029</v>
      </c>
      <c r="AT30" s="235">
        <v>2029</v>
      </c>
      <c r="AU30" s="235">
        <v>2029</v>
      </c>
      <c r="AV30" s="235">
        <v>2029</v>
      </c>
      <c r="AW30" s="235">
        <v>2029</v>
      </c>
      <c r="AX30" s="235">
        <v>2029</v>
      </c>
      <c r="AY30" s="235">
        <v>2029</v>
      </c>
      <c r="AZ30" s="235">
        <v>2030</v>
      </c>
      <c r="BA30" s="235">
        <v>2030</v>
      </c>
      <c r="BB30" s="235">
        <v>2030</v>
      </c>
      <c r="BC30" s="235">
        <v>2030</v>
      </c>
      <c r="BD30" s="235">
        <v>2030</v>
      </c>
      <c r="BE30" s="235">
        <v>2030</v>
      </c>
      <c r="BF30" s="235">
        <v>2030</v>
      </c>
      <c r="BG30" s="235">
        <v>2030</v>
      </c>
      <c r="BH30" s="235">
        <v>2030</v>
      </c>
      <c r="BI30" s="235">
        <v>2030</v>
      </c>
      <c r="BJ30" s="235">
        <v>2030</v>
      </c>
      <c r="BK30" s="235">
        <v>2030</v>
      </c>
      <c r="BL30" s="235" t="s">
        <v>56</v>
      </c>
      <c r="BM30" s="235" t="s">
        <v>57</v>
      </c>
      <c r="BN30" s="235" t="s">
        <v>58</v>
      </c>
      <c r="BO30" s="235" t="s">
        <v>59</v>
      </c>
      <c r="BP30" s="235" t="s">
        <v>60</v>
      </c>
    </row>
    <row r="31" spans="1:68" ht="14" customHeight="1" x14ac:dyDescent="0.15">
      <c r="A31" s="232"/>
      <c r="D31" s="236" t="s">
        <v>61</v>
      </c>
      <c r="E31" s="236" t="s">
        <v>62</v>
      </c>
      <c r="F31" s="236" t="s">
        <v>63</v>
      </c>
      <c r="G31" s="236" t="s">
        <v>64</v>
      </c>
      <c r="H31" s="236" t="s">
        <v>65</v>
      </c>
      <c r="I31" s="236" t="s">
        <v>66</v>
      </c>
      <c r="J31" s="236" t="s">
        <v>67</v>
      </c>
      <c r="K31" s="236" t="s">
        <v>68</v>
      </c>
      <c r="L31" s="236" t="s">
        <v>69</v>
      </c>
      <c r="M31" s="236" t="s">
        <v>70</v>
      </c>
      <c r="N31" s="236" t="s">
        <v>71</v>
      </c>
      <c r="O31" s="236" t="s">
        <v>72</v>
      </c>
      <c r="P31" s="236" t="s">
        <v>61</v>
      </c>
      <c r="Q31" s="236" t="s">
        <v>62</v>
      </c>
      <c r="R31" s="236" t="s">
        <v>63</v>
      </c>
      <c r="S31" s="236" t="s">
        <v>64</v>
      </c>
      <c r="T31" s="236" t="s">
        <v>65</v>
      </c>
      <c r="U31" s="236" t="s">
        <v>66</v>
      </c>
      <c r="V31" s="236" t="s">
        <v>67</v>
      </c>
      <c r="W31" s="236" t="s">
        <v>68</v>
      </c>
      <c r="X31" s="236" t="s">
        <v>69</v>
      </c>
      <c r="Y31" s="236" t="s">
        <v>70</v>
      </c>
      <c r="Z31" s="236" t="s">
        <v>71</v>
      </c>
      <c r="AA31" s="236" t="s">
        <v>72</v>
      </c>
      <c r="AB31" s="236" t="s">
        <v>61</v>
      </c>
      <c r="AC31" s="236" t="s">
        <v>62</v>
      </c>
      <c r="AD31" s="236" t="s">
        <v>63</v>
      </c>
      <c r="AE31" s="236" t="s">
        <v>64</v>
      </c>
      <c r="AF31" s="236" t="s">
        <v>65</v>
      </c>
      <c r="AG31" s="236" t="s">
        <v>66</v>
      </c>
      <c r="AH31" s="236" t="s">
        <v>67</v>
      </c>
      <c r="AI31" s="236" t="s">
        <v>68</v>
      </c>
      <c r="AJ31" s="236" t="s">
        <v>69</v>
      </c>
      <c r="AK31" s="236" t="s">
        <v>70</v>
      </c>
      <c r="AL31" s="236" t="s">
        <v>71</v>
      </c>
      <c r="AM31" s="236" t="s">
        <v>72</v>
      </c>
      <c r="AN31" s="236" t="s">
        <v>61</v>
      </c>
      <c r="AO31" s="236" t="s">
        <v>62</v>
      </c>
      <c r="AP31" s="236" t="s">
        <v>63</v>
      </c>
      <c r="AQ31" s="236" t="s">
        <v>64</v>
      </c>
      <c r="AR31" s="236" t="s">
        <v>65</v>
      </c>
      <c r="AS31" s="236" t="s">
        <v>66</v>
      </c>
      <c r="AT31" s="236" t="s">
        <v>67</v>
      </c>
      <c r="AU31" s="236" t="s">
        <v>68</v>
      </c>
      <c r="AV31" s="236" t="s">
        <v>69</v>
      </c>
      <c r="AW31" s="236" t="s">
        <v>70</v>
      </c>
      <c r="AX31" s="236" t="s">
        <v>71</v>
      </c>
      <c r="AY31" s="236" t="s">
        <v>72</v>
      </c>
      <c r="AZ31" s="236" t="s">
        <v>61</v>
      </c>
      <c r="BA31" s="236" t="s">
        <v>62</v>
      </c>
      <c r="BB31" s="236" t="s">
        <v>63</v>
      </c>
      <c r="BC31" s="236" t="s">
        <v>64</v>
      </c>
      <c r="BD31" s="236" t="s">
        <v>65</v>
      </c>
      <c r="BE31" s="236" t="s">
        <v>66</v>
      </c>
      <c r="BF31" s="236" t="s">
        <v>67</v>
      </c>
      <c r="BG31" s="236" t="s">
        <v>68</v>
      </c>
      <c r="BH31" s="236" t="s">
        <v>69</v>
      </c>
      <c r="BI31" s="236" t="s">
        <v>70</v>
      </c>
      <c r="BJ31" s="236" t="s">
        <v>71</v>
      </c>
      <c r="BK31" s="236" t="s">
        <v>72</v>
      </c>
    </row>
    <row r="32" spans="1:68" x14ac:dyDescent="0.15">
      <c r="A32" s="232" t="s">
        <v>73</v>
      </c>
      <c r="B32" s="237">
        <f t="shared" ref="B32:B39" si="2">E6</f>
        <v>269000</v>
      </c>
      <c r="C32" t="s">
        <v>74</v>
      </c>
      <c r="D32" s="238">
        <v>1</v>
      </c>
      <c r="E32" s="238">
        <v>1</v>
      </c>
      <c r="F32" s="238">
        <v>1</v>
      </c>
      <c r="G32" s="238">
        <v>1</v>
      </c>
      <c r="H32" s="238">
        <v>1</v>
      </c>
      <c r="I32" s="238">
        <v>1</v>
      </c>
      <c r="J32" s="238">
        <v>1</v>
      </c>
      <c r="K32" s="238">
        <v>0.3</v>
      </c>
      <c r="L32" s="238">
        <v>0.3</v>
      </c>
      <c r="M32" s="238">
        <v>0.3</v>
      </c>
      <c r="N32" s="238">
        <v>0.3</v>
      </c>
      <c r="O32" s="238">
        <v>0.3</v>
      </c>
      <c r="P32" s="238">
        <v>0.1</v>
      </c>
      <c r="Q32" s="238">
        <v>0.1</v>
      </c>
      <c r="R32" s="238">
        <v>0.1</v>
      </c>
      <c r="S32" s="238">
        <v>0.1</v>
      </c>
      <c r="T32" s="238">
        <v>0.1</v>
      </c>
      <c r="U32" s="238">
        <v>0.1</v>
      </c>
      <c r="V32" s="238">
        <v>0.1</v>
      </c>
      <c r="W32" s="238">
        <v>0.1</v>
      </c>
      <c r="X32" s="238">
        <v>0.1</v>
      </c>
      <c r="Y32" s="238">
        <v>0.1</v>
      </c>
      <c r="Z32" s="238">
        <v>0.1</v>
      </c>
      <c r="AA32" s="238">
        <v>0.1</v>
      </c>
      <c r="AB32" s="238">
        <v>0.1</v>
      </c>
      <c r="AC32" s="238">
        <v>0.1</v>
      </c>
      <c r="AD32" s="238">
        <v>0.1</v>
      </c>
      <c r="AE32" s="238">
        <v>0.1</v>
      </c>
      <c r="AF32" s="238">
        <v>0.1</v>
      </c>
      <c r="AG32" s="238">
        <v>0.1</v>
      </c>
      <c r="AH32" s="238">
        <v>0.1</v>
      </c>
      <c r="AI32" s="238">
        <v>0.1</v>
      </c>
      <c r="AJ32" s="238">
        <v>0.1</v>
      </c>
      <c r="AK32" s="238">
        <v>0.1</v>
      </c>
      <c r="AL32" s="238">
        <v>0.1</v>
      </c>
      <c r="AM32" s="238">
        <v>0.1</v>
      </c>
      <c r="AN32" s="238">
        <v>0.1</v>
      </c>
      <c r="AO32" s="238">
        <v>0.1</v>
      </c>
      <c r="AP32" s="238">
        <v>0.1</v>
      </c>
      <c r="AQ32" s="238">
        <v>0.1</v>
      </c>
      <c r="AR32" s="238">
        <v>0.1</v>
      </c>
      <c r="AS32" s="238">
        <v>0.1</v>
      </c>
      <c r="AT32" s="238">
        <v>0.1</v>
      </c>
      <c r="AU32" s="238">
        <v>0.1</v>
      </c>
      <c r="AV32" s="238">
        <v>0.1</v>
      </c>
      <c r="AW32" s="238">
        <v>0.1</v>
      </c>
      <c r="AX32" s="238">
        <v>0.1</v>
      </c>
      <c r="AY32" s="238">
        <v>0.1</v>
      </c>
      <c r="AZ32" s="238">
        <v>0.1</v>
      </c>
      <c r="BA32" s="238">
        <v>0.1</v>
      </c>
      <c r="BB32" s="238">
        <v>0.1</v>
      </c>
      <c r="BC32" s="238">
        <v>0.1</v>
      </c>
      <c r="BD32" s="238">
        <v>0.1</v>
      </c>
      <c r="BE32" s="238">
        <v>0.1</v>
      </c>
      <c r="BF32" s="238">
        <v>0.1</v>
      </c>
      <c r="BG32" s="238">
        <v>0.1</v>
      </c>
      <c r="BH32" s="238">
        <v>0.1</v>
      </c>
      <c r="BI32" s="238">
        <v>0.1</v>
      </c>
      <c r="BJ32" s="238">
        <v>0.1</v>
      </c>
      <c r="BK32" s="238">
        <v>0.1</v>
      </c>
      <c r="BL32" s="239">
        <f t="shared" ref="BL32:BL40" si="3">AVERAGE(D32:O32)</f>
        <v>0.70833333333333337</v>
      </c>
      <c r="BM32" s="239">
        <f t="shared" ref="BM32:BM40" si="4">AVERAGE(P32:AA32)</f>
        <v>9.9999999999999992E-2</v>
      </c>
      <c r="BN32" s="239">
        <f t="shared" ref="BN32:BN40" si="5">AVERAGE(AB32:AM32)</f>
        <v>9.9999999999999992E-2</v>
      </c>
      <c r="BO32" s="239">
        <f t="shared" ref="BO32:BO40" si="6">AVERAGE(AN32:AY32)</f>
        <v>9.9999999999999992E-2</v>
      </c>
      <c r="BP32" s="239">
        <f t="shared" ref="BP32:BP40" si="7">AVERAGE(AZ32:BK32)</f>
        <v>9.9999999999999992E-2</v>
      </c>
    </row>
    <row r="33" spans="1:68" x14ac:dyDescent="0.15">
      <c r="A33" s="232" t="s">
        <v>10</v>
      </c>
      <c r="B33" s="237">
        <f t="shared" si="2"/>
        <v>193680</v>
      </c>
      <c r="C33" t="s">
        <v>74</v>
      </c>
      <c r="D33" s="238">
        <v>0.5</v>
      </c>
      <c r="E33" s="238">
        <v>0.5</v>
      </c>
      <c r="F33" s="238">
        <v>0</v>
      </c>
      <c r="G33" s="238">
        <v>0</v>
      </c>
      <c r="H33" s="238">
        <v>0.7</v>
      </c>
      <c r="I33" s="238">
        <v>0.3</v>
      </c>
      <c r="J33" s="238">
        <v>0.3</v>
      </c>
      <c r="K33" s="238">
        <v>0.1</v>
      </c>
      <c r="L33" s="238">
        <v>0.1</v>
      </c>
      <c r="M33" s="238">
        <v>0.1</v>
      </c>
      <c r="N33" s="238">
        <v>0.1</v>
      </c>
      <c r="O33" s="238">
        <v>0.1</v>
      </c>
      <c r="P33" s="238">
        <v>0</v>
      </c>
      <c r="Q33" s="238">
        <v>0</v>
      </c>
      <c r="R33" s="238">
        <v>0</v>
      </c>
      <c r="S33" s="238">
        <v>0</v>
      </c>
      <c r="T33" s="238">
        <v>0</v>
      </c>
      <c r="U33" s="238">
        <v>0</v>
      </c>
      <c r="V33" s="238">
        <v>0</v>
      </c>
      <c r="W33" s="238">
        <v>0</v>
      </c>
      <c r="X33" s="238">
        <v>0</v>
      </c>
      <c r="Y33" s="238">
        <v>0</v>
      </c>
      <c r="Z33" s="238">
        <v>0</v>
      </c>
      <c r="AA33" s="238">
        <v>0</v>
      </c>
      <c r="AB33" s="238">
        <v>0</v>
      </c>
      <c r="AC33" s="238">
        <v>0</v>
      </c>
      <c r="AD33" s="238">
        <v>0</v>
      </c>
      <c r="AE33" s="238">
        <v>0</v>
      </c>
      <c r="AF33" s="238">
        <v>0</v>
      </c>
      <c r="AG33" s="238">
        <v>0</v>
      </c>
      <c r="AH33" s="238">
        <v>0</v>
      </c>
      <c r="AI33" s="238">
        <v>0</v>
      </c>
      <c r="AJ33" s="238">
        <v>0</v>
      </c>
      <c r="AK33" s="238">
        <v>0</v>
      </c>
      <c r="AL33" s="238">
        <v>0</v>
      </c>
      <c r="AM33" s="238">
        <v>0</v>
      </c>
      <c r="AN33" s="238">
        <v>0</v>
      </c>
      <c r="AO33" s="238">
        <v>0</v>
      </c>
      <c r="AP33" s="238">
        <v>0</v>
      </c>
      <c r="AQ33" s="238">
        <v>0</v>
      </c>
      <c r="AR33" s="238">
        <v>0</v>
      </c>
      <c r="AS33" s="238">
        <v>0</v>
      </c>
      <c r="AT33" s="238">
        <v>0</v>
      </c>
      <c r="AU33" s="238">
        <v>0</v>
      </c>
      <c r="AV33" s="238">
        <v>0</v>
      </c>
      <c r="AW33" s="238">
        <v>0</v>
      </c>
      <c r="AX33" s="238">
        <v>0</v>
      </c>
      <c r="AY33" s="238">
        <v>0</v>
      </c>
      <c r="AZ33" s="238">
        <v>0</v>
      </c>
      <c r="BA33" s="238">
        <v>0</v>
      </c>
      <c r="BB33" s="238">
        <v>0</v>
      </c>
      <c r="BC33" s="238">
        <v>0</v>
      </c>
      <c r="BD33" s="238">
        <v>0</v>
      </c>
      <c r="BE33" s="238">
        <v>0</v>
      </c>
      <c r="BF33" s="238">
        <v>0</v>
      </c>
      <c r="BG33" s="238">
        <v>0</v>
      </c>
      <c r="BH33" s="238">
        <v>0</v>
      </c>
      <c r="BI33" s="238">
        <v>0</v>
      </c>
      <c r="BJ33" s="238">
        <v>0</v>
      </c>
      <c r="BK33" s="238">
        <v>0</v>
      </c>
      <c r="BL33" s="239">
        <f t="shared" si="3"/>
        <v>0.23333333333333336</v>
      </c>
      <c r="BM33" s="239">
        <f t="shared" si="4"/>
        <v>0</v>
      </c>
      <c r="BN33" s="239">
        <f t="shared" si="5"/>
        <v>0</v>
      </c>
      <c r="BO33" s="239">
        <f t="shared" si="6"/>
        <v>0</v>
      </c>
      <c r="BP33" s="239">
        <f t="shared" si="7"/>
        <v>0</v>
      </c>
    </row>
    <row r="34" spans="1:68" x14ac:dyDescent="0.15">
      <c r="A34" s="232" t="s">
        <v>12</v>
      </c>
      <c r="B34" s="237">
        <f t="shared" si="2"/>
        <v>193680</v>
      </c>
      <c r="C34" t="s">
        <v>74</v>
      </c>
      <c r="D34" s="238">
        <v>0.5</v>
      </c>
      <c r="E34" s="238">
        <v>0.5</v>
      </c>
      <c r="F34" s="238">
        <v>0.5</v>
      </c>
      <c r="G34" s="238">
        <v>0.5</v>
      </c>
      <c r="H34" s="238">
        <v>0.5</v>
      </c>
      <c r="I34" s="238">
        <v>0.5</v>
      </c>
      <c r="J34" s="238">
        <v>0.5</v>
      </c>
      <c r="K34" s="238">
        <v>0.3</v>
      </c>
      <c r="L34" s="238">
        <v>0.3</v>
      </c>
      <c r="M34" s="238">
        <v>0.3</v>
      </c>
      <c r="N34" s="238">
        <v>0.3</v>
      </c>
      <c r="O34" s="238">
        <v>0.3</v>
      </c>
      <c r="P34" s="238">
        <v>0.2</v>
      </c>
      <c r="Q34" s="238">
        <v>0.2</v>
      </c>
      <c r="R34" s="238">
        <v>0.2</v>
      </c>
      <c r="S34" s="238">
        <v>0.2</v>
      </c>
      <c r="T34" s="238">
        <v>0.2</v>
      </c>
      <c r="U34" s="238">
        <v>0.2</v>
      </c>
      <c r="V34" s="238">
        <v>0.2</v>
      </c>
      <c r="W34" s="238">
        <v>0.2</v>
      </c>
      <c r="X34" s="238">
        <v>0.2</v>
      </c>
      <c r="Y34" s="238">
        <v>0.2</v>
      </c>
      <c r="Z34" s="238">
        <v>0.2</v>
      </c>
      <c r="AA34" s="238">
        <v>0.2</v>
      </c>
      <c r="AB34" s="238">
        <v>0.2</v>
      </c>
      <c r="AC34" s="238">
        <v>0.2</v>
      </c>
      <c r="AD34" s="238">
        <v>0.2</v>
      </c>
      <c r="AE34" s="238">
        <v>0.2</v>
      </c>
      <c r="AF34" s="238">
        <v>0.2</v>
      </c>
      <c r="AG34" s="238">
        <v>0.2</v>
      </c>
      <c r="AH34" s="238">
        <v>0.2</v>
      </c>
      <c r="AI34" s="238">
        <v>0.2</v>
      </c>
      <c r="AJ34" s="238">
        <v>0.2</v>
      </c>
      <c r="AK34" s="238">
        <v>0.2</v>
      </c>
      <c r="AL34" s="238">
        <v>0.2</v>
      </c>
      <c r="AM34" s="238">
        <v>0.2</v>
      </c>
      <c r="AN34" s="238">
        <v>0.2</v>
      </c>
      <c r="AO34" s="238">
        <v>0.2</v>
      </c>
      <c r="AP34" s="238">
        <v>0.2</v>
      </c>
      <c r="AQ34" s="238">
        <v>0.2</v>
      </c>
      <c r="AR34" s="238">
        <v>0.2</v>
      </c>
      <c r="AS34" s="238">
        <v>0.2</v>
      </c>
      <c r="AT34" s="238">
        <v>0.2</v>
      </c>
      <c r="AU34" s="238">
        <v>0.2</v>
      </c>
      <c r="AV34" s="238">
        <v>0.2</v>
      </c>
      <c r="AW34" s="238">
        <v>0.2</v>
      </c>
      <c r="AX34" s="238">
        <v>0.2</v>
      </c>
      <c r="AY34" s="238">
        <v>0.2</v>
      </c>
      <c r="AZ34" s="238">
        <v>0.2</v>
      </c>
      <c r="BA34" s="238">
        <v>0.2</v>
      </c>
      <c r="BB34" s="238">
        <v>0.2</v>
      </c>
      <c r="BC34" s="238">
        <v>0.2</v>
      </c>
      <c r="BD34" s="238">
        <v>0.2</v>
      </c>
      <c r="BE34" s="238">
        <v>0.2</v>
      </c>
      <c r="BF34" s="238">
        <v>0.2</v>
      </c>
      <c r="BG34" s="238">
        <v>0.2</v>
      </c>
      <c r="BH34" s="238">
        <v>0.2</v>
      </c>
      <c r="BI34" s="238">
        <v>0.2</v>
      </c>
      <c r="BJ34" s="238">
        <v>0.2</v>
      </c>
      <c r="BK34" s="238">
        <v>0.2</v>
      </c>
      <c r="BL34" s="239">
        <f t="shared" si="3"/>
        <v>0.41666666666666657</v>
      </c>
      <c r="BM34" s="239">
        <f t="shared" si="4"/>
        <v>0.19999999999999998</v>
      </c>
      <c r="BN34" s="239">
        <f t="shared" si="5"/>
        <v>0.19999999999999998</v>
      </c>
      <c r="BO34" s="239">
        <f t="shared" si="6"/>
        <v>0.19999999999999998</v>
      </c>
      <c r="BP34" s="239">
        <f t="shared" si="7"/>
        <v>0.19999999999999998</v>
      </c>
    </row>
    <row r="35" spans="1:68" x14ac:dyDescent="0.15">
      <c r="A35" s="232" t="s">
        <v>13</v>
      </c>
      <c r="B35" s="237">
        <f t="shared" si="2"/>
        <v>301280</v>
      </c>
      <c r="C35" t="s">
        <v>74</v>
      </c>
      <c r="D35" s="240">
        <v>1</v>
      </c>
      <c r="E35" s="240">
        <v>1</v>
      </c>
      <c r="F35" s="238">
        <v>0.5</v>
      </c>
      <c r="G35" s="238">
        <v>0.5</v>
      </c>
      <c r="H35" s="238">
        <v>0.5</v>
      </c>
      <c r="I35" s="238">
        <v>0.5</v>
      </c>
      <c r="J35" s="238">
        <v>0.5</v>
      </c>
      <c r="K35" s="238">
        <v>0.3</v>
      </c>
      <c r="L35" s="238">
        <v>0.3</v>
      </c>
      <c r="M35" s="238">
        <v>0.3</v>
      </c>
      <c r="N35" s="238">
        <v>0.3</v>
      </c>
      <c r="O35" s="238">
        <v>0.3</v>
      </c>
      <c r="P35" s="240">
        <v>0.2</v>
      </c>
      <c r="Q35" s="238">
        <v>0.2</v>
      </c>
      <c r="R35" s="238">
        <v>0.2</v>
      </c>
      <c r="S35" s="238">
        <v>0.2</v>
      </c>
      <c r="T35" s="238">
        <v>0.2</v>
      </c>
      <c r="U35" s="238">
        <v>0.2</v>
      </c>
      <c r="V35" s="238">
        <v>0.2</v>
      </c>
      <c r="W35" s="238">
        <v>0.2</v>
      </c>
      <c r="X35" s="238">
        <v>0.2</v>
      </c>
      <c r="Y35" s="238">
        <v>0.2</v>
      </c>
      <c r="Z35" s="238">
        <v>0.2</v>
      </c>
      <c r="AA35" s="238">
        <v>0.2</v>
      </c>
      <c r="AB35" s="238">
        <v>0.2</v>
      </c>
      <c r="AC35" s="238">
        <v>0.2</v>
      </c>
      <c r="AD35" s="238">
        <v>0.2</v>
      </c>
      <c r="AE35" s="238">
        <v>0.2</v>
      </c>
      <c r="AF35" s="238">
        <v>0.2</v>
      </c>
      <c r="AG35" s="238">
        <v>0.2</v>
      </c>
      <c r="AH35" s="238">
        <v>0.2</v>
      </c>
      <c r="AI35" s="238">
        <v>0.2</v>
      </c>
      <c r="AJ35" s="238">
        <v>0.2</v>
      </c>
      <c r="AK35" s="238">
        <v>0.2</v>
      </c>
      <c r="AL35" s="238">
        <v>0.2</v>
      </c>
      <c r="AM35" s="238">
        <v>0.2</v>
      </c>
      <c r="AN35" s="238">
        <v>0.2</v>
      </c>
      <c r="AO35" s="238">
        <v>0.2</v>
      </c>
      <c r="AP35" s="238">
        <v>0.2</v>
      </c>
      <c r="AQ35" s="238">
        <v>0.2</v>
      </c>
      <c r="AR35" s="238">
        <v>0.2</v>
      </c>
      <c r="AS35" s="238">
        <v>0.2</v>
      </c>
      <c r="AT35" s="238">
        <v>0.2</v>
      </c>
      <c r="AU35" s="238">
        <v>0.2</v>
      </c>
      <c r="AV35" s="238">
        <v>0.2</v>
      </c>
      <c r="AW35" s="238">
        <v>0.2</v>
      </c>
      <c r="AX35" s="238">
        <v>0.2</v>
      </c>
      <c r="AY35" s="238">
        <v>0.2</v>
      </c>
      <c r="AZ35" s="238">
        <v>0.2</v>
      </c>
      <c r="BA35" s="238">
        <v>0.2</v>
      </c>
      <c r="BB35" s="238">
        <v>0.2</v>
      </c>
      <c r="BC35" s="238">
        <v>0.2</v>
      </c>
      <c r="BD35" s="238">
        <v>0.2</v>
      </c>
      <c r="BE35" s="238">
        <v>0.2</v>
      </c>
      <c r="BF35" s="238">
        <v>0.2</v>
      </c>
      <c r="BG35" s="238">
        <v>0.2</v>
      </c>
      <c r="BH35" s="238">
        <v>0.2</v>
      </c>
      <c r="BI35" s="238">
        <v>0.2</v>
      </c>
      <c r="BJ35" s="238">
        <v>0.2</v>
      </c>
      <c r="BK35" s="238">
        <v>0.2</v>
      </c>
      <c r="BL35" s="239">
        <f t="shared" si="3"/>
        <v>0.49999999999999994</v>
      </c>
      <c r="BM35" s="239">
        <f t="shared" si="4"/>
        <v>0.19999999999999998</v>
      </c>
      <c r="BN35" s="239">
        <f t="shared" si="5"/>
        <v>0.19999999999999998</v>
      </c>
      <c r="BO35" s="239">
        <f t="shared" si="6"/>
        <v>0.19999999999999998</v>
      </c>
      <c r="BP35" s="239">
        <f t="shared" si="7"/>
        <v>0.19999999999999998</v>
      </c>
    </row>
    <row r="36" spans="1:68" x14ac:dyDescent="0.15">
      <c r="A36" s="232" t="s">
        <v>75</v>
      </c>
      <c r="B36" s="237">
        <f t="shared" si="2"/>
        <v>269000</v>
      </c>
      <c r="C36" t="s">
        <v>74</v>
      </c>
      <c r="D36" s="240">
        <v>1</v>
      </c>
      <c r="E36" s="240">
        <v>1</v>
      </c>
      <c r="F36" s="238">
        <v>1.5</v>
      </c>
      <c r="G36" s="238">
        <v>1.5</v>
      </c>
      <c r="H36" s="238">
        <v>1.5</v>
      </c>
      <c r="I36" s="238">
        <v>1.5</v>
      </c>
      <c r="J36" s="238">
        <v>1.5</v>
      </c>
      <c r="K36" s="238">
        <v>0.5</v>
      </c>
      <c r="L36" s="238">
        <v>0.5</v>
      </c>
      <c r="M36" s="238">
        <v>0.5</v>
      </c>
      <c r="N36" s="238">
        <v>0.5</v>
      </c>
      <c r="O36" s="238">
        <v>0.5</v>
      </c>
      <c r="P36" s="238">
        <v>0.2</v>
      </c>
      <c r="Q36" s="238">
        <v>0.2</v>
      </c>
      <c r="R36" s="238">
        <v>0.2</v>
      </c>
      <c r="S36" s="238">
        <v>0.2</v>
      </c>
      <c r="T36" s="238">
        <v>0.2</v>
      </c>
      <c r="U36" s="238">
        <v>0.2</v>
      </c>
      <c r="V36" s="238">
        <v>0.2</v>
      </c>
      <c r="W36" s="238">
        <v>0.2</v>
      </c>
      <c r="X36" s="238">
        <v>0.2</v>
      </c>
      <c r="Y36" s="238">
        <v>0.2</v>
      </c>
      <c r="Z36" s="238">
        <v>0.2</v>
      </c>
      <c r="AA36" s="238">
        <v>0.2</v>
      </c>
      <c r="AB36" s="238">
        <v>0.2</v>
      </c>
      <c r="AC36" s="238">
        <v>0.2</v>
      </c>
      <c r="AD36" s="238">
        <v>0.2</v>
      </c>
      <c r="AE36" s="238">
        <v>0.2</v>
      </c>
      <c r="AF36" s="238">
        <v>0.2</v>
      </c>
      <c r="AG36" s="238">
        <v>0.2</v>
      </c>
      <c r="AH36" s="238">
        <v>0.2</v>
      </c>
      <c r="AI36" s="238">
        <v>0.2</v>
      </c>
      <c r="AJ36" s="238">
        <v>0.2</v>
      </c>
      <c r="AK36" s="238">
        <v>0.2</v>
      </c>
      <c r="AL36" s="238">
        <v>0.2</v>
      </c>
      <c r="AM36" s="238">
        <v>0.2</v>
      </c>
      <c r="AN36" s="238">
        <v>0.2</v>
      </c>
      <c r="AO36" s="238">
        <v>0.2</v>
      </c>
      <c r="AP36" s="238">
        <v>0.2</v>
      </c>
      <c r="AQ36" s="238">
        <v>0.2</v>
      </c>
      <c r="AR36" s="238">
        <v>0.2</v>
      </c>
      <c r="AS36" s="238">
        <v>0.2</v>
      </c>
      <c r="AT36" s="238">
        <v>0.2</v>
      </c>
      <c r="AU36" s="238">
        <v>0.2</v>
      </c>
      <c r="AV36" s="238">
        <v>0.2</v>
      </c>
      <c r="AW36" s="238">
        <v>0.2</v>
      </c>
      <c r="AX36" s="238">
        <v>0.2</v>
      </c>
      <c r="AY36" s="238">
        <v>0.2</v>
      </c>
      <c r="AZ36" s="238">
        <v>0.2</v>
      </c>
      <c r="BA36" s="238">
        <v>0.2</v>
      </c>
      <c r="BB36" s="238">
        <v>0.2</v>
      </c>
      <c r="BC36" s="238">
        <v>0.2</v>
      </c>
      <c r="BD36" s="238">
        <v>0.2</v>
      </c>
      <c r="BE36" s="238">
        <v>0.2</v>
      </c>
      <c r="BF36" s="238">
        <v>0.2</v>
      </c>
      <c r="BG36" s="238">
        <v>0.2</v>
      </c>
      <c r="BH36" s="238">
        <v>0.2</v>
      </c>
      <c r="BI36" s="238">
        <v>0.2</v>
      </c>
      <c r="BJ36" s="238">
        <v>0.2</v>
      </c>
      <c r="BK36" s="238">
        <v>0.2</v>
      </c>
      <c r="BL36" s="239">
        <f t="shared" si="3"/>
        <v>1</v>
      </c>
      <c r="BM36" s="239">
        <f t="shared" si="4"/>
        <v>0.19999999999999998</v>
      </c>
      <c r="BN36" s="239">
        <f t="shared" si="5"/>
        <v>0.19999999999999998</v>
      </c>
      <c r="BO36" s="239">
        <f t="shared" si="6"/>
        <v>0.19999999999999998</v>
      </c>
      <c r="BP36" s="239">
        <f t="shared" si="7"/>
        <v>0.19999999999999998</v>
      </c>
    </row>
    <row r="37" spans="1:68" x14ac:dyDescent="0.15">
      <c r="A37" s="232" t="s">
        <v>76</v>
      </c>
      <c r="B37" s="237">
        <f t="shared" si="2"/>
        <v>215200</v>
      </c>
      <c r="C37" t="s">
        <v>74</v>
      </c>
      <c r="D37" s="240">
        <v>0.5</v>
      </c>
      <c r="E37" s="240">
        <v>0.5</v>
      </c>
      <c r="F37" s="238">
        <v>1</v>
      </c>
      <c r="G37" s="238">
        <v>1</v>
      </c>
      <c r="H37" s="238">
        <v>1.5</v>
      </c>
      <c r="I37" s="238">
        <v>1.5</v>
      </c>
      <c r="J37" s="238">
        <v>1.5</v>
      </c>
      <c r="K37" s="238">
        <v>0.5</v>
      </c>
      <c r="L37" s="238">
        <v>0.5</v>
      </c>
      <c r="M37" s="238">
        <v>0.5</v>
      </c>
      <c r="N37" s="238">
        <v>0.5</v>
      </c>
      <c r="O37" s="238">
        <v>0.5</v>
      </c>
      <c r="P37" s="238">
        <v>0.2</v>
      </c>
      <c r="Q37" s="238">
        <v>0.2</v>
      </c>
      <c r="R37" s="238">
        <v>0.2</v>
      </c>
      <c r="S37" s="238">
        <v>0.2</v>
      </c>
      <c r="T37" s="238">
        <v>0.2</v>
      </c>
      <c r="U37" s="238">
        <v>0.2</v>
      </c>
      <c r="V37" s="238">
        <v>0.2</v>
      </c>
      <c r="W37" s="238">
        <v>0.2</v>
      </c>
      <c r="X37" s="238">
        <v>0.2</v>
      </c>
      <c r="Y37" s="238">
        <v>0.2</v>
      </c>
      <c r="Z37" s="238">
        <v>0.2</v>
      </c>
      <c r="AA37" s="238">
        <v>0.2</v>
      </c>
      <c r="AB37" s="238">
        <v>0.2</v>
      </c>
      <c r="AC37" s="238">
        <v>0.2</v>
      </c>
      <c r="AD37" s="238">
        <v>0.2</v>
      </c>
      <c r="AE37" s="238">
        <v>0.2</v>
      </c>
      <c r="AF37" s="238">
        <v>0.2</v>
      </c>
      <c r="AG37" s="238">
        <v>0.2</v>
      </c>
      <c r="AH37" s="238">
        <v>0.2</v>
      </c>
      <c r="AI37" s="238">
        <v>0.2</v>
      </c>
      <c r="AJ37" s="238">
        <v>0.2</v>
      </c>
      <c r="AK37" s="238">
        <v>0.2</v>
      </c>
      <c r="AL37" s="238">
        <v>0.2</v>
      </c>
      <c r="AM37" s="238">
        <v>0.2</v>
      </c>
      <c r="AN37" s="238">
        <v>0.2</v>
      </c>
      <c r="AO37" s="238">
        <v>0.2</v>
      </c>
      <c r="AP37" s="238">
        <v>0.2</v>
      </c>
      <c r="AQ37" s="238">
        <v>0.2</v>
      </c>
      <c r="AR37" s="238">
        <v>0.2</v>
      </c>
      <c r="AS37" s="238">
        <v>0.2</v>
      </c>
      <c r="AT37" s="238">
        <v>0.2</v>
      </c>
      <c r="AU37" s="238">
        <v>0.2</v>
      </c>
      <c r="AV37" s="238">
        <v>0.2</v>
      </c>
      <c r="AW37" s="238">
        <v>0.2</v>
      </c>
      <c r="AX37" s="238">
        <v>0.2</v>
      </c>
      <c r="AY37" s="238">
        <v>0.2</v>
      </c>
      <c r="AZ37" s="238">
        <v>0.2</v>
      </c>
      <c r="BA37" s="238">
        <v>0.2</v>
      </c>
      <c r="BB37" s="238">
        <v>0.2</v>
      </c>
      <c r="BC37" s="238">
        <v>0.2</v>
      </c>
      <c r="BD37" s="238">
        <v>0.2</v>
      </c>
      <c r="BE37" s="238">
        <v>0.2</v>
      </c>
      <c r="BF37" s="238">
        <v>0.2</v>
      </c>
      <c r="BG37" s="238">
        <v>0.2</v>
      </c>
      <c r="BH37" s="238">
        <v>0.2</v>
      </c>
      <c r="BI37" s="238">
        <v>0.2</v>
      </c>
      <c r="BJ37" s="238">
        <v>0.2</v>
      </c>
      <c r="BK37" s="238">
        <v>0.2</v>
      </c>
      <c r="BL37" s="239">
        <f t="shared" si="3"/>
        <v>0.83333333333333337</v>
      </c>
      <c r="BM37" s="239">
        <f t="shared" si="4"/>
        <v>0.19999999999999998</v>
      </c>
      <c r="BN37" s="239">
        <f t="shared" si="5"/>
        <v>0.19999999999999998</v>
      </c>
      <c r="BO37" s="239">
        <f t="shared" si="6"/>
        <v>0.19999999999999998</v>
      </c>
      <c r="BP37" s="239">
        <f t="shared" si="7"/>
        <v>0.19999999999999998</v>
      </c>
    </row>
    <row r="38" spans="1:68" x14ac:dyDescent="0.15">
      <c r="A38" s="232" t="s">
        <v>77</v>
      </c>
      <c r="B38" s="237">
        <f t="shared" si="2"/>
        <v>161400</v>
      </c>
      <c r="C38" t="s">
        <v>74</v>
      </c>
      <c r="D38" s="240">
        <v>0.3</v>
      </c>
      <c r="E38" s="240">
        <v>0.3</v>
      </c>
      <c r="F38" s="238">
        <v>0.5</v>
      </c>
      <c r="G38" s="238">
        <v>0.5</v>
      </c>
      <c r="H38" s="238">
        <v>0.7</v>
      </c>
      <c r="I38" s="238">
        <v>0.7</v>
      </c>
      <c r="J38" s="238">
        <v>0.7</v>
      </c>
      <c r="K38" s="238">
        <v>0.3</v>
      </c>
      <c r="L38" s="238">
        <v>0.3</v>
      </c>
      <c r="M38" s="238">
        <v>0.3</v>
      </c>
      <c r="N38" s="238">
        <v>0.3</v>
      </c>
      <c r="O38" s="238">
        <v>0.3</v>
      </c>
      <c r="P38" s="238">
        <v>0.1</v>
      </c>
      <c r="Q38" s="238">
        <v>0.1</v>
      </c>
      <c r="R38" s="238">
        <v>0.1</v>
      </c>
      <c r="S38" s="238">
        <v>0.1</v>
      </c>
      <c r="T38" s="238">
        <v>0.1</v>
      </c>
      <c r="U38" s="238">
        <v>0.1</v>
      </c>
      <c r="V38" s="238">
        <v>0.1</v>
      </c>
      <c r="W38" s="238">
        <v>0.1</v>
      </c>
      <c r="X38" s="238">
        <v>0.1</v>
      </c>
      <c r="Y38" s="238">
        <v>0.1</v>
      </c>
      <c r="Z38" s="238">
        <v>0.1</v>
      </c>
      <c r="AA38" s="238">
        <v>0.1</v>
      </c>
      <c r="AB38" s="238">
        <v>0.1</v>
      </c>
      <c r="AC38" s="238">
        <v>0.1</v>
      </c>
      <c r="AD38" s="238">
        <v>0.1</v>
      </c>
      <c r="AE38" s="238">
        <v>0.1</v>
      </c>
      <c r="AF38" s="238">
        <v>0.1</v>
      </c>
      <c r="AG38" s="238">
        <v>0.1</v>
      </c>
      <c r="AH38" s="238">
        <v>0.1</v>
      </c>
      <c r="AI38" s="238">
        <v>0.1</v>
      </c>
      <c r="AJ38" s="238">
        <v>0.1</v>
      </c>
      <c r="AK38" s="238">
        <v>0.1</v>
      </c>
      <c r="AL38" s="238">
        <v>0.1</v>
      </c>
      <c r="AM38" s="238">
        <v>0.1</v>
      </c>
      <c r="AN38" s="238">
        <v>0.1</v>
      </c>
      <c r="AO38" s="238">
        <v>0.1</v>
      </c>
      <c r="AP38" s="238">
        <v>0.1</v>
      </c>
      <c r="AQ38" s="238">
        <v>0.1</v>
      </c>
      <c r="AR38" s="238">
        <v>0.1</v>
      </c>
      <c r="AS38" s="238">
        <v>0.1</v>
      </c>
      <c r="AT38" s="238">
        <v>0.1</v>
      </c>
      <c r="AU38" s="238">
        <v>0.1</v>
      </c>
      <c r="AV38" s="238">
        <v>0.1</v>
      </c>
      <c r="AW38" s="238">
        <v>0.1</v>
      </c>
      <c r="AX38" s="238">
        <v>0.1</v>
      </c>
      <c r="AY38" s="238">
        <v>0.1</v>
      </c>
      <c r="AZ38" s="238">
        <v>0.1</v>
      </c>
      <c r="BA38" s="238">
        <v>0.1</v>
      </c>
      <c r="BB38" s="238">
        <v>0.1</v>
      </c>
      <c r="BC38" s="238">
        <v>0.1</v>
      </c>
      <c r="BD38" s="238">
        <v>0.1</v>
      </c>
      <c r="BE38" s="238">
        <v>0.1</v>
      </c>
      <c r="BF38" s="238">
        <v>0.1</v>
      </c>
      <c r="BG38" s="238">
        <v>0.1</v>
      </c>
      <c r="BH38" s="238">
        <v>0.1</v>
      </c>
      <c r="BI38" s="238">
        <v>0.1</v>
      </c>
      <c r="BJ38" s="238">
        <v>0.1</v>
      </c>
      <c r="BK38" s="238">
        <v>0.1</v>
      </c>
      <c r="BL38" s="239">
        <f t="shared" si="3"/>
        <v>0.43333333333333329</v>
      </c>
      <c r="BM38" s="239">
        <f t="shared" si="4"/>
        <v>9.9999999999999992E-2</v>
      </c>
      <c r="BN38" s="239">
        <f t="shared" si="5"/>
        <v>9.9999999999999992E-2</v>
      </c>
      <c r="BO38" s="239">
        <f t="shared" si="6"/>
        <v>9.9999999999999992E-2</v>
      </c>
      <c r="BP38" s="239">
        <f t="shared" si="7"/>
        <v>9.9999999999999992E-2</v>
      </c>
    </row>
    <row r="39" spans="1:68" x14ac:dyDescent="0.15">
      <c r="A39" s="232" t="s">
        <v>78</v>
      </c>
      <c r="B39" s="237">
        <f t="shared" si="2"/>
        <v>236720.00000000003</v>
      </c>
      <c r="C39" t="s">
        <v>74</v>
      </c>
      <c r="D39" s="238">
        <v>0.1</v>
      </c>
      <c r="E39" s="238">
        <v>0.1</v>
      </c>
      <c r="F39" s="238">
        <v>0.1</v>
      </c>
      <c r="G39" s="238">
        <v>0.1</v>
      </c>
      <c r="H39" s="238">
        <v>0.5</v>
      </c>
      <c r="I39" s="238">
        <v>0.5</v>
      </c>
      <c r="J39" s="238">
        <v>0.5</v>
      </c>
      <c r="K39" s="238">
        <v>0.2</v>
      </c>
      <c r="L39" s="238">
        <v>0.2</v>
      </c>
      <c r="M39" s="238">
        <v>0.2</v>
      </c>
      <c r="N39" s="238">
        <v>0.2</v>
      </c>
      <c r="O39" s="238">
        <v>0.2</v>
      </c>
      <c r="P39" s="238">
        <v>0.1</v>
      </c>
      <c r="Q39" s="238">
        <v>0.1</v>
      </c>
      <c r="R39" s="238">
        <v>0.1</v>
      </c>
      <c r="S39" s="238">
        <v>0.1</v>
      </c>
      <c r="T39" s="238">
        <v>0.1</v>
      </c>
      <c r="U39" s="238">
        <v>0.1</v>
      </c>
      <c r="V39" s="238">
        <v>0.1</v>
      </c>
      <c r="W39" s="238">
        <v>0.1</v>
      </c>
      <c r="X39" s="238">
        <v>0.1</v>
      </c>
      <c r="Y39" s="238">
        <v>0.1</v>
      </c>
      <c r="Z39" s="238">
        <v>0.1</v>
      </c>
      <c r="AA39" s="238">
        <v>0.1</v>
      </c>
      <c r="AB39" s="238">
        <v>0.1</v>
      </c>
      <c r="AC39" s="238">
        <v>0.1</v>
      </c>
      <c r="AD39" s="238">
        <v>0.1</v>
      </c>
      <c r="AE39" s="238">
        <v>0.1</v>
      </c>
      <c r="AF39" s="238">
        <v>0.1</v>
      </c>
      <c r="AG39" s="238">
        <v>0.1</v>
      </c>
      <c r="AH39" s="238">
        <v>0.1</v>
      </c>
      <c r="AI39" s="238">
        <v>0.1</v>
      </c>
      <c r="AJ39" s="238">
        <v>0.1</v>
      </c>
      <c r="AK39" s="238">
        <v>0.1</v>
      </c>
      <c r="AL39" s="238">
        <v>0.1</v>
      </c>
      <c r="AM39" s="238">
        <v>0.1</v>
      </c>
      <c r="AN39" s="238">
        <v>0.1</v>
      </c>
      <c r="AO39" s="238">
        <v>0.1</v>
      </c>
      <c r="AP39" s="238">
        <v>0.1</v>
      </c>
      <c r="AQ39" s="238">
        <v>0.1</v>
      </c>
      <c r="AR39" s="238">
        <v>0.1</v>
      </c>
      <c r="AS39" s="238">
        <v>0.1</v>
      </c>
      <c r="AT39" s="238">
        <v>0.1</v>
      </c>
      <c r="AU39" s="238">
        <v>0.1</v>
      </c>
      <c r="AV39" s="238">
        <v>0.1</v>
      </c>
      <c r="AW39" s="238">
        <v>0.1</v>
      </c>
      <c r="AX39" s="238">
        <v>0.1</v>
      </c>
      <c r="AY39" s="238">
        <v>0.1</v>
      </c>
      <c r="AZ39" s="238">
        <v>0.1</v>
      </c>
      <c r="BA39" s="238">
        <v>0.1</v>
      </c>
      <c r="BB39" s="238">
        <v>0.1</v>
      </c>
      <c r="BC39" s="238">
        <v>0.1</v>
      </c>
      <c r="BD39" s="238">
        <v>0.1</v>
      </c>
      <c r="BE39" s="238">
        <v>0.1</v>
      </c>
      <c r="BF39" s="238">
        <v>0.1</v>
      </c>
      <c r="BG39" s="238">
        <v>0.1</v>
      </c>
      <c r="BH39" s="238">
        <v>0.1</v>
      </c>
      <c r="BI39" s="238">
        <v>0.1</v>
      </c>
      <c r="BJ39" s="238">
        <v>0.1</v>
      </c>
      <c r="BK39" s="238">
        <v>0.1</v>
      </c>
      <c r="BL39" s="239">
        <f t="shared" si="3"/>
        <v>0.24166666666666672</v>
      </c>
      <c r="BM39" s="239">
        <f t="shared" si="4"/>
        <v>9.9999999999999992E-2</v>
      </c>
      <c r="BN39" s="239">
        <f t="shared" si="5"/>
        <v>9.9999999999999992E-2</v>
      </c>
      <c r="BO39" s="239">
        <f t="shared" si="6"/>
        <v>9.9999999999999992E-2</v>
      </c>
      <c r="BP39" s="239">
        <f t="shared" si="7"/>
        <v>9.9999999999999992E-2</v>
      </c>
    </row>
    <row r="40" spans="1:68" x14ac:dyDescent="0.15">
      <c r="A40" s="241" t="s">
        <v>79</v>
      </c>
      <c r="D40" s="242">
        <f t="shared" ref="D40:AI40" si="8">SUM(D32:D39)</f>
        <v>4.8999999999999995</v>
      </c>
      <c r="E40" s="242">
        <f t="shared" si="8"/>
        <v>4.8999999999999995</v>
      </c>
      <c r="F40" s="242">
        <f t="shared" si="8"/>
        <v>5.0999999999999996</v>
      </c>
      <c r="G40" s="242">
        <f t="shared" si="8"/>
        <v>5.0999999999999996</v>
      </c>
      <c r="H40" s="242">
        <f t="shared" si="8"/>
        <v>6.9</v>
      </c>
      <c r="I40" s="242">
        <f t="shared" si="8"/>
        <v>6.5</v>
      </c>
      <c r="J40" s="242">
        <f t="shared" si="8"/>
        <v>6.5</v>
      </c>
      <c r="K40" s="242">
        <f t="shared" si="8"/>
        <v>2.5</v>
      </c>
      <c r="L40" s="242">
        <f t="shared" si="8"/>
        <v>2.5</v>
      </c>
      <c r="M40" s="242">
        <f t="shared" si="8"/>
        <v>2.5</v>
      </c>
      <c r="N40" s="242">
        <f t="shared" si="8"/>
        <v>2.5</v>
      </c>
      <c r="O40" s="242">
        <f t="shared" si="8"/>
        <v>2.5</v>
      </c>
      <c r="P40" s="242">
        <f t="shared" si="8"/>
        <v>1.0999999999999999</v>
      </c>
      <c r="Q40" s="242">
        <f t="shared" si="8"/>
        <v>1.0999999999999999</v>
      </c>
      <c r="R40" s="242">
        <f t="shared" si="8"/>
        <v>1.0999999999999999</v>
      </c>
      <c r="S40" s="242">
        <f t="shared" si="8"/>
        <v>1.0999999999999999</v>
      </c>
      <c r="T40" s="242">
        <f t="shared" si="8"/>
        <v>1.0999999999999999</v>
      </c>
      <c r="U40" s="242">
        <f t="shared" si="8"/>
        <v>1.0999999999999999</v>
      </c>
      <c r="V40" s="242">
        <f t="shared" si="8"/>
        <v>1.0999999999999999</v>
      </c>
      <c r="W40" s="242">
        <f t="shared" si="8"/>
        <v>1.0999999999999999</v>
      </c>
      <c r="X40" s="242">
        <f t="shared" si="8"/>
        <v>1.0999999999999999</v>
      </c>
      <c r="Y40" s="242">
        <f t="shared" si="8"/>
        <v>1.0999999999999999</v>
      </c>
      <c r="Z40" s="242">
        <f t="shared" si="8"/>
        <v>1.0999999999999999</v>
      </c>
      <c r="AA40" s="242">
        <f t="shared" si="8"/>
        <v>1.0999999999999999</v>
      </c>
      <c r="AB40" s="242">
        <f t="shared" si="8"/>
        <v>1.0999999999999999</v>
      </c>
      <c r="AC40" s="242">
        <f t="shared" si="8"/>
        <v>1.0999999999999999</v>
      </c>
      <c r="AD40" s="242">
        <f t="shared" si="8"/>
        <v>1.0999999999999999</v>
      </c>
      <c r="AE40" s="242">
        <f t="shared" si="8"/>
        <v>1.0999999999999999</v>
      </c>
      <c r="AF40" s="242">
        <f t="shared" si="8"/>
        <v>1.0999999999999999</v>
      </c>
      <c r="AG40" s="242">
        <f t="shared" si="8"/>
        <v>1.0999999999999999</v>
      </c>
      <c r="AH40" s="242">
        <f t="shared" si="8"/>
        <v>1.0999999999999999</v>
      </c>
      <c r="AI40" s="242">
        <f t="shared" si="8"/>
        <v>1.0999999999999999</v>
      </c>
      <c r="AJ40" s="242">
        <f t="shared" ref="AJ40:BK40" si="9">SUM(AJ32:AJ39)</f>
        <v>1.0999999999999999</v>
      </c>
      <c r="AK40" s="242">
        <f t="shared" si="9"/>
        <v>1.0999999999999999</v>
      </c>
      <c r="AL40" s="242">
        <f t="shared" si="9"/>
        <v>1.0999999999999999</v>
      </c>
      <c r="AM40" s="242">
        <f t="shared" si="9"/>
        <v>1.0999999999999999</v>
      </c>
      <c r="AN40" s="242">
        <f t="shared" si="9"/>
        <v>1.0999999999999999</v>
      </c>
      <c r="AO40" s="242">
        <f t="shared" si="9"/>
        <v>1.0999999999999999</v>
      </c>
      <c r="AP40" s="242">
        <f t="shared" si="9"/>
        <v>1.0999999999999999</v>
      </c>
      <c r="AQ40" s="242">
        <f t="shared" si="9"/>
        <v>1.0999999999999999</v>
      </c>
      <c r="AR40" s="242">
        <f t="shared" si="9"/>
        <v>1.0999999999999999</v>
      </c>
      <c r="AS40" s="242">
        <f t="shared" si="9"/>
        <v>1.0999999999999999</v>
      </c>
      <c r="AT40" s="242">
        <f t="shared" si="9"/>
        <v>1.0999999999999999</v>
      </c>
      <c r="AU40" s="242">
        <f t="shared" si="9"/>
        <v>1.0999999999999999</v>
      </c>
      <c r="AV40" s="242">
        <f t="shared" si="9"/>
        <v>1.0999999999999999</v>
      </c>
      <c r="AW40" s="242">
        <f t="shared" si="9"/>
        <v>1.0999999999999999</v>
      </c>
      <c r="AX40" s="242">
        <f t="shared" si="9"/>
        <v>1.0999999999999999</v>
      </c>
      <c r="AY40" s="242">
        <f t="shared" si="9"/>
        <v>1.0999999999999999</v>
      </c>
      <c r="AZ40" s="242">
        <f t="shared" si="9"/>
        <v>1.0999999999999999</v>
      </c>
      <c r="BA40" s="242">
        <f t="shared" si="9"/>
        <v>1.0999999999999999</v>
      </c>
      <c r="BB40" s="242">
        <f t="shared" si="9"/>
        <v>1.0999999999999999</v>
      </c>
      <c r="BC40" s="242">
        <f t="shared" si="9"/>
        <v>1.0999999999999999</v>
      </c>
      <c r="BD40" s="242">
        <f t="shared" si="9"/>
        <v>1.0999999999999999</v>
      </c>
      <c r="BE40" s="242">
        <f t="shared" si="9"/>
        <v>1.0999999999999999</v>
      </c>
      <c r="BF40" s="242">
        <f t="shared" si="9"/>
        <v>1.0999999999999999</v>
      </c>
      <c r="BG40" s="242">
        <f t="shared" si="9"/>
        <v>1.0999999999999999</v>
      </c>
      <c r="BH40" s="242">
        <f t="shared" si="9"/>
        <v>1.0999999999999999</v>
      </c>
      <c r="BI40" s="242">
        <f t="shared" si="9"/>
        <v>1.0999999999999999</v>
      </c>
      <c r="BJ40" s="242">
        <f t="shared" si="9"/>
        <v>1.0999999999999999</v>
      </c>
      <c r="BK40" s="242">
        <f t="shared" si="9"/>
        <v>1.0999999999999999</v>
      </c>
      <c r="BL40" s="243">
        <f t="shared" si="3"/>
        <v>4.3666666666666663</v>
      </c>
      <c r="BM40" s="243">
        <f t="shared" si="4"/>
        <v>1.0999999999999999</v>
      </c>
      <c r="BN40" s="243">
        <f t="shared" si="5"/>
        <v>1.0999999999999999</v>
      </c>
      <c r="BO40" s="243">
        <f t="shared" si="6"/>
        <v>1.0999999999999999</v>
      </c>
      <c r="BP40" s="243">
        <f t="shared" si="7"/>
        <v>1.0999999999999999</v>
      </c>
    </row>
    <row r="42" spans="1:68" ht="16" customHeight="1" x14ac:dyDescent="0.2">
      <c r="A42" s="319" t="s">
        <v>80</v>
      </c>
      <c r="B42" s="315"/>
      <c r="C42" s="315"/>
      <c r="D42" s="315"/>
      <c r="E42" s="315"/>
      <c r="F42" s="315"/>
      <c r="G42" s="315"/>
      <c r="H42" s="315"/>
      <c r="I42" s="315"/>
      <c r="J42" s="315"/>
      <c r="K42" s="315"/>
      <c r="L42" s="315"/>
      <c r="M42" s="315"/>
      <c r="N42" s="315"/>
    </row>
    <row r="43" spans="1:68" x14ac:dyDescent="0.15">
      <c r="A43" s="244" t="s">
        <v>81</v>
      </c>
      <c r="B43" s="233">
        <v>7.0000000000000007E-2</v>
      </c>
      <c r="C43" t="s">
        <v>82</v>
      </c>
      <c r="D43" s="245">
        <f t="shared" ref="D43:O43" si="10">(1+$B$43)^0</f>
        <v>1</v>
      </c>
      <c r="E43" s="245">
        <f t="shared" si="10"/>
        <v>1</v>
      </c>
      <c r="F43" s="245">
        <f t="shared" si="10"/>
        <v>1</v>
      </c>
      <c r="G43" s="245">
        <f t="shared" si="10"/>
        <v>1</v>
      </c>
      <c r="H43" s="245">
        <f t="shared" si="10"/>
        <v>1</v>
      </c>
      <c r="I43" s="245">
        <f t="shared" si="10"/>
        <v>1</v>
      </c>
      <c r="J43" s="245">
        <f t="shared" si="10"/>
        <v>1</v>
      </c>
      <c r="K43" s="245">
        <f t="shared" si="10"/>
        <v>1</v>
      </c>
      <c r="L43" s="245">
        <f t="shared" si="10"/>
        <v>1</v>
      </c>
      <c r="M43" s="245">
        <f t="shared" si="10"/>
        <v>1</v>
      </c>
      <c r="N43" s="245">
        <f t="shared" si="10"/>
        <v>1</v>
      </c>
      <c r="O43" s="245">
        <f t="shared" si="10"/>
        <v>1</v>
      </c>
      <c r="P43" s="245">
        <f t="shared" ref="P43:AA43" si="11">(1+$B$43)^1</f>
        <v>1.07</v>
      </c>
      <c r="Q43" s="245">
        <f t="shared" si="11"/>
        <v>1.07</v>
      </c>
      <c r="R43" s="245">
        <f t="shared" si="11"/>
        <v>1.07</v>
      </c>
      <c r="S43" s="245">
        <f t="shared" si="11"/>
        <v>1.07</v>
      </c>
      <c r="T43" s="245">
        <f t="shared" si="11"/>
        <v>1.07</v>
      </c>
      <c r="U43" s="245">
        <f t="shared" si="11"/>
        <v>1.07</v>
      </c>
      <c r="V43" s="245">
        <f t="shared" si="11"/>
        <v>1.07</v>
      </c>
      <c r="W43" s="245">
        <f t="shared" si="11"/>
        <v>1.07</v>
      </c>
      <c r="X43" s="245">
        <f t="shared" si="11"/>
        <v>1.07</v>
      </c>
      <c r="Y43" s="245">
        <f t="shared" si="11"/>
        <v>1.07</v>
      </c>
      <c r="Z43" s="245">
        <f t="shared" si="11"/>
        <v>1.07</v>
      </c>
      <c r="AA43" s="245">
        <f t="shared" si="11"/>
        <v>1.07</v>
      </c>
      <c r="AB43" s="245">
        <f t="shared" ref="AB43:AM43" si="12">(1+$B$43)^2</f>
        <v>1.1449</v>
      </c>
      <c r="AC43" s="245">
        <f t="shared" si="12"/>
        <v>1.1449</v>
      </c>
      <c r="AD43" s="245">
        <f t="shared" si="12"/>
        <v>1.1449</v>
      </c>
      <c r="AE43" s="245">
        <f t="shared" si="12"/>
        <v>1.1449</v>
      </c>
      <c r="AF43" s="245">
        <f t="shared" si="12"/>
        <v>1.1449</v>
      </c>
      <c r="AG43" s="245">
        <f t="shared" si="12"/>
        <v>1.1449</v>
      </c>
      <c r="AH43" s="245">
        <f t="shared" si="12"/>
        <v>1.1449</v>
      </c>
      <c r="AI43" s="245">
        <f t="shared" si="12"/>
        <v>1.1449</v>
      </c>
      <c r="AJ43" s="245">
        <f t="shared" si="12"/>
        <v>1.1449</v>
      </c>
      <c r="AK43" s="245">
        <f t="shared" si="12"/>
        <v>1.1449</v>
      </c>
      <c r="AL43" s="245">
        <f t="shared" si="12"/>
        <v>1.1449</v>
      </c>
      <c r="AM43" s="245">
        <f t="shared" si="12"/>
        <v>1.1449</v>
      </c>
      <c r="AN43" s="245">
        <f t="shared" ref="AN43:AY43" si="13">(1+$B$43)^3</f>
        <v>1.2250430000000001</v>
      </c>
      <c r="AO43" s="245">
        <f t="shared" si="13"/>
        <v>1.2250430000000001</v>
      </c>
      <c r="AP43" s="245">
        <f t="shared" si="13"/>
        <v>1.2250430000000001</v>
      </c>
      <c r="AQ43" s="245">
        <f t="shared" si="13"/>
        <v>1.2250430000000001</v>
      </c>
      <c r="AR43" s="245">
        <f t="shared" si="13"/>
        <v>1.2250430000000001</v>
      </c>
      <c r="AS43" s="245">
        <f t="shared" si="13"/>
        <v>1.2250430000000001</v>
      </c>
      <c r="AT43" s="245">
        <f t="shared" si="13"/>
        <v>1.2250430000000001</v>
      </c>
      <c r="AU43" s="245">
        <f t="shared" si="13"/>
        <v>1.2250430000000001</v>
      </c>
      <c r="AV43" s="245">
        <f t="shared" si="13"/>
        <v>1.2250430000000001</v>
      </c>
      <c r="AW43" s="245">
        <f t="shared" si="13"/>
        <v>1.2250430000000001</v>
      </c>
      <c r="AX43" s="245">
        <f t="shared" si="13"/>
        <v>1.2250430000000001</v>
      </c>
      <c r="AY43" s="245">
        <f t="shared" si="13"/>
        <v>1.2250430000000001</v>
      </c>
      <c r="AZ43" s="245">
        <f t="shared" ref="AZ43:BK43" si="14">(1+$B$43)^4</f>
        <v>1.31079601</v>
      </c>
      <c r="BA43" s="245">
        <f t="shared" si="14"/>
        <v>1.31079601</v>
      </c>
      <c r="BB43" s="245">
        <f t="shared" si="14"/>
        <v>1.31079601</v>
      </c>
      <c r="BC43" s="245">
        <f t="shared" si="14"/>
        <v>1.31079601</v>
      </c>
      <c r="BD43" s="245">
        <f t="shared" si="14"/>
        <v>1.31079601</v>
      </c>
      <c r="BE43" s="245">
        <f t="shared" si="14"/>
        <v>1.31079601</v>
      </c>
      <c r="BF43" s="245">
        <f t="shared" si="14"/>
        <v>1.31079601</v>
      </c>
      <c r="BG43" s="245">
        <f t="shared" si="14"/>
        <v>1.31079601</v>
      </c>
      <c r="BH43" s="245">
        <f t="shared" si="14"/>
        <v>1.31079601</v>
      </c>
      <c r="BI43" s="245">
        <f t="shared" si="14"/>
        <v>1.31079601</v>
      </c>
      <c r="BJ43" s="245">
        <f t="shared" si="14"/>
        <v>1.31079601</v>
      </c>
      <c r="BK43" s="245">
        <f t="shared" si="14"/>
        <v>1.31079601</v>
      </c>
    </row>
    <row r="44" spans="1:68" x14ac:dyDescent="0.15">
      <c r="A44" t="s">
        <v>83</v>
      </c>
      <c r="D44" s="246">
        <f t="shared" ref="D44:AI44" si="15">D32*$E6*D43</f>
        <v>269000</v>
      </c>
      <c r="E44" s="246">
        <f t="shared" si="15"/>
        <v>269000</v>
      </c>
      <c r="F44" s="246">
        <f t="shared" si="15"/>
        <v>269000</v>
      </c>
      <c r="G44" s="246">
        <f t="shared" si="15"/>
        <v>269000</v>
      </c>
      <c r="H44" s="246">
        <f t="shared" si="15"/>
        <v>269000</v>
      </c>
      <c r="I44" s="246">
        <f t="shared" si="15"/>
        <v>269000</v>
      </c>
      <c r="J44" s="246">
        <f t="shared" si="15"/>
        <v>269000</v>
      </c>
      <c r="K44" s="246">
        <f t="shared" si="15"/>
        <v>80700</v>
      </c>
      <c r="L44" s="246">
        <f t="shared" si="15"/>
        <v>80700</v>
      </c>
      <c r="M44" s="246">
        <f t="shared" si="15"/>
        <v>80700</v>
      </c>
      <c r="N44" s="246">
        <f t="shared" si="15"/>
        <v>80700</v>
      </c>
      <c r="O44" s="246">
        <f t="shared" si="15"/>
        <v>80700</v>
      </c>
      <c r="P44" s="246">
        <f t="shared" si="15"/>
        <v>28783</v>
      </c>
      <c r="Q44" s="246">
        <f t="shared" si="15"/>
        <v>28783</v>
      </c>
      <c r="R44" s="246">
        <f t="shared" si="15"/>
        <v>28783</v>
      </c>
      <c r="S44" s="246">
        <f t="shared" si="15"/>
        <v>28783</v>
      </c>
      <c r="T44" s="246">
        <f t="shared" si="15"/>
        <v>28783</v>
      </c>
      <c r="U44" s="246">
        <f t="shared" si="15"/>
        <v>28783</v>
      </c>
      <c r="V44" s="246">
        <f t="shared" si="15"/>
        <v>28783</v>
      </c>
      <c r="W44" s="246">
        <f t="shared" si="15"/>
        <v>28783</v>
      </c>
      <c r="X44" s="246">
        <f t="shared" si="15"/>
        <v>28783</v>
      </c>
      <c r="Y44" s="246">
        <f t="shared" si="15"/>
        <v>28783</v>
      </c>
      <c r="Z44" s="246">
        <f t="shared" si="15"/>
        <v>28783</v>
      </c>
      <c r="AA44" s="246">
        <f t="shared" si="15"/>
        <v>28783</v>
      </c>
      <c r="AB44" s="246">
        <f t="shared" si="15"/>
        <v>30797.81</v>
      </c>
      <c r="AC44" s="246">
        <f t="shared" si="15"/>
        <v>30797.81</v>
      </c>
      <c r="AD44" s="246">
        <f t="shared" si="15"/>
        <v>30797.81</v>
      </c>
      <c r="AE44" s="246">
        <f t="shared" si="15"/>
        <v>30797.81</v>
      </c>
      <c r="AF44" s="246">
        <f t="shared" si="15"/>
        <v>30797.81</v>
      </c>
      <c r="AG44" s="246">
        <f t="shared" si="15"/>
        <v>30797.81</v>
      </c>
      <c r="AH44" s="246">
        <f t="shared" si="15"/>
        <v>30797.81</v>
      </c>
      <c r="AI44" s="246">
        <f t="shared" si="15"/>
        <v>30797.81</v>
      </c>
      <c r="AJ44" s="246">
        <f t="shared" ref="AJ44:BK44" si="16">AJ32*$E6*AJ43</f>
        <v>30797.81</v>
      </c>
      <c r="AK44" s="246">
        <f t="shared" si="16"/>
        <v>30797.81</v>
      </c>
      <c r="AL44" s="246">
        <f t="shared" si="16"/>
        <v>30797.81</v>
      </c>
      <c r="AM44" s="246">
        <f t="shared" si="16"/>
        <v>30797.81</v>
      </c>
      <c r="AN44" s="246">
        <f t="shared" si="16"/>
        <v>32953.6567</v>
      </c>
      <c r="AO44" s="246">
        <f t="shared" si="16"/>
        <v>32953.6567</v>
      </c>
      <c r="AP44" s="246">
        <f t="shared" si="16"/>
        <v>32953.6567</v>
      </c>
      <c r="AQ44" s="246">
        <f t="shared" si="16"/>
        <v>32953.6567</v>
      </c>
      <c r="AR44" s="246">
        <f t="shared" si="16"/>
        <v>32953.6567</v>
      </c>
      <c r="AS44" s="246">
        <f t="shared" si="16"/>
        <v>32953.6567</v>
      </c>
      <c r="AT44" s="246">
        <f t="shared" si="16"/>
        <v>32953.6567</v>
      </c>
      <c r="AU44" s="246">
        <f t="shared" si="16"/>
        <v>32953.6567</v>
      </c>
      <c r="AV44" s="246">
        <f t="shared" si="16"/>
        <v>32953.6567</v>
      </c>
      <c r="AW44" s="246">
        <f t="shared" si="16"/>
        <v>32953.6567</v>
      </c>
      <c r="AX44" s="246">
        <f t="shared" si="16"/>
        <v>32953.6567</v>
      </c>
      <c r="AY44" s="246">
        <f t="shared" si="16"/>
        <v>32953.6567</v>
      </c>
      <c r="AZ44" s="246">
        <f t="shared" si="16"/>
        <v>35260.412668999998</v>
      </c>
      <c r="BA44" s="246">
        <f t="shared" si="16"/>
        <v>35260.412668999998</v>
      </c>
      <c r="BB44" s="246">
        <f t="shared" si="16"/>
        <v>35260.412668999998</v>
      </c>
      <c r="BC44" s="246">
        <f t="shared" si="16"/>
        <v>35260.412668999998</v>
      </c>
      <c r="BD44" s="246">
        <f t="shared" si="16"/>
        <v>35260.412668999998</v>
      </c>
      <c r="BE44" s="246">
        <f t="shared" si="16"/>
        <v>35260.412668999998</v>
      </c>
      <c r="BF44" s="246">
        <f t="shared" si="16"/>
        <v>35260.412668999998</v>
      </c>
      <c r="BG44" s="246">
        <f t="shared" si="16"/>
        <v>35260.412668999998</v>
      </c>
      <c r="BH44" s="246">
        <f t="shared" si="16"/>
        <v>35260.412668999998</v>
      </c>
      <c r="BI44" s="246">
        <f t="shared" si="16"/>
        <v>35260.412668999998</v>
      </c>
      <c r="BJ44" s="246">
        <f t="shared" si="16"/>
        <v>35260.412668999998</v>
      </c>
      <c r="BK44" s="246">
        <f t="shared" si="16"/>
        <v>35260.412668999998</v>
      </c>
      <c r="BL44" s="247">
        <f t="shared" ref="BL44:BL52" si="17">SUM(D44:O44)</f>
        <v>2286500</v>
      </c>
      <c r="BM44" s="247">
        <f t="shared" ref="BM44:BM52" si="18">SUM(P44:AA44)</f>
        <v>345396</v>
      </c>
      <c r="BN44" s="247">
        <f t="shared" ref="BN44:BN52" si="19">SUM(AB44:AM44)</f>
        <v>369573.72000000003</v>
      </c>
      <c r="BO44" s="247">
        <f t="shared" ref="BO44:BO52" si="20">SUM(AN44:AY44)</f>
        <v>395443.88039999997</v>
      </c>
      <c r="BP44" s="247">
        <f t="shared" ref="BP44:BP52" si="21">SUM(AZ44:BK44)</f>
        <v>423124.95202799985</v>
      </c>
    </row>
    <row r="45" spans="1:68" x14ac:dyDescent="0.15">
      <c r="A45" t="s">
        <v>84</v>
      </c>
      <c r="D45" s="246">
        <f>D33*$E7*D43</f>
        <v>96840</v>
      </c>
      <c r="E45" s="246">
        <f t="shared" ref="E45:AI45" si="22">E33*$E7*E43</f>
        <v>96840</v>
      </c>
      <c r="F45" s="246">
        <f t="shared" si="22"/>
        <v>0</v>
      </c>
      <c r="G45" s="246">
        <f t="shared" si="22"/>
        <v>0</v>
      </c>
      <c r="H45" s="246">
        <f t="shared" si="22"/>
        <v>135576</v>
      </c>
      <c r="I45" s="246">
        <f t="shared" si="22"/>
        <v>58104</v>
      </c>
      <c r="J45" s="246">
        <f t="shared" si="22"/>
        <v>58104</v>
      </c>
      <c r="K45" s="246">
        <f t="shared" si="22"/>
        <v>19368</v>
      </c>
      <c r="L45" s="246">
        <f t="shared" si="22"/>
        <v>19368</v>
      </c>
      <c r="M45" s="246">
        <f t="shared" si="22"/>
        <v>19368</v>
      </c>
      <c r="N45" s="246">
        <f t="shared" si="22"/>
        <v>19368</v>
      </c>
      <c r="O45" s="246">
        <f t="shared" si="22"/>
        <v>19368</v>
      </c>
      <c r="P45" s="246">
        <f t="shared" si="22"/>
        <v>0</v>
      </c>
      <c r="Q45" s="246">
        <f t="shared" si="22"/>
        <v>0</v>
      </c>
      <c r="R45" s="246">
        <f t="shared" si="22"/>
        <v>0</v>
      </c>
      <c r="S45" s="246">
        <f t="shared" si="22"/>
        <v>0</v>
      </c>
      <c r="T45" s="246">
        <f t="shared" si="22"/>
        <v>0</v>
      </c>
      <c r="U45" s="246">
        <f t="shared" si="22"/>
        <v>0</v>
      </c>
      <c r="V45" s="246">
        <f t="shared" si="22"/>
        <v>0</v>
      </c>
      <c r="W45" s="246">
        <f t="shared" si="22"/>
        <v>0</v>
      </c>
      <c r="X45" s="246">
        <f t="shared" si="22"/>
        <v>0</v>
      </c>
      <c r="Y45" s="246">
        <f t="shared" si="22"/>
        <v>0</v>
      </c>
      <c r="Z45" s="246">
        <f t="shared" si="22"/>
        <v>0</v>
      </c>
      <c r="AA45" s="246">
        <f t="shared" si="22"/>
        <v>0</v>
      </c>
      <c r="AB45" s="246">
        <f t="shared" si="22"/>
        <v>0</v>
      </c>
      <c r="AC45" s="246">
        <f t="shared" si="22"/>
        <v>0</v>
      </c>
      <c r="AD45" s="246">
        <f t="shared" si="22"/>
        <v>0</v>
      </c>
      <c r="AE45" s="246">
        <f t="shared" si="22"/>
        <v>0</v>
      </c>
      <c r="AF45" s="246">
        <f t="shared" si="22"/>
        <v>0</v>
      </c>
      <c r="AG45" s="246">
        <f t="shared" si="22"/>
        <v>0</v>
      </c>
      <c r="AH45" s="246">
        <f t="shared" si="22"/>
        <v>0</v>
      </c>
      <c r="AI45" s="246">
        <f t="shared" si="22"/>
        <v>0</v>
      </c>
      <c r="AJ45" s="246">
        <f t="shared" ref="AJ45:BK45" si="23">AJ33*$E7*AJ43</f>
        <v>0</v>
      </c>
      <c r="AK45" s="246">
        <f t="shared" si="23"/>
        <v>0</v>
      </c>
      <c r="AL45" s="246">
        <f t="shared" si="23"/>
        <v>0</v>
      </c>
      <c r="AM45" s="246">
        <f t="shared" si="23"/>
        <v>0</v>
      </c>
      <c r="AN45" s="246">
        <f t="shared" si="23"/>
        <v>0</v>
      </c>
      <c r="AO45" s="246">
        <f t="shared" si="23"/>
        <v>0</v>
      </c>
      <c r="AP45" s="246">
        <f t="shared" si="23"/>
        <v>0</v>
      </c>
      <c r="AQ45" s="246">
        <f t="shared" si="23"/>
        <v>0</v>
      </c>
      <c r="AR45" s="246">
        <f t="shared" si="23"/>
        <v>0</v>
      </c>
      <c r="AS45" s="246">
        <f t="shared" si="23"/>
        <v>0</v>
      </c>
      <c r="AT45" s="246">
        <f t="shared" si="23"/>
        <v>0</v>
      </c>
      <c r="AU45" s="246">
        <f t="shared" si="23"/>
        <v>0</v>
      </c>
      <c r="AV45" s="246">
        <f t="shared" si="23"/>
        <v>0</v>
      </c>
      <c r="AW45" s="246">
        <f t="shared" si="23"/>
        <v>0</v>
      </c>
      <c r="AX45" s="246">
        <f t="shared" si="23"/>
        <v>0</v>
      </c>
      <c r="AY45" s="246">
        <f t="shared" si="23"/>
        <v>0</v>
      </c>
      <c r="AZ45" s="246">
        <f t="shared" si="23"/>
        <v>0</v>
      </c>
      <c r="BA45" s="246">
        <f t="shared" si="23"/>
        <v>0</v>
      </c>
      <c r="BB45" s="246">
        <f t="shared" si="23"/>
        <v>0</v>
      </c>
      <c r="BC45" s="246">
        <f t="shared" si="23"/>
        <v>0</v>
      </c>
      <c r="BD45" s="246">
        <f t="shared" si="23"/>
        <v>0</v>
      </c>
      <c r="BE45" s="246">
        <f t="shared" si="23"/>
        <v>0</v>
      </c>
      <c r="BF45" s="246">
        <f t="shared" si="23"/>
        <v>0</v>
      </c>
      <c r="BG45" s="246">
        <f t="shared" si="23"/>
        <v>0</v>
      </c>
      <c r="BH45" s="246">
        <f t="shared" si="23"/>
        <v>0</v>
      </c>
      <c r="BI45" s="246">
        <f t="shared" si="23"/>
        <v>0</v>
      </c>
      <c r="BJ45" s="246">
        <f t="shared" si="23"/>
        <v>0</v>
      </c>
      <c r="BK45" s="246">
        <f t="shared" si="23"/>
        <v>0</v>
      </c>
      <c r="BL45" s="247">
        <f t="shared" si="17"/>
        <v>542304</v>
      </c>
      <c r="BM45" s="247">
        <f t="shared" si="18"/>
        <v>0</v>
      </c>
      <c r="BN45" s="247">
        <f t="shared" si="19"/>
        <v>0</v>
      </c>
      <c r="BO45" s="247">
        <f t="shared" si="20"/>
        <v>0</v>
      </c>
      <c r="BP45" s="247">
        <f t="shared" si="21"/>
        <v>0</v>
      </c>
    </row>
    <row r="46" spans="1:68" x14ac:dyDescent="0.15">
      <c r="A46" t="s">
        <v>85</v>
      </c>
      <c r="D46" s="246">
        <f t="shared" ref="D46:AI46" si="24">D34*$E8*D43</f>
        <v>96840</v>
      </c>
      <c r="E46" s="246">
        <f t="shared" si="24"/>
        <v>96840</v>
      </c>
      <c r="F46" s="246">
        <f t="shared" si="24"/>
        <v>96840</v>
      </c>
      <c r="G46" s="246">
        <f t="shared" si="24"/>
        <v>96840</v>
      </c>
      <c r="H46" s="246">
        <f t="shared" si="24"/>
        <v>96840</v>
      </c>
      <c r="I46" s="246">
        <f t="shared" si="24"/>
        <v>96840</v>
      </c>
      <c r="J46" s="246">
        <f t="shared" si="24"/>
        <v>96840</v>
      </c>
      <c r="K46" s="246">
        <f t="shared" si="24"/>
        <v>58104</v>
      </c>
      <c r="L46" s="246">
        <f t="shared" si="24"/>
        <v>58104</v>
      </c>
      <c r="M46" s="246">
        <f t="shared" si="24"/>
        <v>58104</v>
      </c>
      <c r="N46" s="246">
        <f t="shared" si="24"/>
        <v>58104</v>
      </c>
      <c r="O46" s="246">
        <f t="shared" si="24"/>
        <v>58104</v>
      </c>
      <c r="P46" s="246">
        <f t="shared" si="24"/>
        <v>41447.520000000004</v>
      </c>
      <c r="Q46" s="246">
        <f t="shared" si="24"/>
        <v>41447.520000000004</v>
      </c>
      <c r="R46" s="246">
        <f t="shared" si="24"/>
        <v>41447.520000000004</v>
      </c>
      <c r="S46" s="246">
        <f t="shared" si="24"/>
        <v>41447.520000000004</v>
      </c>
      <c r="T46" s="246">
        <f t="shared" si="24"/>
        <v>41447.520000000004</v>
      </c>
      <c r="U46" s="246">
        <f t="shared" si="24"/>
        <v>41447.520000000004</v>
      </c>
      <c r="V46" s="246">
        <f t="shared" si="24"/>
        <v>41447.520000000004</v>
      </c>
      <c r="W46" s="246">
        <f t="shared" si="24"/>
        <v>41447.520000000004</v>
      </c>
      <c r="X46" s="246">
        <f t="shared" si="24"/>
        <v>41447.520000000004</v>
      </c>
      <c r="Y46" s="246">
        <f t="shared" si="24"/>
        <v>41447.520000000004</v>
      </c>
      <c r="Z46" s="246">
        <f t="shared" si="24"/>
        <v>41447.520000000004</v>
      </c>
      <c r="AA46" s="246">
        <f t="shared" si="24"/>
        <v>41447.520000000004</v>
      </c>
      <c r="AB46" s="246">
        <f t="shared" si="24"/>
        <v>44348.846400000002</v>
      </c>
      <c r="AC46" s="246">
        <f t="shared" si="24"/>
        <v>44348.846400000002</v>
      </c>
      <c r="AD46" s="246">
        <f t="shared" si="24"/>
        <v>44348.846400000002</v>
      </c>
      <c r="AE46" s="246">
        <f t="shared" si="24"/>
        <v>44348.846400000002</v>
      </c>
      <c r="AF46" s="246">
        <f t="shared" si="24"/>
        <v>44348.846400000002</v>
      </c>
      <c r="AG46" s="246">
        <f t="shared" si="24"/>
        <v>44348.846400000002</v>
      </c>
      <c r="AH46" s="246">
        <f t="shared" si="24"/>
        <v>44348.846400000002</v>
      </c>
      <c r="AI46" s="246">
        <f t="shared" si="24"/>
        <v>44348.846400000002</v>
      </c>
      <c r="AJ46" s="246">
        <f t="shared" ref="AJ46:BK46" si="25">AJ34*$E8*AJ43</f>
        <v>44348.846400000002</v>
      </c>
      <c r="AK46" s="246">
        <f t="shared" si="25"/>
        <v>44348.846400000002</v>
      </c>
      <c r="AL46" s="246">
        <f t="shared" si="25"/>
        <v>44348.846400000002</v>
      </c>
      <c r="AM46" s="246">
        <f t="shared" si="25"/>
        <v>44348.846400000002</v>
      </c>
      <c r="AN46" s="246">
        <f t="shared" si="25"/>
        <v>47453.265648000001</v>
      </c>
      <c r="AO46" s="246">
        <f t="shared" si="25"/>
        <v>47453.265648000001</v>
      </c>
      <c r="AP46" s="246">
        <f t="shared" si="25"/>
        <v>47453.265648000001</v>
      </c>
      <c r="AQ46" s="246">
        <f t="shared" si="25"/>
        <v>47453.265648000001</v>
      </c>
      <c r="AR46" s="246">
        <f t="shared" si="25"/>
        <v>47453.265648000001</v>
      </c>
      <c r="AS46" s="246">
        <f t="shared" si="25"/>
        <v>47453.265648000001</v>
      </c>
      <c r="AT46" s="246">
        <f t="shared" si="25"/>
        <v>47453.265648000001</v>
      </c>
      <c r="AU46" s="246">
        <f t="shared" si="25"/>
        <v>47453.265648000001</v>
      </c>
      <c r="AV46" s="246">
        <f t="shared" si="25"/>
        <v>47453.265648000001</v>
      </c>
      <c r="AW46" s="246">
        <f t="shared" si="25"/>
        <v>47453.265648000001</v>
      </c>
      <c r="AX46" s="246">
        <f t="shared" si="25"/>
        <v>47453.265648000001</v>
      </c>
      <c r="AY46" s="246">
        <f t="shared" si="25"/>
        <v>47453.265648000001</v>
      </c>
      <c r="AZ46" s="246">
        <f t="shared" si="25"/>
        <v>50774.994243360001</v>
      </c>
      <c r="BA46" s="246">
        <f t="shared" si="25"/>
        <v>50774.994243360001</v>
      </c>
      <c r="BB46" s="246">
        <f t="shared" si="25"/>
        <v>50774.994243360001</v>
      </c>
      <c r="BC46" s="246">
        <f t="shared" si="25"/>
        <v>50774.994243360001</v>
      </c>
      <c r="BD46" s="246">
        <f t="shared" si="25"/>
        <v>50774.994243360001</v>
      </c>
      <c r="BE46" s="246">
        <f t="shared" si="25"/>
        <v>50774.994243360001</v>
      </c>
      <c r="BF46" s="246">
        <f t="shared" si="25"/>
        <v>50774.994243360001</v>
      </c>
      <c r="BG46" s="246">
        <f t="shared" si="25"/>
        <v>50774.994243360001</v>
      </c>
      <c r="BH46" s="246">
        <f t="shared" si="25"/>
        <v>50774.994243360001</v>
      </c>
      <c r="BI46" s="246">
        <f t="shared" si="25"/>
        <v>50774.994243360001</v>
      </c>
      <c r="BJ46" s="246">
        <f t="shared" si="25"/>
        <v>50774.994243360001</v>
      </c>
      <c r="BK46" s="246">
        <f t="shared" si="25"/>
        <v>50774.994243360001</v>
      </c>
      <c r="BL46" s="247">
        <f t="shared" si="17"/>
        <v>968400</v>
      </c>
      <c r="BM46" s="247">
        <f t="shared" si="18"/>
        <v>497370.24000000017</v>
      </c>
      <c r="BN46" s="247">
        <f t="shared" si="19"/>
        <v>532186.15679999988</v>
      </c>
      <c r="BO46" s="247">
        <f t="shared" si="20"/>
        <v>569439.18777600001</v>
      </c>
      <c r="BP46" s="247">
        <f t="shared" si="21"/>
        <v>609299.93092031998</v>
      </c>
    </row>
    <row r="47" spans="1:68" x14ac:dyDescent="0.15">
      <c r="A47" t="s">
        <v>86</v>
      </c>
      <c r="D47" s="246">
        <f t="shared" ref="D47:AI47" si="26">D35*$E9*D43</f>
        <v>301280</v>
      </c>
      <c r="E47" s="246">
        <f t="shared" si="26"/>
        <v>301280</v>
      </c>
      <c r="F47" s="246">
        <f t="shared" si="26"/>
        <v>150640</v>
      </c>
      <c r="G47" s="246">
        <f t="shared" si="26"/>
        <v>150640</v>
      </c>
      <c r="H47" s="246">
        <f t="shared" si="26"/>
        <v>150640</v>
      </c>
      <c r="I47" s="246">
        <f t="shared" si="26"/>
        <v>150640</v>
      </c>
      <c r="J47" s="246">
        <f t="shared" si="26"/>
        <v>150640</v>
      </c>
      <c r="K47" s="246">
        <f t="shared" si="26"/>
        <v>90384</v>
      </c>
      <c r="L47" s="246">
        <f t="shared" si="26"/>
        <v>90384</v>
      </c>
      <c r="M47" s="246">
        <f t="shared" si="26"/>
        <v>90384</v>
      </c>
      <c r="N47" s="246">
        <f t="shared" si="26"/>
        <v>90384</v>
      </c>
      <c r="O47" s="246">
        <f t="shared" si="26"/>
        <v>90384</v>
      </c>
      <c r="P47" s="246">
        <f t="shared" si="26"/>
        <v>64473.920000000006</v>
      </c>
      <c r="Q47" s="246">
        <f t="shared" si="26"/>
        <v>64473.920000000006</v>
      </c>
      <c r="R47" s="246">
        <f t="shared" si="26"/>
        <v>64473.920000000006</v>
      </c>
      <c r="S47" s="246">
        <f t="shared" si="26"/>
        <v>64473.920000000006</v>
      </c>
      <c r="T47" s="246">
        <f t="shared" si="26"/>
        <v>64473.920000000006</v>
      </c>
      <c r="U47" s="246">
        <f t="shared" si="26"/>
        <v>64473.920000000006</v>
      </c>
      <c r="V47" s="246">
        <f t="shared" si="26"/>
        <v>64473.920000000006</v>
      </c>
      <c r="W47" s="246">
        <f t="shared" si="26"/>
        <v>64473.920000000006</v>
      </c>
      <c r="X47" s="246">
        <f t="shared" si="26"/>
        <v>64473.920000000006</v>
      </c>
      <c r="Y47" s="246">
        <f t="shared" si="26"/>
        <v>64473.920000000006</v>
      </c>
      <c r="Z47" s="246">
        <f t="shared" si="26"/>
        <v>64473.920000000006</v>
      </c>
      <c r="AA47" s="246">
        <f t="shared" si="26"/>
        <v>64473.920000000006</v>
      </c>
      <c r="AB47" s="246">
        <f t="shared" si="26"/>
        <v>68987.094400000002</v>
      </c>
      <c r="AC47" s="246">
        <f t="shared" si="26"/>
        <v>68987.094400000002</v>
      </c>
      <c r="AD47" s="246">
        <f t="shared" si="26"/>
        <v>68987.094400000002</v>
      </c>
      <c r="AE47" s="246">
        <f t="shared" si="26"/>
        <v>68987.094400000002</v>
      </c>
      <c r="AF47" s="246">
        <f t="shared" si="26"/>
        <v>68987.094400000002</v>
      </c>
      <c r="AG47" s="246">
        <f t="shared" si="26"/>
        <v>68987.094400000002</v>
      </c>
      <c r="AH47" s="246">
        <f t="shared" si="26"/>
        <v>68987.094400000002</v>
      </c>
      <c r="AI47" s="246">
        <f t="shared" si="26"/>
        <v>68987.094400000002</v>
      </c>
      <c r="AJ47" s="246">
        <f t="shared" ref="AJ47:BK47" si="27">AJ35*$E9*AJ43</f>
        <v>68987.094400000002</v>
      </c>
      <c r="AK47" s="246">
        <f t="shared" si="27"/>
        <v>68987.094400000002</v>
      </c>
      <c r="AL47" s="246">
        <f t="shared" si="27"/>
        <v>68987.094400000002</v>
      </c>
      <c r="AM47" s="246">
        <f t="shared" si="27"/>
        <v>68987.094400000002</v>
      </c>
      <c r="AN47" s="246">
        <f t="shared" si="27"/>
        <v>73816.191008000009</v>
      </c>
      <c r="AO47" s="246">
        <f t="shared" si="27"/>
        <v>73816.191008000009</v>
      </c>
      <c r="AP47" s="246">
        <f t="shared" si="27"/>
        <v>73816.191008000009</v>
      </c>
      <c r="AQ47" s="246">
        <f t="shared" si="27"/>
        <v>73816.191008000009</v>
      </c>
      <c r="AR47" s="246">
        <f t="shared" si="27"/>
        <v>73816.191008000009</v>
      </c>
      <c r="AS47" s="246">
        <f t="shared" si="27"/>
        <v>73816.191008000009</v>
      </c>
      <c r="AT47" s="246">
        <f t="shared" si="27"/>
        <v>73816.191008000009</v>
      </c>
      <c r="AU47" s="246">
        <f t="shared" si="27"/>
        <v>73816.191008000009</v>
      </c>
      <c r="AV47" s="246">
        <f t="shared" si="27"/>
        <v>73816.191008000009</v>
      </c>
      <c r="AW47" s="246">
        <f t="shared" si="27"/>
        <v>73816.191008000009</v>
      </c>
      <c r="AX47" s="246">
        <f t="shared" si="27"/>
        <v>73816.191008000009</v>
      </c>
      <c r="AY47" s="246">
        <f t="shared" si="27"/>
        <v>73816.191008000009</v>
      </c>
      <c r="AZ47" s="246">
        <f t="shared" si="27"/>
        <v>78983.324378560006</v>
      </c>
      <c r="BA47" s="246">
        <f t="shared" si="27"/>
        <v>78983.324378560006</v>
      </c>
      <c r="BB47" s="246">
        <f t="shared" si="27"/>
        <v>78983.324378560006</v>
      </c>
      <c r="BC47" s="246">
        <f t="shared" si="27"/>
        <v>78983.324378560006</v>
      </c>
      <c r="BD47" s="246">
        <f t="shared" si="27"/>
        <v>78983.324378560006</v>
      </c>
      <c r="BE47" s="246">
        <f t="shared" si="27"/>
        <v>78983.324378560006</v>
      </c>
      <c r="BF47" s="246">
        <f t="shared" si="27"/>
        <v>78983.324378560006</v>
      </c>
      <c r="BG47" s="246">
        <f t="shared" si="27"/>
        <v>78983.324378560006</v>
      </c>
      <c r="BH47" s="246">
        <f t="shared" si="27"/>
        <v>78983.324378560006</v>
      </c>
      <c r="BI47" s="246">
        <f t="shared" si="27"/>
        <v>78983.324378560006</v>
      </c>
      <c r="BJ47" s="246">
        <f t="shared" si="27"/>
        <v>78983.324378560006</v>
      </c>
      <c r="BK47" s="246">
        <f t="shared" si="27"/>
        <v>78983.324378560006</v>
      </c>
      <c r="BL47" s="247">
        <f t="shared" si="17"/>
        <v>1807680</v>
      </c>
      <c r="BM47" s="247">
        <f t="shared" si="18"/>
        <v>773687.04000000015</v>
      </c>
      <c r="BN47" s="247">
        <f t="shared" si="19"/>
        <v>827845.13280000025</v>
      </c>
      <c r="BO47" s="247">
        <f t="shared" si="20"/>
        <v>885794.29209600028</v>
      </c>
      <c r="BP47" s="247">
        <f t="shared" si="21"/>
        <v>947799.89254272031</v>
      </c>
    </row>
    <row r="48" spans="1:68" x14ac:dyDescent="0.15">
      <c r="A48" t="s">
        <v>87</v>
      </c>
      <c r="D48" s="246">
        <f t="shared" ref="D48:AI48" si="28">D36*$E10*D43</f>
        <v>269000</v>
      </c>
      <c r="E48" s="246">
        <f t="shared" si="28"/>
        <v>269000</v>
      </c>
      <c r="F48" s="246">
        <f t="shared" si="28"/>
        <v>403500</v>
      </c>
      <c r="G48" s="246">
        <f t="shared" si="28"/>
        <v>403500</v>
      </c>
      <c r="H48" s="246">
        <f t="shared" si="28"/>
        <v>403500</v>
      </c>
      <c r="I48" s="246">
        <f t="shared" si="28"/>
        <v>403500</v>
      </c>
      <c r="J48" s="246">
        <f t="shared" si="28"/>
        <v>403500</v>
      </c>
      <c r="K48" s="246">
        <f t="shared" si="28"/>
        <v>134500</v>
      </c>
      <c r="L48" s="246">
        <f t="shared" si="28"/>
        <v>134500</v>
      </c>
      <c r="M48" s="246">
        <f t="shared" si="28"/>
        <v>134500</v>
      </c>
      <c r="N48" s="246">
        <f t="shared" si="28"/>
        <v>134500</v>
      </c>
      <c r="O48" s="246">
        <f t="shared" si="28"/>
        <v>134500</v>
      </c>
      <c r="P48" s="246">
        <f t="shared" si="28"/>
        <v>57566</v>
      </c>
      <c r="Q48" s="246">
        <f t="shared" si="28"/>
        <v>57566</v>
      </c>
      <c r="R48" s="246">
        <f t="shared" si="28"/>
        <v>57566</v>
      </c>
      <c r="S48" s="246">
        <f t="shared" si="28"/>
        <v>57566</v>
      </c>
      <c r="T48" s="246">
        <f t="shared" si="28"/>
        <v>57566</v>
      </c>
      <c r="U48" s="246">
        <f t="shared" si="28"/>
        <v>57566</v>
      </c>
      <c r="V48" s="246">
        <f t="shared" si="28"/>
        <v>57566</v>
      </c>
      <c r="W48" s="246">
        <f t="shared" si="28"/>
        <v>57566</v>
      </c>
      <c r="X48" s="246">
        <f t="shared" si="28"/>
        <v>57566</v>
      </c>
      <c r="Y48" s="246">
        <f t="shared" si="28"/>
        <v>57566</v>
      </c>
      <c r="Z48" s="246">
        <f t="shared" si="28"/>
        <v>57566</v>
      </c>
      <c r="AA48" s="246">
        <f t="shared" si="28"/>
        <v>57566</v>
      </c>
      <c r="AB48" s="246">
        <f t="shared" si="28"/>
        <v>61595.62</v>
      </c>
      <c r="AC48" s="246">
        <f t="shared" si="28"/>
        <v>61595.62</v>
      </c>
      <c r="AD48" s="246">
        <f t="shared" si="28"/>
        <v>61595.62</v>
      </c>
      <c r="AE48" s="246">
        <f t="shared" si="28"/>
        <v>61595.62</v>
      </c>
      <c r="AF48" s="246">
        <f t="shared" si="28"/>
        <v>61595.62</v>
      </c>
      <c r="AG48" s="246">
        <f t="shared" si="28"/>
        <v>61595.62</v>
      </c>
      <c r="AH48" s="246">
        <f t="shared" si="28"/>
        <v>61595.62</v>
      </c>
      <c r="AI48" s="246">
        <f t="shared" si="28"/>
        <v>61595.62</v>
      </c>
      <c r="AJ48" s="246">
        <f t="shared" ref="AJ48:BK48" si="29">AJ36*$E10*AJ43</f>
        <v>61595.62</v>
      </c>
      <c r="AK48" s="246">
        <f t="shared" si="29"/>
        <v>61595.62</v>
      </c>
      <c r="AL48" s="246">
        <f t="shared" si="29"/>
        <v>61595.62</v>
      </c>
      <c r="AM48" s="246">
        <f t="shared" si="29"/>
        <v>61595.62</v>
      </c>
      <c r="AN48" s="246">
        <f t="shared" si="29"/>
        <v>65907.313399999999</v>
      </c>
      <c r="AO48" s="246">
        <f t="shared" si="29"/>
        <v>65907.313399999999</v>
      </c>
      <c r="AP48" s="246">
        <f t="shared" si="29"/>
        <v>65907.313399999999</v>
      </c>
      <c r="AQ48" s="246">
        <f t="shared" si="29"/>
        <v>65907.313399999999</v>
      </c>
      <c r="AR48" s="246">
        <f t="shared" si="29"/>
        <v>65907.313399999999</v>
      </c>
      <c r="AS48" s="246">
        <f t="shared" si="29"/>
        <v>65907.313399999999</v>
      </c>
      <c r="AT48" s="246">
        <f t="shared" si="29"/>
        <v>65907.313399999999</v>
      </c>
      <c r="AU48" s="246">
        <f t="shared" si="29"/>
        <v>65907.313399999999</v>
      </c>
      <c r="AV48" s="246">
        <f t="shared" si="29"/>
        <v>65907.313399999999</v>
      </c>
      <c r="AW48" s="246">
        <f t="shared" si="29"/>
        <v>65907.313399999999</v>
      </c>
      <c r="AX48" s="246">
        <f t="shared" si="29"/>
        <v>65907.313399999999</v>
      </c>
      <c r="AY48" s="246">
        <f t="shared" si="29"/>
        <v>65907.313399999999</v>
      </c>
      <c r="AZ48" s="246">
        <f t="shared" si="29"/>
        <v>70520.825337999995</v>
      </c>
      <c r="BA48" s="246">
        <f t="shared" si="29"/>
        <v>70520.825337999995</v>
      </c>
      <c r="BB48" s="246">
        <f t="shared" si="29"/>
        <v>70520.825337999995</v>
      </c>
      <c r="BC48" s="246">
        <f t="shared" si="29"/>
        <v>70520.825337999995</v>
      </c>
      <c r="BD48" s="246">
        <f t="shared" si="29"/>
        <v>70520.825337999995</v>
      </c>
      <c r="BE48" s="246">
        <f t="shared" si="29"/>
        <v>70520.825337999995</v>
      </c>
      <c r="BF48" s="246">
        <f t="shared" si="29"/>
        <v>70520.825337999995</v>
      </c>
      <c r="BG48" s="246">
        <f t="shared" si="29"/>
        <v>70520.825337999995</v>
      </c>
      <c r="BH48" s="246">
        <f t="shared" si="29"/>
        <v>70520.825337999995</v>
      </c>
      <c r="BI48" s="246">
        <f t="shared" si="29"/>
        <v>70520.825337999995</v>
      </c>
      <c r="BJ48" s="246">
        <f t="shared" si="29"/>
        <v>70520.825337999995</v>
      </c>
      <c r="BK48" s="246">
        <f t="shared" si="29"/>
        <v>70520.825337999995</v>
      </c>
      <c r="BL48" s="247">
        <f t="shared" si="17"/>
        <v>3228000</v>
      </c>
      <c r="BM48" s="247">
        <f t="shared" si="18"/>
        <v>690792</v>
      </c>
      <c r="BN48" s="247">
        <f t="shared" si="19"/>
        <v>739147.44000000006</v>
      </c>
      <c r="BO48" s="247">
        <f t="shared" si="20"/>
        <v>790887.76079999993</v>
      </c>
      <c r="BP48" s="247">
        <f t="shared" si="21"/>
        <v>846249.90405599971</v>
      </c>
    </row>
    <row r="49" spans="1:68" x14ac:dyDescent="0.15">
      <c r="A49" t="s">
        <v>88</v>
      </c>
      <c r="D49" s="246">
        <f t="shared" ref="D49:AI49" si="30">D37*$E11*D43</f>
        <v>107600</v>
      </c>
      <c r="E49" s="246">
        <f t="shared" si="30"/>
        <v>107600</v>
      </c>
      <c r="F49" s="246">
        <f t="shared" si="30"/>
        <v>215200</v>
      </c>
      <c r="G49" s="246">
        <f t="shared" si="30"/>
        <v>215200</v>
      </c>
      <c r="H49" s="246">
        <f t="shared" si="30"/>
        <v>322800</v>
      </c>
      <c r="I49" s="246">
        <f t="shared" si="30"/>
        <v>322800</v>
      </c>
      <c r="J49" s="246">
        <f t="shared" si="30"/>
        <v>322800</v>
      </c>
      <c r="K49" s="246">
        <f t="shared" si="30"/>
        <v>107600</v>
      </c>
      <c r="L49" s="246">
        <f t="shared" si="30"/>
        <v>107600</v>
      </c>
      <c r="M49" s="246">
        <f t="shared" si="30"/>
        <v>107600</v>
      </c>
      <c r="N49" s="246">
        <f t="shared" si="30"/>
        <v>107600</v>
      </c>
      <c r="O49" s="246">
        <f t="shared" si="30"/>
        <v>107600</v>
      </c>
      <c r="P49" s="246">
        <f t="shared" si="30"/>
        <v>46052.800000000003</v>
      </c>
      <c r="Q49" s="246">
        <f t="shared" si="30"/>
        <v>46052.800000000003</v>
      </c>
      <c r="R49" s="246">
        <f t="shared" si="30"/>
        <v>46052.800000000003</v>
      </c>
      <c r="S49" s="246">
        <f t="shared" si="30"/>
        <v>46052.800000000003</v>
      </c>
      <c r="T49" s="246">
        <f t="shared" si="30"/>
        <v>46052.800000000003</v>
      </c>
      <c r="U49" s="246">
        <f t="shared" si="30"/>
        <v>46052.800000000003</v>
      </c>
      <c r="V49" s="246">
        <f t="shared" si="30"/>
        <v>46052.800000000003</v>
      </c>
      <c r="W49" s="246">
        <f t="shared" si="30"/>
        <v>46052.800000000003</v>
      </c>
      <c r="X49" s="246">
        <f t="shared" si="30"/>
        <v>46052.800000000003</v>
      </c>
      <c r="Y49" s="246">
        <f t="shared" si="30"/>
        <v>46052.800000000003</v>
      </c>
      <c r="Z49" s="246">
        <f t="shared" si="30"/>
        <v>46052.800000000003</v>
      </c>
      <c r="AA49" s="246">
        <f t="shared" si="30"/>
        <v>46052.800000000003</v>
      </c>
      <c r="AB49" s="246">
        <f t="shared" si="30"/>
        <v>49276.495999999999</v>
      </c>
      <c r="AC49" s="246">
        <f t="shared" si="30"/>
        <v>49276.495999999999</v>
      </c>
      <c r="AD49" s="246">
        <f t="shared" si="30"/>
        <v>49276.495999999999</v>
      </c>
      <c r="AE49" s="246">
        <f t="shared" si="30"/>
        <v>49276.495999999999</v>
      </c>
      <c r="AF49" s="246">
        <f t="shared" si="30"/>
        <v>49276.495999999999</v>
      </c>
      <c r="AG49" s="246">
        <f t="shared" si="30"/>
        <v>49276.495999999999</v>
      </c>
      <c r="AH49" s="246">
        <f t="shared" si="30"/>
        <v>49276.495999999999</v>
      </c>
      <c r="AI49" s="246">
        <f t="shared" si="30"/>
        <v>49276.495999999999</v>
      </c>
      <c r="AJ49" s="246">
        <f t="shared" ref="AJ49:BK49" si="31">AJ37*$E11*AJ43</f>
        <v>49276.495999999999</v>
      </c>
      <c r="AK49" s="246">
        <f t="shared" si="31"/>
        <v>49276.495999999999</v>
      </c>
      <c r="AL49" s="246">
        <f t="shared" si="31"/>
        <v>49276.495999999999</v>
      </c>
      <c r="AM49" s="246">
        <f t="shared" si="31"/>
        <v>49276.495999999999</v>
      </c>
      <c r="AN49" s="246">
        <f t="shared" si="31"/>
        <v>52725.850720000002</v>
      </c>
      <c r="AO49" s="246">
        <f t="shared" si="31"/>
        <v>52725.850720000002</v>
      </c>
      <c r="AP49" s="246">
        <f t="shared" si="31"/>
        <v>52725.850720000002</v>
      </c>
      <c r="AQ49" s="246">
        <f t="shared" si="31"/>
        <v>52725.850720000002</v>
      </c>
      <c r="AR49" s="246">
        <f t="shared" si="31"/>
        <v>52725.850720000002</v>
      </c>
      <c r="AS49" s="246">
        <f t="shared" si="31"/>
        <v>52725.850720000002</v>
      </c>
      <c r="AT49" s="246">
        <f t="shared" si="31"/>
        <v>52725.850720000002</v>
      </c>
      <c r="AU49" s="246">
        <f t="shared" si="31"/>
        <v>52725.850720000002</v>
      </c>
      <c r="AV49" s="246">
        <f t="shared" si="31"/>
        <v>52725.850720000002</v>
      </c>
      <c r="AW49" s="246">
        <f t="shared" si="31"/>
        <v>52725.850720000002</v>
      </c>
      <c r="AX49" s="246">
        <f t="shared" si="31"/>
        <v>52725.850720000002</v>
      </c>
      <c r="AY49" s="246">
        <f t="shared" si="31"/>
        <v>52725.850720000002</v>
      </c>
      <c r="AZ49" s="246">
        <f t="shared" si="31"/>
        <v>56416.660270400003</v>
      </c>
      <c r="BA49" s="246">
        <f t="shared" si="31"/>
        <v>56416.660270400003</v>
      </c>
      <c r="BB49" s="246">
        <f t="shared" si="31"/>
        <v>56416.660270400003</v>
      </c>
      <c r="BC49" s="246">
        <f t="shared" si="31"/>
        <v>56416.660270400003</v>
      </c>
      <c r="BD49" s="246">
        <f t="shared" si="31"/>
        <v>56416.660270400003</v>
      </c>
      <c r="BE49" s="246">
        <f t="shared" si="31"/>
        <v>56416.660270400003</v>
      </c>
      <c r="BF49" s="246">
        <f t="shared" si="31"/>
        <v>56416.660270400003</v>
      </c>
      <c r="BG49" s="246">
        <f t="shared" si="31"/>
        <v>56416.660270400003</v>
      </c>
      <c r="BH49" s="246">
        <f t="shared" si="31"/>
        <v>56416.660270400003</v>
      </c>
      <c r="BI49" s="246">
        <f t="shared" si="31"/>
        <v>56416.660270400003</v>
      </c>
      <c r="BJ49" s="246">
        <f t="shared" si="31"/>
        <v>56416.660270400003</v>
      </c>
      <c r="BK49" s="246">
        <f t="shared" si="31"/>
        <v>56416.660270400003</v>
      </c>
      <c r="BL49" s="247">
        <f t="shared" si="17"/>
        <v>2152000</v>
      </c>
      <c r="BM49" s="247">
        <f t="shared" si="18"/>
        <v>552633.59999999998</v>
      </c>
      <c r="BN49" s="247">
        <f t="shared" si="19"/>
        <v>591317.95199999993</v>
      </c>
      <c r="BO49" s="247">
        <f t="shared" si="20"/>
        <v>632710.20863999997</v>
      </c>
      <c r="BP49" s="247">
        <f t="shared" si="21"/>
        <v>676999.92324480007</v>
      </c>
    </row>
    <row r="50" spans="1:68" x14ac:dyDescent="0.15">
      <c r="A50" t="s">
        <v>89</v>
      </c>
      <c r="D50" s="246">
        <f t="shared" ref="D50:AI50" si="32">D38*$E12*D43</f>
        <v>48420</v>
      </c>
      <c r="E50" s="246">
        <f t="shared" si="32"/>
        <v>48420</v>
      </c>
      <c r="F50" s="246">
        <f t="shared" si="32"/>
        <v>80700</v>
      </c>
      <c r="G50" s="246">
        <f t="shared" si="32"/>
        <v>80700</v>
      </c>
      <c r="H50" s="246">
        <f t="shared" si="32"/>
        <v>112980</v>
      </c>
      <c r="I50" s="246">
        <f t="shared" si="32"/>
        <v>112980</v>
      </c>
      <c r="J50" s="246">
        <f t="shared" si="32"/>
        <v>112980</v>
      </c>
      <c r="K50" s="246">
        <f t="shared" si="32"/>
        <v>48420</v>
      </c>
      <c r="L50" s="246">
        <f t="shared" si="32"/>
        <v>48420</v>
      </c>
      <c r="M50" s="246">
        <f t="shared" si="32"/>
        <v>48420</v>
      </c>
      <c r="N50" s="246">
        <f t="shared" si="32"/>
        <v>48420</v>
      </c>
      <c r="O50" s="246">
        <f t="shared" si="32"/>
        <v>48420</v>
      </c>
      <c r="P50" s="246">
        <f t="shared" si="32"/>
        <v>17269.8</v>
      </c>
      <c r="Q50" s="246">
        <f t="shared" si="32"/>
        <v>17269.8</v>
      </c>
      <c r="R50" s="246">
        <f t="shared" si="32"/>
        <v>17269.8</v>
      </c>
      <c r="S50" s="246">
        <f t="shared" si="32"/>
        <v>17269.8</v>
      </c>
      <c r="T50" s="246">
        <f t="shared" si="32"/>
        <v>17269.8</v>
      </c>
      <c r="U50" s="246">
        <f t="shared" si="32"/>
        <v>17269.8</v>
      </c>
      <c r="V50" s="246">
        <f t="shared" si="32"/>
        <v>17269.8</v>
      </c>
      <c r="W50" s="246">
        <f t="shared" si="32"/>
        <v>17269.8</v>
      </c>
      <c r="X50" s="246">
        <f t="shared" si="32"/>
        <v>17269.8</v>
      </c>
      <c r="Y50" s="246">
        <f t="shared" si="32"/>
        <v>17269.8</v>
      </c>
      <c r="Z50" s="246">
        <f t="shared" si="32"/>
        <v>17269.8</v>
      </c>
      <c r="AA50" s="246">
        <f t="shared" si="32"/>
        <v>17269.8</v>
      </c>
      <c r="AB50" s="246">
        <f t="shared" si="32"/>
        <v>18478.686000000002</v>
      </c>
      <c r="AC50" s="246">
        <f t="shared" si="32"/>
        <v>18478.686000000002</v>
      </c>
      <c r="AD50" s="246">
        <f t="shared" si="32"/>
        <v>18478.686000000002</v>
      </c>
      <c r="AE50" s="246">
        <f t="shared" si="32"/>
        <v>18478.686000000002</v>
      </c>
      <c r="AF50" s="246">
        <f t="shared" si="32"/>
        <v>18478.686000000002</v>
      </c>
      <c r="AG50" s="246">
        <f t="shared" si="32"/>
        <v>18478.686000000002</v>
      </c>
      <c r="AH50" s="246">
        <f t="shared" si="32"/>
        <v>18478.686000000002</v>
      </c>
      <c r="AI50" s="246">
        <f t="shared" si="32"/>
        <v>18478.686000000002</v>
      </c>
      <c r="AJ50" s="246">
        <f t="shared" ref="AJ50:BK50" si="33">AJ38*$E12*AJ43</f>
        <v>18478.686000000002</v>
      </c>
      <c r="AK50" s="246">
        <f t="shared" si="33"/>
        <v>18478.686000000002</v>
      </c>
      <c r="AL50" s="246">
        <f t="shared" si="33"/>
        <v>18478.686000000002</v>
      </c>
      <c r="AM50" s="246">
        <f t="shared" si="33"/>
        <v>18478.686000000002</v>
      </c>
      <c r="AN50" s="246">
        <f t="shared" si="33"/>
        <v>19772.194020000003</v>
      </c>
      <c r="AO50" s="246">
        <f t="shared" si="33"/>
        <v>19772.194020000003</v>
      </c>
      <c r="AP50" s="246">
        <f t="shared" si="33"/>
        <v>19772.194020000003</v>
      </c>
      <c r="AQ50" s="246">
        <f t="shared" si="33"/>
        <v>19772.194020000003</v>
      </c>
      <c r="AR50" s="246">
        <f t="shared" si="33"/>
        <v>19772.194020000003</v>
      </c>
      <c r="AS50" s="246">
        <f t="shared" si="33"/>
        <v>19772.194020000003</v>
      </c>
      <c r="AT50" s="246">
        <f t="shared" si="33"/>
        <v>19772.194020000003</v>
      </c>
      <c r="AU50" s="246">
        <f t="shared" si="33"/>
        <v>19772.194020000003</v>
      </c>
      <c r="AV50" s="246">
        <f t="shared" si="33"/>
        <v>19772.194020000003</v>
      </c>
      <c r="AW50" s="246">
        <f t="shared" si="33"/>
        <v>19772.194020000003</v>
      </c>
      <c r="AX50" s="246">
        <f t="shared" si="33"/>
        <v>19772.194020000003</v>
      </c>
      <c r="AY50" s="246">
        <f t="shared" si="33"/>
        <v>19772.194020000003</v>
      </c>
      <c r="AZ50" s="246">
        <f t="shared" si="33"/>
        <v>21156.247601399999</v>
      </c>
      <c r="BA50" s="246">
        <f t="shared" si="33"/>
        <v>21156.247601399999</v>
      </c>
      <c r="BB50" s="246">
        <f t="shared" si="33"/>
        <v>21156.247601399999</v>
      </c>
      <c r="BC50" s="246">
        <f t="shared" si="33"/>
        <v>21156.247601399999</v>
      </c>
      <c r="BD50" s="246">
        <f t="shared" si="33"/>
        <v>21156.247601399999</v>
      </c>
      <c r="BE50" s="246">
        <f t="shared" si="33"/>
        <v>21156.247601399999</v>
      </c>
      <c r="BF50" s="246">
        <f t="shared" si="33"/>
        <v>21156.247601399999</v>
      </c>
      <c r="BG50" s="246">
        <f t="shared" si="33"/>
        <v>21156.247601399999</v>
      </c>
      <c r="BH50" s="246">
        <f t="shared" si="33"/>
        <v>21156.247601399999</v>
      </c>
      <c r="BI50" s="246">
        <f t="shared" si="33"/>
        <v>21156.247601399999</v>
      </c>
      <c r="BJ50" s="246">
        <f t="shared" si="33"/>
        <v>21156.247601399999</v>
      </c>
      <c r="BK50" s="246">
        <f t="shared" si="33"/>
        <v>21156.247601399999</v>
      </c>
      <c r="BL50" s="247">
        <f t="shared" si="17"/>
        <v>839280</v>
      </c>
      <c r="BM50" s="247">
        <f t="shared" si="18"/>
        <v>207237.59999999995</v>
      </c>
      <c r="BN50" s="247">
        <f t="shared" si="19"/>
        <v>221744.23199999996</v>
      </c>
      <c r="BO50" s="247">
        <f t="shared" si="20"/>
        <v>237266.32823999997</v>
      </c>
      <c r="BP50" s="247">
        <f t="shared" si="21"/>
        <v>253874.97121680004</v>
      </c>
    </row>
    <row r="51" spans="1:68" x14ac:dyDescent="0.15">
      <c r="A51" t="s">
        <v>90</v>
      </c>
      <c r="D51" s="246">
        <f t="shared" ref="D51:AI51" si="34">D39*$E13*D43</f>
        <v>23672.000000000004</v>
      </c>
      <c r="E51" s="246">
        <f t="shared" si="34"/>
        <v>23672.000000000004</v>
      </c>
      <c r="F51" s="246">
        <f t="shared" si="34"/>
        <v>23672.000000000004</v>
      </c>
      <c r="G51" s="246">
        <f t="shared" si="34"/>
        <v>23672.000000000004</v>
      </c>
      <c r="H51" s="246">
        <f t="shared" si="34"/>
        <v>118360.00000000001</v>
      </c>
      <c r="I51" s="246">
        <f t="shared" si="34"/>
        <v>118360.00000000001</v>
      </c>
      <c r="J51" s="246">
        <f t="shared" si="34"/>
        <v>118360.00000000001</v>
      </c>
      <c r="K51" s="246">
        <f t="shared" si="34"/>
        <v>47344.000000000007</v>
      </c>
      <c r="L51" s="246">
        <f t="shared" si="34"/>
        <v>47344.000000000007</v>
      </c>
      <c r="M51" s="246">
        <f t="shared" si="34"/>
        <v>47344.000000000007</v>
      </c>
      <c r="N51" s="246">
        <f t="shared" si="34"/>
        <v>47344.000000000007</v>
      </c>
      <c r="O51" s="246">
        <f t="shared" si="34"/>
        <v>47344.000000000007</v>
      </c>
      <c r="P51" s="246">
        <f t="shared" si="34"/>
        <v>25329.040000000005</v>
      </c>
      <c r="Q51" s="246">
        <f t="shared" si="34"/>
        <v>25329.040000000005</v>
      </c>
      <c r="R51" s="246">
        <f t="shared" si="34"/>
        <v>25329.040000000005</v>
      </c>
      <c r="S51" s="246">
        <f t="shared" si="34"/>
        <v>25329.040000000005</v>
      </c>
      <c r="T51" s="246">
        <f t="shared" si="34"/>
        <v>25329.040000000005</v>
      </c>
      <c r="U51" s="246">
        <f t="shared" si="34"/>
        <v>25329.040000000005</v>
      </c>
      <c r="V51" s="246">
        <f t="shared" si="34"/>
        <v>25329.040000000005</v>
      </c>
      <c r="W51" s="246">
        <f t="shared" si="34"/>
        <v>25329.040000000005</v>
      </c>
      <c r="X51" s="246">
        <f t="shared" si="34"/>
        <v>25329.040000000005</v>
      </c>
      <c r="Y51" s="246">
        <f t="shared" si="34"/>
        <v>25329.040000000005</v>
      </c>
      <c r="Z51" s="246">
        <f t="shared" si="34"/>
        <v>25329.040000000005</v>
      </c>
      <c r="AA51" s="246">
        <f t="shared" si="34"/>
        <v>25329.040000000005</v>
      </c>
      <c r="AB51" s="246">
        <f t="shared" si="34"/>
        <v>27102.072800000005</v>
      </c>
      <c r="AC51" s="246">
        <f t="shared" si="34"/>
        <v>27102.072800000005</v>
      </c>
      <c r="AD51" s="246">
        <f t="shared" si="34"/>
        <v>27102.072800000005</v>
      </c>
      <c r="AE51" s="246">
        <f t="shared" si="34"/>
        <v>27102.072800000005</v>
      </c>
      <c r="AF51" s="246">
        <f t="shared" si="34"/>
        <v>27102.072800000005</v>
      </c>
      <c r="AG51" s="246">
        <f t="shared" si="34"/>
        <v>27102.072800000005</v>
      </c>
      <c r="AH51" s="246">
        <f t="shared" si="34"/>
        <v>27102.072800000005</v>
      </c>
      <c r="AI51" s="246">
        <f t="shared" si="34"/>
        <v>27102.072800000005</v>
      </c>
      <c r="AJ51" s="246">
        <f t="shared" ref="AJ51:BK51" si="35">AJ39*$E13*AJ43</f>
        <v>27102.072800000005</v>
      </c>
      <c r="AK51" s="246">
        <f t="shared" si="35"/>
        <v>27102.072800000005</v>
      </c>
      <c r="AL51" s="246">
        <f t="shared" si="35"/>
        <v>27102.072800000005</v>
      </c>
      <c r="AM51" s="246">
        <f t="shared" si="35"/>
        <v>27102.072800000005</v>
      </c>
      <c r="AN51" s="246">
        <f t="shared" si="35"/>
        <v>28999.217896000006</v>
      </c>
      <c r="AO51" s="246">
        <f t="shared" si="35"/>
        <v>28999.217896000006</v>
      </c>
      <c r="AP51" s="246">
        <f t="shared" si="35"/>
        <v>28999.217896000006</v>
      </c>
      <c r="AQ51" s="246">
        <f t="shared" si="35"/>
        <v>28999.217896000006</v>
      </c>
      <c r="AR51" s="246">
        <f t="shared" si="35"/>
        <v>28999.217896000006</v>
      </c>
      <c r="AS51" s="246">
        <f t="shared" si="35"/>
        <v>28999.217896000006</v>
      </c>
      <c r="AT51" s="246">
        <f t="shared" si="35"/>
        <v>28999.217896000006</v>
      </c>
      <c r="AU51" s="246">
        <f t="shared" si="35"/>
        <v>28999.217896000006</v>
      </c>
      <c r="AV51" s="246">
        <f t="shared" si="35"/>
        <v>28999.217896000006</v>
      </c>
      <c r="AW51" s="246">
        <f t="shared" si="35"/>
        <v>28999.217896000006</v>
      </c>
      <c r="AX51" s="246">
        <f t="shared" si="35"/>
        <v>28999.217896000006</v>
      </c>
      <c r="AY51" s="246">
        <f t="shared" si="35"/>
        <v>28999.217896000006</v>
      </c>
      <c r="AZ51" s="246">
        <f t="shared" si="35"/>
        <v>31029.163148720007</v>
      </c>
      <c r="BA51" s="246">
        <f t="shared" si="35"/>
        <v>31029.163148720007</v>
      </c>
      <c r="BB51" s="246">
        <f t="shared" si="35"/>
        <v>31029.163148720007</v>
      </c>
      <c r="BC51" s="246">
        <f t="shared" si="35"/>
        <v>31029.163148720007</v>
      </c>
      <c r="BD51" s="246">
        <f t="shared" si="35"/>
        <v>31029.163148720007</v>
      </c>
      <c r="BE51" s="246">
        <f t="shared" si="35"/>
        <v>31029.163148720007</v>
      </c>
      <c r="BF51" s="246">
        <f t="shared" si="35"/>
        <v>31029.163148720007</v>
      </c>
      <c r="BG51" s="246">
        <f t="shared" si="35"/>
        <v>31029.163148720007</v>
      </c>
      <c r="BH51" s="246">
        <f t="shared" si="35"/>
        <v>31029.163148720007</v>
      </c>
      <c r="BI51" s="246">
        <f t="shared" si="35"/>
        <v>31029.163148720007</v>
      </c>
      <c r="BJ51" s="246">
        <f t="shared" si="35"/>
        <v>31029.163148720007</v>
      </c>
      <c r="BK51" s="246">
        <f t="shared" si="35"/>
        <v>31029.163148720007</v>
      </c>
      <c r="BL51" s="247">
        <f t="shared" si="17"/>
        <v>686488.00000000012</v>
      </c>
      <c r="BM51" s="247">
        <f t="shared" si="18"/>
        <v>303948.48000000004</v>
      </c>
      <c r="BN51" s="247">
        <f t="shared" si="19"/>
        <v>325224.87360000005</v>
      </c>
      <c r="BO51" s="247">
        <f t="shared" si="20"/>
        <v>347990.61475200014</v>
      </c>
      <c r="BP51" s="247">
        <f t="shared" si="21"/>
        <v>372349.95778463996</v>
      </c>
    </row>
    <row r="52" spans="1:68" x14ac:dyDescent="0.15">
      <c r="A52" s="241" t="s">
        <v>91</v>
      </c>
      <c r="D52" s="248">
        <f t="shared" ref="D52:AI52" si="36">SUM(D44:D51)</f>
        <v>1212652</v>
      </c>
      <c r="E52" s="248">
        <f t="shared" si="36"/>
        <v>1212652</v>
      </c>
      <c r="F52" s="248">
        <f t="shared" si="36"/>
        <v>1239552</v>
      </c>
      <c r="G52" s="248">
        <f t="shared" si="36"/>
        <v>1239552</v>
      </c>
      <c r="H52" s="248">
        <f t="shared" si="36"/>
        <v>1609696</v>
      </c>
      <c r="I52" s="248">
        <f t="shared" si="36"/>
        <v>1532224</v>
      </c>
      <c r="J52" s="248">
        <f t="shared" si="36"/>
        <v>1532224</v>
      </c>
      <c r="K52" s="248">
        <f t="shared" si="36"/>
        <v>586420</v>
      </c>
      <c r="L52" s="248">
        <f t="shared" si="36"/>
        <v>586420</v>
      </c>
      <c r="M52" s="248">
        <f t="shared" si="36"/>
        <v>586420</v>
      </c>
      <c r="N52" s="248">
        <f t="shared" si="36"/>
        <v>586420</v>
      </c>
      <c r="O52" s="248">
        <f t="shared" si="36"/>
        <v>586420</v>
      </c>
      <c r="P52" s="248">
        <f t="shared" si="36"/>
        <v>280922.07999999996</v>
      </c>
      <c r="Q52" s="248">
        <f t="shared" si="36"/>
        <v>280922.07999999996</v>
      </c>
      <c r="R52" s="248">
        <f t="shared" si="36"/>
        <v>280922.07999999996</v>
      </c>
      <c r="S52" s="248">
        <f t="shared" si="36"/>
        <v>280922.07999999996</v>
      </c>
      <c r="T52" s="248">
        <f t="shared" si="36"/>
        <v>280922.07999999996</v>
      </c>
      <c r="U52" s="248">
        <f t="shared" si="36"/>
        <v>280922.07999999996</v>
      </c>
      <c r="V52" s="248">
        <f t="shared" si="36"/>
        <v>280922.07999999996</v>
      </c>
      <c r="W52" s="248">
        <f t="shared" si="36"/>
        <v>280922.07999999996</v>
      </c>
      <c r="X52" s="248">
        <f t="shared" si="36"/>
        <v>280922.07999999996</v>
      </c>
      <c r="Y52" s="248">
        <f t="shared" si="36"/>
        <v>280922.07999999996</v>
      </c>
      <c r="Z52" s="248">
        <f t="shared" si="36"/>
        <v>280922.07999999996</v>
      </c>
      <c r="AA52" s="248">
        <f t="shared" si="36"/>
        <v>280922.07999999996</v>
      </c>
      <c r="AB52" s="248">
        <f t="shared" si="36"/>
        <v>300586.62560000003</v>
      </c>
      <c r="AC52" s="248">
        <f t="shared" si="36"/>
        <v>300586.62560000003</v>
      </c>
      <c r="AD52" s="248">
        <f t="shared" si="36"/>
        <v>300586.62560000003</v>
      </c>
      <c r="AE52" s="248">
        <f t="shared" si="36"/>
        <v>300586.62560000003</v>
      </c>
      <c r="AF52" s="248">
        <f t="shared" si="36"/>
        <v>300586.62560000003</v>
      </c>
      <c r="AG52" s="248">
        <f t="shared" si="36"/>
        <v>300586.62560000003</v>
      </c>
      <c r="AH52" s="248">
        <f t="shared" si="36"/>
        <v>300586.62560000003</v>
      </c>
      <c r="AI52" s="248">
        <f t="shared" si="36"/>
        <v>300586.62560000003</v>
      </c>
      <c r="AJ52" s="248">
        <f t="shared" ref="AJ52:BK52" si="37">SUM(AJ44:AJ51)</f>
        <v>300586.62560000003</v>
      </c>
      <c r="AK52" s="248">
        <f t="shared" si="37"/>
        <v>300586.62560000003</v>
      </c>
      <c r="AL52" s="248">
        <f t="shared" si="37"/>
        <v>300586.62560000003</v>
      </c>
      <c r="AM52" s="248">
        <f t="shared" si="37"/>
        <v>300586.62560000003</v>
      </c>
      <c r="AN52" s="248">
        <f t="shared" si="37"/>
        <v>321627.68939199997</v>
      </c>
      <c r="AO52" s="248">
        <f t="shared" si="37"/>
        <v>321627.68939199997</v>
      </c>
      <c r="AP52" s="248">
        <f t="shared" si="37"/>
        <v>321627.68939199997</v>
      </c>
      <c r="AQ52" s="248">
        <f t="shared" si="37"/>
        <v>321627.68939199997</v>
      </c>
      <c r="AR52" s="248">
        <f t="shared" si="37"/>
        <v>321627.68939199997</v>
      </c>
      <c r="AS52" s="248">
        <f t="shared" si="37"/>
        <v>321627.68939199997</v>
      </c>
      <c r="AT52" s="248">
        <f t="shared" si="37"/>
        <v>321627.68939199997</v>
      </c>
      <c r="AU52" s="248">
        <f t="shared" si="37"/>
        <v>321627.68939199997</v>
      </c>
      <c r="AV52" s="248">
        <f t="shared" si="37"/>
        <v>321627.68939199997</v>
      </c>
      <c r="AW52" s="248">
        <f t="shared" si="37"/>
        <v>321627.68939199997</v>
      </c>
      <c r="AX52" s="248">
        <f t="shared" si="37"/>
        <v>321627.68939199997</v>
      </c>
      <c r="AY52" s="248">
        <f t="shared" si="37"/>
        <v>321627.68939199997</v>
      </c>
      <c r="AZ52" s="248">
        <f t="shared" si="37"/>
        <v>344141.62764944002</v>
      </c>
      <c r="BA52" s="248">
        <f t="shared" si="37"/>
        <v>344141.62764944002</v>
      </c>
      <c r="BB52" s="248">
        <f t="shared" si="37"/>
        <v>344141.62764944002</v>
      </c>
      <c r="BC52" s="248">
        <f t="shared" si="37"/>
        <v>344141.62764944002</v>
      </c>
      <c r="BD52" s="248">
        <f t="shared" si="37"/>
        <v>344141.62764944002</v>
      </c>
      <c r="BE52" s="248">
        <f t="shared" si="37"/>
        <v>344141.62764944002</v>
      </c>
      <c r="BF52" s="248">
        <f t="shared" si="37"/>
        <v>344141.62764944002</v>
      </c>
      <c r="BG52" s="248">
        <f t="shared" si="37"/>
        <v>344141.62764944002</v>
      </c>
      <c r="BH52" s="248">
        <f t="shared" si="37"/>
        <v>344141.62764944002</v>
      </c>
      <c r="BI52" s="248">
        <f t="shared" si="37"/>
        <v>344141.62764944002</v>
      </c>
      <c r="BJ52" s="248">
        <f t="shared" si="37"/>
        <v>344141.62764944002</v>
      </c>
      <c r="BK52" s="248">
        <f t="shared" si="37"/>
        <v>344141.62764944002</v>
      </c>
      <c r="BL52" s="249">
        <f t="shared" si="17"/>
        <v>12510652</v>
      </c>
      <c r="BM52" s="249">
        <f t="shared" si="18"/>
        <v>3371064.9600000004</v>
      </c>
      <c r="BN52" s="249">
        <f t="shared" si="19"/>
        <v>3607039.5071999994</v>
      </c>
      <c r="BO52" s="249">
        <f t="shared" si="20"/>
        <v>3859532.2727039997</v>
      </c>
      <c r="BP52" s="249">
        <f t="shared" si="21"/>
        <v>4129699.53179328</v>
      </c>
    </row>
    <row r="53" spans="1:68" x14ac:dyDescent="0.15">
      <c r="A53" s="232" t="s">
        <v>92</v>
      </c>
      <c r="D53" s="250">
        <f t="shared" ref="D53:AI53" si="38">D52/1000000</f>
        <v>1.2126520000000001</v>
      </c>
      <c r="E53" s="250">
        <f t="shared" si="38"/>
        <v>1.2126520000000001</v>
      </c>
      <c r="F53" s="250">
        <f t="shared" si="38"/>
        <v>1.239552</v>
      </c>
      <c r="G53" s="250">
        <f t="shared" si="38"/>
        <v>1.239552</v>
      </c>
      <c r="H53" s="250">
        <f t="shared" si="38"/>
        <v>1.609696</v>
      </c>
      <c r="I53" s="250">
        <f t="shared" si="38"/>
        <v>1.532224</v>
      </c>
      <c r="J53" s="250">
        <f t="shared" si="38"/>
        <v>1.532224</v>
      </c>
      <c r="K53" s="250">
        <f t="shared" si="38"/>
        <v>0.58642000000000005</v>
      </c>
      <c r="L53" s="250">
        <f t="shared" si="38"/>
        <v>0.58642000000000005</v>
      </c>
      <c r="M53" s="250">
        <f t="shared" si="38"/>
        <v>0.58642000000000005</v>
      </c>
      <c r="N53" s="250">
        <f t="shared" si="38"/>
        <v>0.58642000000000005</v>
      </c>
      <c r="O53" s="250">
        <f t="shared" si="38"/>
        <v>0.58642000000000005</v>
      </c>
      <c r="P53" s="250">
        <f t="shared" si="38"/>
        <v>0.28092207999999996</v>
      </c>
      <c r="Q53" s="250">
        <f t="shared" si="38"/>
        <v>0.28092207999999996</v>
      </c>
      <c r="R53" s="250">
        <f t="shared" si="38"/>
        <v>0.28092207999999996</v>
      </c>
      <c r="S53" s="250">
        <f t="shared" si="38"/>
        <v>0.28092207999999996</v>
      </c>
      <c r="T53" s="250">
        <f t="shared" si="38"/>
        <v>0.28092207999999996</v>
      </c>
      <c r="U53" s="250">
        <f t="shared" si="38"/>
        <v>0.28092207999999996</v>
      </c>
      <c r="V53" s="250">
        <f t="shared" si="38"/>
        <v>0.28092207999999996</v>
      </c>
      <c r="W53" s="250">
        <f t="shared" si="38"/>
        <v>0.28092207999999996</v>
      </c>
      <c r="X53" s="250">
        <f t="shared" si="38"/>
        <v>0.28092207999999996</v>
      </c>
      <c r="Y53" s="250">
        <f t="shared" si="38"/>
        <v>0.28092207999999996</v>
      </c>
      <c r="Z53" s="250">
        <f t="shared" si="38"/>
        <v>0.28092207999999996</v>
      </c>
      <c r="AA53" s="250">
        <f t="shared" si="38"/>
        <v>0.28092207999999996</v>
      </c>
      <c r="AB53" s="250">
        <f t="shared" si="38"/>
        <v>0.30058662560000005</v>
      </c>
      <c r="AC53" s="250">
        <f t="shared" si="38"/>
        <v>0.30058662560000005</v>
      </c>
      <c r="AD53" s="250">
        <f t="shared" si="38"/>
        <v>0.30058662560000005</v>
      </c>
      <c r="AE53" s="250">
        <f t="shared" si="38"/>
        <v>0.30058662560000005</v>
      </c>
      <c r="AF53" s="250">
        <f t="shared" si="38"/>
        <v>0.30058662560000005</v>
      </c>
      <c r="AG53" s="250">
        <f t="shared" si="38"/>
        <v>0.30058662560000005</v>
      </c>
      <c r="AH53" s="250">
        <f t="shared" si="38"/>
        <v>0.30058662560000005</v>
      </c>
      <c r="AI53" s="250">
        <f t="shared" si="38"/>
        <v>0.30058662560000005</v>
      </c>
      <c r="AJ53" s="250">
        <f t="shared" ref="AJ53:BO53" si="39">AJ52/1000000</f>
        <v>0.30058662560000005</v>
      </c>
      <c r="AK53" s="250">
        <f t="shared" si="39"/>
        <v>0.30058662560000005</v>
      </c>
      <c r="AL53" s="250">
        <f t="shared" si="39"/>
        <v>0.30058662560000005</v>
      </c>
      <c r="AM53" s="250">
        <f t="shared" si="39"/>
        <v>0.30058662560000005</v>
      </c>
      <c r="AN53" s="250">
        <f t="shared" si="39"/>
        <v>0.32162768939199998</v>
      </c>
      <c r="AO53" s="250">
        <f t="shared" si="39"/>
        <v>0.32162768939199998</v>
      </c>
      <c r="AP53" s="250">
        <f t="shared" si="39"/>
        <v>0.32162768939199998</v>
      </c>
      <c r="AQ53" s="250">
        <f t="shared" si="39"/>
        <v>0.32162768939199998</v>
      </c>
      <c r="AR53" s="250">
        <f t="shared" si="39"/>
        <v>0.32162768939199998</v>
      </c>
      <c r="AS53" s="250">
        <f t="shared" si="39"/>
        <v>0.32162768939199998</v>
      </c>
      <c r="AT53" s="250">
        <f t="shared" si="39"/>
        <v>0.32162768939199998</v>
      </c>
      <c r="AU53" s="250">
        <f t="shared" si="39"/>
        <v>0.32162768939199998</v>
      </c>
      <c r="AV53" s="250">
        <f t="shared" si="39"/>
        <v>0.32162768939199998</v>
      </c>
      <c r="AW53" s="250">
        <f t="shared" si="39"/>
        <v>0.32162768939199998</v>
      </c>
      <c r="AX53" s="250">
        <f t="shared" si="39"/>
        <v>0.32162768939199998</v>
      </c>
      <c r="AY53" s="250">
        <f t="shared" si="39"/>
        <v>0.32162768939199998</v>
      </c>
      <c r="AZ53" s="250">
        <f t="shared" si="39"/>
        <v>0.34414162764944001</v>
      </c>
      <c r="BA53" s="250">
        <f t="shared" si="39"/>
        <v>0.34414162764944001</v>
      </c>
      <c r="BB53" s="250">
        <f t="shared" si="39"/>
        <v>0.34414162764944001</v>
      </c>
      <c r="BC53" s="250">
        <f t="shared" si="39"/>
        <v>0.34414162764944001</v>
      </c>
      <c r="BD53" s="250">
        <f t="shared" si="39"/>
        <v>0.34414162764944001</v>
      </c>
      <c r="BE53" s="250">
        <f t="shared" si="39"/>
        <v>0.34414162764944001</v>
      </c>
      <c r="BF53" s="250">
        <f t="shared" si="39"/>
        <v>0.34414162764944001</v>
      </c>
      <c r="BG53" s="250">
        <f t="shared" si="39"/>
        <v>0.34414162764944001</v>
      </c>
      <c r="BH53" s="250">
        <f t="shared" si="39"/>
        <v>0.34414162764944001</v>
      </c>
      <c r="BI53" s="250">
        <f t="shared" si="39"/>
        <v>0.34414162764944001</v>
      </c>
      <c r="BJ53" s="250">
        <f t="shared" si="39"/>
        <v>0.34414162764944001</v>
      </c>
      <c r="BK53" s="250">
        <f t="shared" si="39"/>
        <v>0.34414162764944001</v>
      </c>
      <c r="BL53" s="251">
        <f t="shared" si="39"/>
        <v>12.510652</v>
      </c>
      <c r="BM53" s="251">
        <f t="shared" si="39"/>
        <v>3.3710649600000004</v>
      </c>
      <c r="BN53" s="251">
        <f t="shared" si="39"/>
        <v>3.6070395071999992</v>
      </c>
      <c r="BO53" s="251">
        <f t="shared" si="39"/>
        <v>3.8595322727039996</v>
      </c>
      <c r="BP53" s="251">
        <f t="shared" ref="BP53" si="40">BP52/1000000</f>
        <v>4.1296995317932801</v>
      </c>
    </row>
  </sheetData>
  <mergeCells count="8">
    <mergeCell ref="A42:N42"/>
    <mergeCell ref="A28:N28"/>
    <mergeCell ref="A1:N1"/>
    <mergeCell ref="A17:N17"/>
    <mergeCell ref="A4:N4"/>
    <mergeCell ref="A2:N2"/>
    <mergeCell ref="A15:N15"/>
    <mergeCell ref="A29:N2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P36"/>
  <sheetViews>
    <sheetView workbookViewId="0">
      <pane xSplit="3" ySplit="12" topLeftCell="D13" activePane="bottomRight" state="frozen"/>
      <selection pane="topRight"/>
      <selection pane="bottomLeft"/>
      <selection pane="bottomRight" activeCell="AC46" sqref="AC46"/>
    </sheetView>
  </sheetViews>
  <sheetFormatPr baseColWidth="10" defaultColWidth="8.83203125" defaultRowHeight="13" x14ac:dyDescent="0.15"/>
  <cols>
    <col min="1" max="1" width="50" customWidth="1"/>
    <col min="2" max="2" width="12" customWidth="1"/>
    <col min="3" max="3" width="14" customWidth="1"/>
    <col min="4" max="63" width="10" customWidth="1"/>
    <col min="64" max="68" width="13" customWidth="1"/>
  </cols>
  <sheetData>
    <row r="1" spans="1:68" ht="18" customHeight="1" x14ac:dyDescent="0.2">
      <c r="A1" s="325" t="s">
        <v>828</v>
      </c>
      <c r="B1" s="315"/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315"/>
      <c r="N1" s="315"/>
    </row>
    <row r="2" spans="1:68" x14ac:dyDescent="0.15">
      <c r="A2" s="318" t="s">
        <v>229</v>
      </c>
      <c r="B2" s="315"/>
      <c r="C2" s="315"/>
      <c r="D2" s="315"/>
      <c r="E2" s="315"/>
      <c r="F2" s="315"/>
      <c r="G2" s="315"/>
      <c r="H2" s="315"/>
      <c r="I2" s="315"/>
      <c r="J2" s="315"/>
      <c r="K2" s="315"/>
      <c r="L2" s="315"/>
      <c r="M2" s="315"/>
      <c r="N2" s="315"/>
    </row>
    <row r="4" spans="1:68" ht="16" customHeight="1" x14ac:dyDescent="0.2">
      <c r="A4" s="319" t="s">
        <v>230</v>
      </c>
      <c r="B4" s="315"/>
      <c r="C4" s="315"/>
      <c r="D4" s="315"/>
      <c r="E4" s="315"/>
      <c r="F4" s="315"/>
      <c r="G4" s="315"/>
      <c r="H4" s="315"/>
      <c r="I4" s="315"/>
      <c r="J4" s="315"/>
      <c r="K4" s="315"/>
      <c r="L4" s="315"/>
      <c r="M4" s="315"/>
      <c r="N4" s="315"/>
    </row>
    <row r="5" spans="1:68" x14ac:dyDescent="0.15">
      <c r="A5" t="s">
        <v>231</v>
      </c>
      <c r="B5" s="258">
        <v>0</v>
      </c>
    </row>
    <row r="6" spans="1:68" x14ac:dyDescent="0.15">
      <c r="A6" t="s">
        <v>232</v>
      </c>
      <c r="B6" s="258">
        <v>2</v>
      </c>
    </row>
    <row r="7" spans="1:68" x14ac:dyDescent="0.15">
      <c r="A7" t="s">
        <v>233</v>
      </c>
      <c r="B7" s="258">
        <v>1</v>
      </c>
    </row>
    <row r="8" spans="1:68" x14ac:dyDescent="0.15">
      <c r="A8" t="s">
        <v>234</v>
      </c>
      <c r="B8">
        <f>12</f>
        <v>12</v>
      </c>
    </row>
    <row r="9" spans="1:68" x14ac:dyDescent="0.15">
      <c r="A9" t="s">
        <v>829</v>
      </c>
      <c r="B9">
        <f>13</f>
        <v>13</v>
      </c>
    </row>
    <row r="11" spans="1:68" ht="14" customHeight="1" x14ac:dyDescent="0.15">
      <c r="A11" s="232" t="s">
        <v>159</v>
      </c>
      <c r="B11" s="232" t="s">
        <v>161</v>
      </c>
      <c r="D11" s="235">
        <v>2026</v>
      </c>
      <c r="E11" s="235">
        <v>2026</v>
      </c>
      <c r="F11" s="235">
        <v>2026</v>
      </c>
      <c r="G11" s="235">
        <v>2026</v>
      </c>
      <c r="H11" s="235">
        <v>2026</v>
      </c>
      <c r="I11" s="235">
        <v>2026</v>
      </c>
      <c r="J11" s="235">
        <v>2026</v>
      </c>
      <c r="K11" s="235">
        <v>2026</v>
      </c>
      <c r="L11" s="235">
        <v>2026</v>
      </c>
      <c r="M11" s="235">
        <v>2026</v>
      </c>
      <c r="N11" s="235">
        <v>2026</v>
      </c>
      <c r="O11" s="235">
        <v>2026</v>
      </c>
      <c r="P11" s="235">
        <v>2027</v>
      </c>
      <c r="Q11" s="235">
        <v>2027</v>
      </c>
      <c r="R11" s="235">
        <v>2027</v>
      </c>
      <c r="S11" s="235">
        <v>2027</v>
      </c>
      <c r="T11" s="235">
        <v>2027</v>
      </c>
      <c r="U11" s="235">
        <v>2027</v>
      </c>
      <c r="V11" s="235">
        <v>2027</v>
      </c>
      <c r="W11" s="235">
        <v>2027</v>
      </c>
      <c r="X11" s="235">
        <v>2027</v>
      </c>
      <c r="Y11" s="235">
        <v>2027</v>
      </c>
      <c r="Z11" s="235">
        <v>2027</v>
      </c>
      <c r="AA11" s="235">
        <v>2027</v>
      </c>
      <c r="AB11" s="235">
        <v>2028</v>
      </c>
      <c r="AC11" s="235">
        <v>2028</v>
      </c>
      <c r="AD11" s="235">
        <v>2028</v>
      </c>
      <c r="AE11" s="235">
        <v>2028</v>
      </c>
      <c r="AF11" s="235">
        <v>2028</v>
      </c>
      <c r="AG11" s="235">
        <v>2028</v>
      </c>
      <c r="AH11" s="235">
        <v>2028</v>
      </c>
      <c r="AI11" s="235">
        <v>2028</v>
      </c>
      <c r="AJ11" s="235">
        <v>2028</v>
      </c>
      <c r="AK11" s="235">
        <v>2028</v>
      </c>
      <c r="AL11" s="235">
        <v>2028</v>
      </c>
      <c r="AM11" s="235">
        <v>2028</v>
      </c>
      <c r="AN11" s="235">
        <v>2029</v>
      </c>
      <c r="AO11" s="235">
        <v>2029</v>
      </c>
      <c r="AP11" s="235">
        <v>2029</v>
      </c>
      <c r="AQ11" s="235">
        <v>2029</v>
      </c>
      <c r="AR11" s="235">
        <v>2029</v>
      </c>
      <c r="AS11" s="235">
        <v>2029</v>
      </c>
      <c r="AT11" s="235">
        <v>2029</v>
      </c>
      <c r="AU11" s="235">
        <v>2029</v>
      </c>
      <c r="AV11" s="235">
        <v>2029</v>
      </c>
      <c r="AW11" s="235">
        <v>2029</v>
      </c>
      <c r="AX11" s="235">
        <v>2029</v>
      </c>
      <c r="AY11" s="235">
        <v>2029</v>
      </c>
      <c r="AZ11" s="235">
        <v>2030</v>
      </c>
      <c r="BA11" s="235">
        <v>2030</v>
      </c>
      <c r="BB11" s="235">
        <v>2030</v>
      </c>
      <c r="BC11" s="235">
        <v>2030</v>
      </c>
      <c r="BD11" s="235">
        <v>2030</v>
      </c>
      <c r="BE11" s="235">
        <v>2030</v>
      </c>
      <c r="BF11" s="235">
        <v>2030</v>
      </c>
      <c r="BG11" s="235">
        <v>2030</v>
      </c>
      <c r="BH11" s="235">
        <v>2030</v>
      </c>
      <c r="BI11" s="235">
        <v>2030</v>
      </c>
      <c r="BJ11" s="235">
        <v>2030</v>
      </c>
      <c r="BK11" s="235">
        <v>2030</v>
      </c>
      <c r="BL11" s="235" t="s">
        <v>56</v>
      </c>
      <c r="BM11" s="235" t="s">
        <v>57</v>
      </c>
      <c r="BN11" s="235" t="s">
        <v>58</v>
      </c>
      <c r="BO11" s="235" t="s">
        <v>59</v>
      </c>
      <c r="BP11" s="235" t="s">
        <v>60</v>
      </c>
    </row>
    <row r="12" spans="1:68" ht="14" customHeight="1" x14ac:dyDescent="0.15">
      <c r="D12" s="236" t="s">
        <v>61</v>
      </c>
      <c r="E12" s="236" t="s">
        <v>62</v>
      </c>
      <c r="F12" s="236" t="s">
        <v>63</v>
      </c>
      <c r="G12" s="236" t="s">
        <v>64</v>
      </c>
      <c r="H12" s="236" t="s">
        <v>65</v>
      </c>
      <c r="I12" s="236" t="s">
        <v>66</v>
      </c>
      <c r="J12" s="236" t="s">
        <v>67</v>
      </c>
      <c r="K12" s="236" t="s">
        <v>68</v>
      </c>
      <c r="L12" s="236" t="s">
        <v>69</v>
      </c>
      <c r="M12" s="236" t="s">
        <v>70</v>
      </c>
      <c r="N12" s="236" t="s">
        <v>71</v>
      </c>
      <c r="O12" s="236" t="s">
        <v>72</v>
      </c>
      <c r="P12" s="236" t="s">
        <v>61</v>
      </c>
      <c r="Q12" s="236" t="s">
        <v>62</v>
      </c>
      <c r="R12" s="236" t="s">
        <v>63</v>
      </c>
      <c r="S12" s="236" t="s">
        <v>64</v>
      </c>
      <c r="T12" s="236" t="s">
        <v>65</v>
      </c>
      <c r="U12" s="236" t="s">
        <v>66</v>
      </c>
      <c r="V12" s="236" t="s">
        <v>67</v>
      </c>
      <c r="W12" s="236" t="s">
        <v>68</v>
      </c>
      <c r="X12" s="236" t="s">
        <v>69</v>
      </c>
      <c r="Y12" s="236" t="s">
        <v>70</v>
      </c>
      <c r="Z12" s="236" t="s">
        <v>71</v>
      </c>
      <c r="AA12" s="236" t="s">
        <v>72</v>
      </c>
      <c r="AB12" s="236" t="s">
        <v>61</v>
      </c>
      <c r="AC12" s="236" t="s">
        <v>62</v>
      </c>
      <c r="AD12" s="236" t="s">
        <v>63</v>
      </c>
      <c r="AE12" s="236" t="s">
        <v>64</v>
      </c>
      <c r="AF12" s="236" t="s">
        <v>65</v>
      </c>
      <c r="AG12" s="236" t="s">
        <v>66</v>
      </c>
      <c r="AH12" s="236" t="s">
        <v>67</v>
      </c>
      <c r="AI12" s="236" t="s">
        <v>68</v>
      </c>
      <c r="AJ12" s="236" t="s">
        <v>69</v>
      </c>
      <c r="AK12" s="236" t="s">
        <v>70</v>
      </c>
      <c r="AL12" s="236" t="s">
        <v>71</v>
      </c>
      <c r="AM12" s="236" t="s">
        <v>72</v>
      </c>
      <c r="AN12" s="236" t="s">
        <v>61</v>
      </c>
      <c r="AO12" s="236" t="s">
        <v>62</v>
      </c>
      <c r="AP12" s="236" t="s">
        <v>63</v>
      </c>
      <c r="AQ12" s="236" t="s">
        <v>64</v>
      </c>
      <c r="AR12" s="236" t="s">
        <v>65</v>
      </c>
      <c r="AS12" s="236" t="s">
        <v>66</v>
      </c>
      <c r="AT12" s="236" t="s">
        <v>67</v>
      </c>
      <c r="AU12" s="236" t="s">
        <v>68</v>
      </c>
      <c r="AV12" s="236" t="s">
        <v>69</v>
      </c>
      <c r="AW12" s="236" t="s">
        <v>70</v>
      </c>
      <c r="AX12" s="236" t="s">
        <v>71</v>
      </c>
      <c r="AY12" s="236" t="s">
        <v>72</v>
      </c>
      <c r="AZ12" s="236" t="s">
        <v>61</v>
      </c>
      <c r="BA12" s="236" t="s">
        <v>62</v>
      </c>
      <c r="BB12" s="236" t="s">
        <v>63</v>
      </c>
      <c r="BC12" s="236" t="s">
        <v>64</v>
      </c>
      <c r="BD12" s="236" t="s">
        <v>65</v>
      </c>
      <c r="BE12" s="236" t="s">
        <v>66</v>
      </c>
      <c r="BF12" s="236" t="s">
        <v>67</v>
      </c>
      <c r="BG12" s="236" t="s">
        <v>68</v>
      </c>
      <c r="BH12" s="236" t="s">
        <v>69</v>
      </c>
      <c r="BI12" s="236" t="s">
        <v>70</v>
      </c>
      <c r="BJ12" s="236" t="s">
        <v>71</v>
      </c>
      <c r="BK12" s="236" t="s">
        <v>72</v>
      </c>
    </row>
    <row r="14" spans="1:68" ht="16" customHeight="1" x14ac:dyDescent="0.2">
      <c r="A14" s="265" t="s">
        <v>235</v>
      </c>
    </row>
    <row r="15" spans="1:68" x14ac:dyDescent="0.15">
      <c r="A15" t="s">
        <v>830</v>
      </c>
      <c r="B15" t="s">
        <v>236</v>
      </c>
      <c r="D15" s="261">
        <f>PnL!D39</f>
        <v>0</v>
      </c>
      <c r="E15" s="261">
        <f>PnL!E39</f>
        <v>0</v>
      </c>
      <c r="F15" s="261">
        <f>PnL!F39</f>
        <v>0.15844522149154244</v>
      </c>
      <c r="G15" s="261">
        <f>PnL!G39</f>
        <v>0.27819142983488243</v>
      </c>
      <c r="H15" s="261">
        <f>PnL!H39</f>
        <v>0.49853748645673013</v>
      </c>
      <c r="I15" s="261">
        <f>PnL!I39</f>
        <v>0.74955597059703993</v>
      </c>
      <c r="J15" s="261">
        <f>PnL!J39</f>
        <v>1.0177592746167592</v>
      </c>
      <c r="K15" s="261">
        <f>PnL!K39</f>
        <v>1.3382381353057127</v>
      </c>
      <c r="L15" s="261">
        <f>PnL!L39</f>
        <v>1.5848962333260752</v>
      </c>
      <c r="M15" s="261">
        <f>PnL!M39</f>
        <v>1.8016447177055077</v>
      </c>
      <c r="N15" s="261">
        <f>PnL!N39</f>
        <v>2.3904778291678377</v>
      </c>
      <c r="O15" s="261">
        <f>PnL!O39</f>
        <v>2.5811737758166733</v>
      </c>
      <c r="P15" s="261">
        <f>PnL!P39</f>
        <v>1.1352959905123574</v>
      </c>
      <c r="Q15" s="261">
        <f>PnL!Q39</f>
        <v>2.3516511157778286</v>
      </c>
      <c r="R15" s="261">
        <f>PnL!R39</f>
        <v>2.4030901464290841</v>
      </c>
      <c r="S15" s="261">
        <f>PnL!S39</f>
        <v>2.4353588319567709</v>
      </c>
      <c r="T15" s="261">
        <f>PnL!T39</f>
        <v>2.4564516684622126</v>
      </c>
      <c r="U15" s="261">
        <f>PnL!U39</f>
        <v>2.4714058437750701</v>
      </c>
      <c r="V15" s="261">
        <f>PnL!V39</f>
        <v>2.4830991730684926</v>
      </c>
      <c r="W15" s="261">
        <f>PnL!W39</f>
        <v>2.4930951691430847</v>
      </c>
      <c r="X15" s="261">
        <f>PnL!X39</f>
        <v>2.5022215986636511</v>
      </c>
      <c r="Y15" s="261">
        <f>PnL!Y39</f>
        <v>2.5109109272943777</v>
      </c>
      <c r="Z15" s="261">
        <f>PnL!Z39</f>
        <v>3.0232650906341849</v>
      </c>
      <c r="AA15" s="261">
        <f>PnL!AA39</f>
        <v>3.0333211372391911</v>
      </c>
      <c r="AB15" s="261">
        <f>PnL!AB39</f>
        <v>1.2680554942967595</v>
      </c>
      <c r="AC15" s="261">
        <f>PnL!AC39</f>
        <v>2.5444486488503961</v>
      </c>
      <c r="AD15" s="261">
        <f>PnL!AD39</f>
        <v>2.552796588893147</v>
      </c>
      <c r="AE15" s="261">
        <f>PnL!AE39</f>
        <v>2.5611630924844238</v>
      </c>
      <c r="AF15" s="261">
        <f>PnL!AF39</f>
        <v>2.5695524705721713</v>
      </c>
      <c r="AG15" s="261">
        <f>PnL!AG39</f>
        <v>2.5779669874467217</v>
      </c>
      <c r="AH15" s="261">
        <f>PnL!AH39</f>
        <v>2.5864078532032506</v>
      </c>
      <c r="AI15" s="261">
        <f>PnL!AI39</f>
        <v>2.5948757350375806</v>
      </c>
      <c r="AJ15" s="261">
        <f>PnL!AJ39</f>
        <v>2.603371020635215</v>
      </c>
      <c r="AK15" s="261">
        <f>PnL!AK39</f>
        <v>2.6118939538485497</v>
      </c>
      <c r="AL15" s="261">
        <f>PnL!AL39</f>
        <v>3.1445336455030324</v>
      </c>
      <c r="AM15" s="261">
        <f>PnL!AM39</f>
        <v>3.1548280857742275</v>
      </c>
      <c r="AN15" s="261">
        <f>PnL!AN39</f>
        <v>1.3188150835460275</v>
      </c>
      <c r="AO15" s="261">
        <f>PnL!AO39</f>
        <v>2.6462650941454604</v>
      </c>
      <c r="AP15" s="261">
        <f>PnL!AP39</f>
        <v>2.6549282837656119</v>
      </c>
      <c r="AQ15" s="261">
        <f>PnL!AQ39</f>
        <v>2.663619831355887</v>
      </c>
      <c r="AR15" s="261">
        <f>PnL!AR39</f>
        <v>2.6723398312359148</v>
      </c>
      <c r="AS15" s="261">
        <f>PnL!AS39</f>
        <v>2.6810883773149849</v>
      </c>
      <c r="AT15" s="261">
        <f>PnL!AT39</f>
        <v>2.6898655634394055</v>
      </c>
      <c r="AU15" s="261">
        <f>PnL!AU39</f>
        <v>2.6986714835719146</v>
      </c>
      <c r="AV15" s="261">
        <f>PnL!AV39</f>
        <v>2.7075062318845773</v>
      </c>
      <c r="AW15" s="261">
        <f>PnL!AW39</f>
        <v>2.7163699028071324</v>
      </c>
      <c r="AX15" s="261">
        <f>PnL!AX39</f>
        <v>3.2703151092628535</v>
      </c>
      <c r="AY15" s="261">
        <f>PnL!AY39</f>
        <v>3.2810212699556938</v>
      </c>
      <c r="AZ15" s="261">
        <f>PnL!AZ39</f>
        <v>1.3715676999263926</v>
      </c>
      <c r="BA15" s="261">
        <f>PnL!BA39</f>
        <v>2.7521157113435124</v>
      </c>
      <c r="BB15" s="261">
        <f>PnL!BB39</f>
        <v>2.7611254220351529</v>
      </c>
      <c r="BC15" s="261">
        <f>PnL!BC39</f>
        <v>2.7701646281740446</v>
      </c>
      <c r="BD15" s="261">
        <f>PnL!BD39</f>
        <v>2.7792334263211225</v>
      </c>
      <c r="BE15" s="261">
        <f>PnL!BE39</f>
        <v>2.7883319133531868</v>
      </c>
      <c r="BF15" s="261">
        <f>PnL!BF39</f>
        <v>2.7974601864640607</v>
      </c>
      <c r="BG15" s="261">
        <f>PnL!BG39</f>
        <v>2.8066183431656855</v>
      </c>
      <c r="BH15" s="261">
        <f>PnL!BH39</f>
        <v>2.8158064812891972</v>
      </c>
      <c r="BI15" s="261">
        <f>PnL!BI39</f>
        <v>2.8250246989859886</v>
      </c>
      <c r="BJ15" s="261">
        <f>PnL!BJ39</f>
        <v>3.4011277136745175</v>
      </c>
      <c r="BK15" s="261">
        <f>PnL!BK39</f>
        <v>3.4122621207751198</v>
      </c>
      <c r="BL15" s="261">
        <f>SUM(D15:O15)</f>
        <v>12.398920074318761</v>
      </c>
      <c r="BM15" s="261">
        <f>SUM(P15:AA15)</f>
        <v>29.299166692956312</v>
      </c>
      <c r="BN15" s="261">
        <f>SUM(AB15:AM15)</f>
        <v>30.769893576545474</v>
      </c>
      <c r="BO15" s="261">
        <f>SUM(AN15:AY15)</f>
        <v>32.000806062285463</v>
      </c>
      <c r="BP15" s="261">
        <f>SUM(AZ15:BK15)</f>
        <v>33.280838345507973</v>
      </c>
    </row>
    <row r="16" spans="1:68" x14ac:dyDescent="0.15">
      <c r="A16" t="s">
        <v>831</v>
      </c>
      <c r="B16" t="s">
        <v>236</v>
      </c>
      <c r="D16" s="261">
        <f>D15*PnL!D13</f>
        <v>0</v>
      </c>
      <c r="E16" s="261">
        <f>E15*PnL!E13</f>
        <v>0</v>
      </c>
      <c r="F16" s="261">
        <f>F15*PnL!F13</f>
        <v>3.1689044298308489E-2</v>
      </c>
      <c r="G16" s="261">
        <f>G15*PnL!G13</f>
        <v>5.5638285966976488E-2</v>
      </c>
      <c r="H16" s="261">
        <f>H15*PnL!H13</f>
        <v>9.9707497291346037E-2</v>
      </c>
      <c r="I16" s="261">
        <f>I15*PnL!I13</f>
        <v>0.14991119411940798</v>
      </c>
      <c r="J16" s="261">
        <f>J15*PnL!J13</f>
        <v>0.20355185492335184</v>
      </c>
      <c r="K16" s="261">
        <f>K15*PnL!K13</f>
        <v>0.26764762706114253</v>
      </c>
      <c r="L16" s="261">
        <f>L15*PnL!L13</f>
        <v>0.31697924666521504</v>
      </c>
      <c r="M16" s="261">
        <f>M15*PnL!M13</f>
        <v>0.36032894354110157</v>
      </c>
      <c r="N16" s="261">
        <f>N15*PnL!N13</f>
        <v>0.47809556583356755</v>
      </c>
      <c r="O16" s="261">
        <f>O15*PnL!O13</f>
        <v>0.51623475516333472</v>
      </c>
      <c r="P16" s="261">
        <f>P15*PnL!P13</f>
        <v>0.24976511791271863</v>
      </c>
      <c r="Q16" s="261">
        <f>Q15*PnL!Q13</f>
        <v>0.51736324547112233</v>
      </c>
      <c r="R16" s="261">
        <f>R15*PnL!R13</f>
        <v>0.52867983221439852</v>
      </c>
      <c r="S16" s="261">
        <f>S15*PnL!S13</f>
        <v>0.53577894303048956</v>
      </c>
      <c r="T16" s="261">
        <f>T15*PnL!T13</f>
        <v>0.54041936706168681</v>
      </c>
      <c r="U16" s="261">
        <f>U15*PnL!U13</f>
        <v>0.54370928563051546</v>
      </c>
      <c r="V16" s="261">
        <f>V15*PnL!V13</f>
        <v>0.54628181807506837</v>
      </c>
      <c r="W16" s="261">
        <f>W15*PnL!W13</f>
        <v>0.54848093721147861</v>
      </c>
      <c r="X16" s="261">
        <f>X15*PnL!X13</f>
        <v>0.5504887517060032</v>
      </c>
      <c r="Y16" s="261">
        <f>Y15*PnL!Y13</f>
        <v>0.55240040400476309</v>
      </c>
      <c r="Z16" s="261">
        <f>Z15*PnL!Z13</f>
        <v>0.66511831993952064</v>
      </c>
      <c r="AA16" s="261">
        <f>AA15*PnL!AA13</f>
        <v>0.66733065019262205</v>
      </c>
      <c r="AB16" s="261">
        <f>AB15*PnL!AB13</f>
        <v>0.27897220874528711</v>
      </c>
      <c r="AC16" s="261">
        <f>AC15*PnL!AC13</f>
        <v>0.55977870274708719</v>
      </c>
      <c r="AD16" s="261">
        <f>AD15*PnL!AD13</f>
        <v>0.56161524955649234</v>
      </c>
      <c r="AE16" s="261">
        <f>AE15*PnL!AE13</f>
        <v>0.56345588034657323</v>
      </c>
      <c r="AF16" s="261">
        <f>AF15*PnL!AF13</f>
        <v>0.56530154352587769</v>
      </c>
      <c r="AG16" s="261">
        <f>AG15*PnL!AG13</f>
        <v>0.56715273723827875</v>
      </c>
      <c r="AH16" s="261">
        <f>AH15*PnL!AH13</f>
        <v>0.56900972770471514</v>
      </c>
      <c r="AI16" s="261">
        <f>AI15*PnL!AI13</f>
        <v>0.57087266170826778</v>
      </c>
      <c r="AJ16" s="261">
        <f>AJ15*PnL!AJ13</f>
        <v>0.57274162453974731</v>
      </c>
      <c r="AK16" s="261">
        <f>AK15*PnL!AK13</f>
        <v>0.57461666984668092</v>
      </c>
      <c r="AL16" s="261">
        <f>AL15*PnL!AL13</f>
        <v>0.69179740201066708</v>
      </c>
      <c r="AM16" s="261">
        <f>AM15*PnL!AM13</f>
        <v>0.69406217887033006</v>
      </c>
      <c r="AN16" s="261">
        <f>AN15*PnL!AN13</f>
        <v>0.29013931838012608</v>
      </c>
      <c r="AO16" s="261">
        <f>AO15*PnL!AO13</f>
        <v>0.58217832071200126</v>
      </c>
      <c r="AP16" s="261">
        <f>AP15*PnL!AP13</f>
        <v>0.58408422242843461</v>
      </c>
      <c r="AQ16" s="261">
        <f>AQ15*PnL!AQ13</f>
        <v>0.58599636289829515</v>
      </c>
      <c r="AR16" s="261">
        <f>AR15*PnL!AR13</f>
        <v>0.58791476287190125</v>
      </c>
      <c r="AS16" s="261">
        <f>AS15*PnL!AS13</f>
        <v>0.58983944300929669</v>
      </c>
      <c r="AT16" s="261">
        <f>AT15*PnL!AT13</f>
        <v>0.59177042395666923</v>
      </c>
      <c r="AU16" s="261">
        <f>AU15*PnL!AU13</f>
        <v>0.59370772638582126</v>
      </c>
      <c r="AV16" s="261">
        <f>AV15*PnL!AV13</f>
        <v>0.59565137101460697</v>
      </c>
      <c r="AW16" s="261">
        <f>AW15*PnL!AW13</f>
        <v>0.59760137861756912</v>
      </c>
      <c r="AX16" s="261">
        <f>AX15*PnL!AX13</f>
        <v>0.71946932403782782</v>
      </c>
      <c r="AY16" s="261">
        <f>AY15*PnL!AY13</f>
        <v>0.72182467939025263</v>
      </c>
      <c r="AZ16" s="261">
        <f>AZ15*PnL!AZ13</f>
        <v>0.30174489398380638</v>
      </c>
      <c r="BA16" s="261">
        <f>BA15*PnL!BA13</f>
        <v>0.60546545649557271</v>
      </c>
      <c r="BB16" s="261">
        <f>BB15*PnL!BB13</f>
        <v>0.60744759284773364</v>
      </c>
      <c r="BC16" s="261">
        <f>BC15*PnL!BC13</f>
        <v>0.60943621819828986</v>
      </c>
      <c r="BD16" s="261">
        <f>BD15*PnL!BD13</f>
        <v>0.61143135379064695</v>
      </c>
      <c r="BE16" s="261">
        <f>BE15*PnL!BE13</f>
        <v>0.61343302093770113</v>
      </c>
      <c r="BF16" s="261">
        <f>BF15*PnL!BF13</f>
        <v>0.61544124102209341</v>
      </c>
      <c r="BG16" s="261">
        <f>BG15*PnL!BG13</f>
        <v>0.61745603549645078</v>
      </c>
      <c r="BH16" s="261">
        <f>BH15*PnL!BH13</f>
        <v>0.61947742588362342</v>
      </c>
      <c r="BI16" s="261">
        <f>BI15*PnL!BI13</f>
        <v>0.62150543377691747</v>
      </c>
      <c r="BJ16" s="261">
        <f>BJ15*PnL!BJ13</f>
        <v>0.7482480970083939</v>
      </c>
      <c r="BK16" s="261">
        <f>BK15*PnL!BK13</f>
        <v>0.75069766657052639</v>
      </c>
      <c r="BL16" s="261">
        <f>SUM(D16:O16)</f>
        <v>2.479784014863752</v>
      </c>
      <c r="BM16" s="261">
        <f>SUM(P16:AA16)</f>
        <v>6.4458166724503876</v>
      </c>
      <c r="BN16" s="261">
        <f>SUM(AB16:AM16)</f>
        <v>6.7693765868400044</v>
      </c>
      <c r="BO16" s="261">
        <f>SUM(AN16:AY16)</f>
        <v>7.0401773337028022</v>
      </c>
      <c r="BP16" s="261">
        <f>SUM(AZ16:BK16)</f>
        <v>7.3217844360117557</v>
      </c>
    </row>
    <row r="17" spans="1:68" x14ac:dyDescent="0.15">
      <c r="A17" s="232" t="s">
        <v>832</v>
      </c>
      <c r="B17" t="s">
        <v>236</v>
      </c>
      <c r="D17" s="267">
        <f t="shared" ref="D17:AI17" si="0">D15+D16</f>
        <v>0</v>
      </c>
      <c r="E17" s="267">
        <f t="shared" si="0"/>
        <v>0</v>
      </c>
      <c r="F17" s="267">
        <f t="shared" si="0"/>
        <v>0.19013426578985093</v>
      </c>
      <c r="G17" s="267">
        <f t="shared" si="0"/>
        <v>0.33382971580185894</v>
      </c>
      <c r="H17" s="267">
        <f t="shared" si="0"/>
        <v>0.59824498374807611</v>
      </c>
      <c r="I17" s="267">
        <f t="shared" si="0"/>
        <v>0.89946716471644794</v>
      </c>
      <c r="J17" s="267">
        <f t="shared" si="0"/>
        <v>1.2213111295401111</v>
      </c>
      <c r="K17" s="267">
        <f t="shared" si="0"/>
        <v>1.6058857623668552</v>
      </c>
      <c r="L17" s="267">
        <f t="shared" si="0"/>
        <v>1.9018754799912903</v>
      </c>
      <c r="M17" s="267">
        <f t="shared" si="0"/>
        <v>2.1619736612466092</v>
      </c>
      <c r="N17" s="267">
        <f t="shared" si="0"/>
        <v>2.8685733950014054</v>
      </c>
      <c r="O17" s="267">
        <f t="shared" si="0"/>
        <v>3.0974085309800081</v>
      </c>
      <c r="P17" s="267">
        <f t="shared" si="0"/>
        <v>1.3850611084250761</v>
      </c>
      <c r="Q17" s="267">
        <f t="shared" si="0"/>
        <v>2.8690143612489507</v>
      </c>
      <c r="R17" s="267">
        <f t="shared" si="0"/>
        <v>2.9317699786434828</v>
      </c>
      <c r="S17" s="267">
        <f t="shared" si="0"/>
        <v>2.9711377749872607</v>
      </c>
      <c r="T17" s="267">
        <f t="shared" si="0"/>
        <v>2.9968710355238994</v>
      </c>
      <c r="U17" s="267">
        <f t="shared" si="0"/>
        <v>3.0151151294055856</v>
      </c>
      <c r="V17" s="267">
        <f t="shared" si="0"/>
        <v>3.0293809911435607</v>
      </c>
      <c r="W17" s="267">
        <f t="shared" si="0"/>
        <v>3.0415761063545634</v>
      </c>
      <c r="X17" s="267">
        <f t="shared" si="0"/>
        <v>3.0527103503696544</v>
      </c>
      <c r="Y17" s="267">
        <f t="shared" si="0"/>
        <v>3.0633113312991407</v>
      </c>
      <c r="Z17" s="267">
        <f t="shared" si="0"/>
        <v>3.6883834105737057</v>
      </c>
      <c r="AA17" s="267">
        <f t="shared" si="0"/>
        <v>3.7006517874318132</v>
      </c>
      <c r="AB17" s="267">
        <f t="shared" si="0"/>
        <v>1.5470277030420465</v>
      </c>
      <c r="AC17" s="267">
        <f t="shared" si="0"/>
        <v>3.1042273515974834</v>
      </c>
      <c r="AD17" s="267">
        <f t="shared" si="0"/>
        <v>3.1144118384496391</v>
      </c>
      <c r="AE17" s="267">
        <f t="shared" si="0"/>
        <v>3.124618972830997</v>
      </c>
      <c r="AF17" s="267">
        <f t="shared" si="0"/>
        <v>3.1348540140980488</v>
      </c>
      <c r="AG17" s="267">
        <f t="shared" si="0"/>
        <v>3.1451197246850002</v>
      </c>
      <c r="AH17" s="267">
        <f t="shared" si="0"/>
        <v>3.1554175809079656</v>
      </c>
      <c r="AI17" s="267">
        <f t="shared" si="0"/>
        <v>3.1657483967458484</v>
      </c>
      <c r="AJ17" s="267">
        <f t="shared" ref="AJ17:BK17" si="1">AJ15+AJ16</f>
        <v>3.1761126451749622</v>
      </c>
      <c r="AK17" s="267">
        <f t="shared" si="1"/>
        <v>3.1865106236952307</v>
      </c>
      <c r="AL17" s="267">
        <f t="shared" si="1"/>
        <v>3.8363310475136996</v>
      </c>
      <c r="AM17" s="267">
        <f t="shared" si="1"/>
        <v>3.8488902646445577</v>
      </c>
      <c r="AN17" s="267">
        <f t="shared" si="1"/>
        <v>1.6089544019261535</v>
      </c>
      <c r="AO17" s="267">
        <f t="shared" si="1"/>
        <v>3.2284434148574617</v>
      </c>
      <c r="AP17" s="267">
        <f t="shared" si="1"/>
        <v>3.2390125061940465</v>
      </c>
      <c r="AQ17" s="267">
        <f t="shared" si="1"/>
        <v>3.2496161942541821</v>
      </c>
      <c r="AR17" s="267">
        <f t="shared" si="1"/>
        <v>3.260254594107816</v>
      </c>
      <c r="AS17" s="267">
        <f t="shared" si="1"/>
        <v>3.2709278203242818</v>
      </c>
      <c r="AT17" s="267">
        <f t="shared" si="1"/>
        <v>3.2816359873960748</v>
      </c>
      <c r="AU17" s="267">
        <f t="shared" si="1"/>
        <v>3.292379209957736</v>
      </c>
      <c r="AV17" s="267">
        <f t="shared" si="1"/>
        <v>3.3031576028991845</v>
      </c>
      <c r="AW17" s="267">
        <f t="shared" si="1"/>
        <v>3.3139712814247018</v>
      </c>
      <c r="AX17" s="267">
        <f t="shared" si="1"/>
        <v>3.9897844333006813</v>
      </c>
      <c r="AY17" s="267">
        <f t="shared" si="1"/>
        <v>4.0028459493459465</v>
      </c>
      <c r="AZ17" s="267">
        <f t="shared" si="1"/>
        <v>1.6733125939101989</v>
      </c>
      <c r="BA17" s="267">
        <f t="shared" si="1"/>
        <v>3.357581167839085</v>
      </c>
      <c r="BB17" s="267">
        <f t="shared" si="1"/>
        <v>3.3685730148828865</v>
      </c>
      <c r="BC17" s="267">
        <f t="shared" si="1"/>
        <v>3.3796008463723344</v>
      </c>
      <c r="BD17" s="267">
        <f t="shared" si="1"/>
        <v>3.3906647801117695</v>
      </c>
      <c r="BE17" s="267">
        <f t="shared" si="1"/>
        <v>3.4017649342908878</v>
      </c>
      <c r="BF17" s="267">
        <f t="shared" si="1"/>
        <v>3.4129014274861542</v>
      </c>
      <c r="BG17" s="267">
        <f t="shared" si="1"/>
        <v>3.4240743786621364</v>
      </c>
      <c r="BH17" s="267">
        <f t="shared" si="1"/>
        <v>3.4352839071728205</v>
      </c>
      <c r="BI17" s="267">
        <f t="shared" si="1"/>
        <v>3.4465301327629061</v>
      </c>
      <c r="BJ17" s="267">
        <f t="shared" si="1"/>
        <v>4.1493758106829111</v>
      </c>
      <c r="BK17" s="267">
        <f t="shared" si="1"/>
        <v>4.1629597873456463</v>
      </c>
      <c r="BL17" s="260">
        <f>SUM(D17:O17)</f>
        <v>14.878704089182513</v>
      </c>
      <c r="BM17" s="260">
        <f>SUM(P17:AA17)</f>
        <v>35.744983365406696</v>
      </c>
      <c r="BN17" s="260">
        <f>SUM(AB17:AM17)</f>
        <v>37.539270163385481</v>
      </c>
      <c r="BO17" s="260">
        <f>SUM(AN17:AY17)</f>
        <v>39.04098339598827</v>
      </c>
      <c r="BP17" s="260">
        <f>SUM(AZ17:BK17)</f>
        <v>40.602622781519742</v>
      </c>
    </row>
    <row r="19" spans="1:68" ht="16" customHeight="1" x14ac:dyDescent="0.2">
      <c r="A19" s="265" t="s">
        <v>237</v>
      </c>
    </row>
    <row r="20" spans="1:68" x14ac:dyDescent="0.15">
      <c r="A20" s="125" t="s">
        <v>833</v>
      </c>
      <c r="B20" t="s">
        <v>236</v>
      </c>
      <c r="D20" s="261">
        <v>0</v>
      </c>
      <c r="E20" s="261">
        <v>0</v>
      </c>
      <c r="F20" s="261">
        <f>-PnL!D40*(1+PnL!D13)</f>
        <v>0</v>
      </c>
      <c r="G20" s="261">
        <f>-PnL!E40*(1+PnL!E13)</f>
        <v>0</v>
      </c>
      <c r="H20" s="261">
        <f>-PnL!F40*(1+PnL!F13)</f>
        <v>7.6053706315940377E-3</v>
      </c>
      <c r="I20" s="261">
        <f>-PnL!G40*(1+PnL!G13)</f>
        <v>1.3353188632074358E-2</v>
      </c>
      <c r="J20" s="261">
        <f>-PnL!H40*(1+PnL!H13)</f>
        <v>2.3929799349923047E-2</v>
      </c>
      <c r="K20" s="261">
        <f>-PnL!I40*(1+PnL!I13)</f>
        <v>3.5978686588657917E-2</v>
      </c>
      <c r="L20" s="261">
        <f>-PnL!J40*(1+PnL!J13)</f>
        <v>4.8852445181604441E-2</v>
      </c>
      <c r="M20" s="261">
        <f>-PnL!K40*(1+PnL!K13)</f>
        <v>6.4235430494674214E-2</v>
      </c>
      <c r="N20" s="261">
        <f>-PnL!L40*(1+PnL!L13)</f>
        <v>7.6075019199651595E-2</v>
      </c>
      <c r="O20" s="261">
        <f>-PnL!M40*(1+PnL!M13)</f>
        <v>8.6478946449864369E-2</v>
      </c>
      <c r="P20" s="261">
        <f>-PnL!N40*(1+PnL!N13)</f>
        <v>0.11474293580005621</v>
      </c>
      <c r="Q20" s="261">
        <f>-PnL!O40*(1+PnL!O13)</f>
        <v>0.12389634123920032</v>
      </c>
      <c r="R20" s="261">
        <f>-PnL!P40*(1+PnL!P13)</f>
        <v>5.5402444337003032E-2</v>
      </c>
      <c r="S20" s="261">
        <f>-PnL!Q40*(1+PnL!Q13)</f>
        <v>0.11476057444995803</v>
      </c>
      <c r="T20" s="261">
        <f>-PnL!R40*(1+PnL!R13)</f>
        <v>0.11727079914573932</v>
      </c>
      <c r="U20" s="261">
        <f>-PnL!S40*(1+PnL!S13)</f>
        <v>0.11884551099949041</v>
      </c>
      <c r="V20" s="261">
        <f>-PnL!T40*(1+PnL!T13)</f>
        <v>0.11987484142095596</v>
      </c>
      <c r="W20" s="261">
        <f>-PnL!U40*(1+PnL!U13)</f>
        <v>0.12060460517622343</v>
      </c>
      <c r="X20" s="261">
        <f>-PnL!V40*(1+PnL!V13)</f>
        <v>0.12117523964574244</v>
      </c>
      <c r="Y20" s="261">
        <f>-PnL!W40*(1+PnL!W13)</f>
        <v>0.12166304425418253</v>
      </c>
      <c r="Z20" s="261">
        <f>-PnL!X40*(1+PnL!X13)</f>
        <v>0.12210841401478618</v>
      </c>
      <c r="AA20" s="261">
        <f>-PnL!Y40*(1+PnL!Y13)</f>
        <v>0.12253245325196563</v>
      </c>
      <c r="AB20" s="261">
        <f>-PnL!Z40*(1+PnL!Z13)</f>
        <v>0.14753533642294822</v>
      </c>
      <c r="AC20" s="261">
        <f>-PnL!AA40*(1+PnL!AA13)</f>
        <v>0.14802607149727254</v>
      </c>
      <c r="AD20" s="261">
        <f>-PnL!AB40*(1+PnL!AB13)</f>
        <v>6.1881108121681849E-2</v>
      </c>
      <c r="AE20" s="261">
        <f>-PnL!AC40*(1+PnL!AC13)</f>
        <v>0.12416909406389935</v>
      </c>
      <c r="AF20" s="261">
        <f>-PnL!AD40*(1+PnL!AD13)</f>
        <v>0.12457647353798559</v>
      </c>
      <c r="AG20" s="261">
        <f>-PnL!AE40*(1+PnL!AE13)</f>
        <v>0.1249847589132399</v>
      </c>
      <c r="AH20" s="261">
        <f>-PnL!AF40*(1+PnL!AF13)</f>
        <v>0.12539416056392197</v>
      </c>
      <c r="AI20" s="261">
        <f>-PnL!AG40*(1+PnL!AG13)</f>
        <v>0.12580478898740002</v>
      </c>
      <c r="AJ20" s="261">
        <f>-PnL!AH40*(1+PnL!AH13)</f>
        <v>0.12621670323631862</v>
      </c>
      <c r="AK20" s="261">
        <f>-PnL!AI40*(1+PnL!AI13)</f>
        <v>0.12662993586983393</v>
      </c>
      <c r="AL20" s="261">
        <f>-PnL!AJ40*(1+PnL!AJ13)</f>
        <v>0.1270445058069985</v>
      </c>
      <c r="AM20" s="261">
        <f>-PnL!AK40*(1+PnL!AK13)</f>
        <v>0.12746042494780921</v>
      </c>
      <c r="AN20" s="261">
        <f>-PnL!AL40*(1+PnL!AL13)</f>
        <v>0.15345324190054802</v>
      </c>
      <c r="AO20" s="261">
        <f>-PnL!AM40*(1+PnL!AM13)</f>
        <v>0.1539556105857823</v>
      </c>
      <c r="AP20" s="261">
        <f>-PnL!AN40*(1+PnL!AN13)</f>
        <v>6.4358176077046136E-2</v>
      </c>
      <c r="AQ20" s="261">
        <f>-PnL!AO40*(1+PnL!AO13)</f>
        <v>0.12913773659429847</v>
      </c>
      <c r="AR20" s="261">
        <f>-PnL!AP40*(1+PnL!AP13)</f>
        <v>0.12956050024776186</v>
      </c>
      <c r="AS20" s="261">
        <f>-PnL!AQ40*(1+PnL!AQ13)</f>
        <v>0.12998464777016727</v>
      </c>
      <c r="AT20" s="261">
        <f>-PnL!AR40*(1+PnL!AR13)</f>
        <v>0.13041018376431265</v>
      </c>
      <c r="AU20" s="261">
        <f>-PnL!AS40*(1+PnL!AS13)</f>
        <v>0.13083711281297128</v>
      </c>
      <c r="AV20" s="261">
        <f>-PnL!AT40*(1+PnL!AT13)</f>
        <v>0.13126543949584299</v>
      </c>
      <c r="AW20" s="261">
        <f>-PnL!AU40*(1+PnL!AU13)</f>
        <v>0.13169516839830944</v>
      </c>
      <c r="AX20" s="261">
        <f>-PnL!AV40*(1+PnL!AV13)</f>
        <v>0.13212630411596737</v>
      </c>
      <c r="AY20" s="261">
        <f>-PnL!AW40*(1+PnL!AW13)</f>
        <v>0.13255885125698808</v>
      </c>
      <c r="AZ20" s="261">
        <f>-PnL!AX40*(1+PnL!AX13)</f>
        <v>0.15959137733202725</v>
      </c>
      <c r="BA20" s="261">
        <f>-PnL!AY40*(1+PnL!AY13)</f>
        <v>0.16011383797383785</v>
      </c>
      <c r="BB20" s="261">
        <f>-PnL!AZ40*(1+PnL!AZ13)</f>
        <v>6.6932503756407968E-2</v>
      </c>
      <c r="BC20" s="261">
        <f>-PnL!BA40*(1+PnL!BA13)</f>
        <v>0.13430324671356342</v>
      </c>
      <c r="BD20" s="261">
        <f>-PnL!BB40*(1+PnL!BB13)</f>
        <v>0.13474292059531545</v>
      </c>
      <c r="BE20" s="261">
        <f>-PnL!BC40*(1+PnL!BC13)</f>
        <v>0.13518403385489339</v>
      </c>
      <c r="BF20" s="261">
        <f>-PnL!BD40*(1+PnL!BD13)</f>
        <v>0.13562659120447076</v>
      </c>
      <c r="BG20" s="261">
        <f>-PnL!BE40*(1+PnL!BE13)</f>
        <v>0.13607059737163552</v>
      </c>
      <c r="BH20" s="261">
        <f>-PnL!BF40*(1+PnL!BF13)</f>
        <v>0.13651605709944614</v>
      </c>
      <c r="BI20" s="261">
        <f>-PnL!BG40*(1+PnL!BG13)</f>
        <v>0.13696297514648545</v>
      </c>
      <c r="BJ20" s="261">
        <f>-PnL!BH40*(1+PnL!BH13)</f>
        <v>0.13741135628691281</v>
      </c>
      <c r="BK20" s="261">
        <f>-PnL!BI40*(1+PnL!BI13)</f>
        <v>0.13786120531051624</v>
      </c>
      <c r="BL20" s="261">
        <f t="shared" ref="BL20:BL27" si="2">SUM(D20:O20)</f>
        <v>0.35650888652804397</v>
      </c>
      <c r="BM20" s="261">
        <f t="shared" ref="BM20:BM27" si="3">SUM(P20:AA20)</f>
        <v>1.3728772037353034</v>
      </c>
      <c r="BN20" s="261">
        <f t="shared" ref="BN20:BN27" si="4">SUM(AB20:AM20)</f>
        <v>1.4897233619693098</v>
      </c>
      <c r="BO20" s="261">
        <f t="shared" ref="BO20:BO27" si="5">SUM(AN20:AY20)</f>
        <v>1.5493429730199959</v>
      </c>
      <c r="BP20" s="261">
        <f t="shared" ref="BP20:BP27" si="6">SUM(AZ20:BK20)</f>
        <v>1.611316702645512</v>
      </c>
    </row>
    <row r="21" spans="1:68" x14ac:dyDescent="0.15">
      <c r="A21" t="s">
        <v>834</v>
      </c>
      <c r="B21" t="s">
        <v>236</v>
      </c>
      <c r="D21" s="261">
        <f>-PnL!D41</f>
        <v>1.2126520000000001</v>
      </c>
      <c r="E21" s="261">
        <f>-PnL!E41</f>
        <v>1.2126520000000001</v>
      </c>
      <c r="F21" s="261">
        <f>-PnL!F41</f>
        <v>1.239552</v>
      </c>
      <c r="G21" s="261">
        <f>-PnL!G41</f>
        <v>1.239552</v>
      </c>
      <c r="H21" s="261">
        <f>-PnL!H41</f>
        <v>1.609696</v>
      </c>
      <c r="I21" s="261">
        <f>-PnL!I41</f>
        <v>1.532224</v>
      </c>
      <c r="J21" s="261">
        <f>-PnL!J41</f>
        <v>1.532224</v>
      </c>
      <c r="K21" s="261">
        <f>-PnL!K41</f>
        <v>0.58642000000000005</v>
      </c>
      <c r="L21" s="261">
        <f>-PnL!L41</f>
        <v>0.58642000000000005</v>
      </c>
      <c r="M21" s="261">
        <f>-PnL!M41</f>
        <v>0.58642000000000005</v>
      </c>
      <c r="N21" s="261">
        <f>-PnL!N41</f>
        <v>0.58642000000000005</v>
      </c>
      <c r="O21" s="261">
        <f>-PnL!O41</f>
        <v>0.58642000000000005</v>
      </c>
      <c r="P21" s="261">
        <f>-PnL!P41</f>
        <v>0.28092207999999996</v>
      </c>
      <c r="Q21" s="261">
        <f>-PnL!Q41</f>
        <v>0.28092207999999996</v>
      </c>
      <c r="R21" s="261">
        <f>-PnL!R41</f>
        <v>0.28092207999999996</v>
      </c>
      <c r="S21" s="261">
        <f>-PnL!S41</f>
        <v>0.28092207999999996</v>
      </c>
      <c r="T21" s="261">
        <f>-PnL!T41</f>
        <v>0.28092207999999996</v>
      </c>
      <c r="U21" s="261">
        <f>-PnL!U41</f>
        <v>0.28092207999999996</v>
      </c>
      <c r="V21" s="261">
        <f>-PnL!V41</f>
        <v>0.28092207999999996</v>
      </c>
      <c r="W21" s="261">
        <f>-PnL!W41</f>
        <v>0.28092207999999996</v>
      </c>
      <c r="X21" s="261">
        <f>-PnL!X41</f>
        <v>0.28092207999999996</v>
      </c>
      <c r="Y21" s="261">
        <f>-PnL!Y41</f>
        <v>0.28092207999999996</v>
      </c>
      <c r="Z21" s="261">
        <f>-PnL!Z41</f>
        <v>0.28092207999999996</v>
      </c>
      <c r="AA21" s="261">
        <f>-PnL!AA41</f>
        <v>0.28092207999999996</v>
      </c>
      <c r="AB21" s="261">
        <f>-PnL!AB41</f>
        <v>0.30058662560000005</v>
      </c>
      <c r="AC21" s="261">
        <f>-PnL!AC41</f>
        <v>0.30058662560000005</v>
      </c>
      <c r="AD21" s="261">
        <f>-PnL!AD41</f>
        <v>0.30058662560000005</v>
      </c>
      <c r="AE21" s="261">
        <f>-PnL!AE41</f>
        <v>0.30058662560000005</v>
      </c>
      <c r="AF21" s="261">
        <f>-PnL!AF41</f>
        <v>0.30058662560000005</v>
      </c>
      <c r="AG21" s="261">
        <f>-PnL!AG41</f>
        <v>0.30058662560000005</v>
      </c>
      <c r="AH21" s="261">
        <f>-PnL!AH41</f>
        <v>0.30058662560000005</v>
      </c>
      <c r="AI21" s="261">
        <f>-PnL!AI41</f>
        <v>0.30058662560000005</v>
      </c>
      <c r="AJ21" s="261">
        <f>-PnL!AJ41</f>
        <v>0.30058662560000005</v>
      </c>
      <c r="AK21" s="261">
        <f>-PnL!AK41</f>
        <v>0.30058662560000005</v>
      </c>
      <c r="AL21" s="261">
        <f>-PnL!AL41</f>
        <v>0.30058662560000005</v>
      </c>
      <c r="AM21" s="261">
        <f>-PnL!AM41</f>
        <v>0.30058662560000005</v>
      </c>
      <c r="AN21" s="261">
        <f>-PnL!AN41</f>
        <v>0.32162768939199998</v>
      </c>
      <c r="AO21" s="261">
        <f>-PnL!AO41</f>
        <v>0.32162768939199998</v>
      </c>
      <c r="AP21" s="261">
        <f>-PnL!AP41</f>
        <v>0.32162768939199998</v>
      </c>
      <c r="AQ21" s="261">
        <f>-PnL!AQ41</f>
        <v>0.32162768939199998</v>
      </c>
      <c r="AR21" s="261">
        <f>-PnL!AR41</f>
        <v>0.32162768939199998</v>
      </c>
      <c r="AS21" s="261">
        <f>-PnL!AS41</f>
        <v>0.32162768939199998</v>
      </c>
      <c r="AT21" s="261">
        <f>-PnL!AT41</f>
        <v>0.32162768939199998</v>
      </c>
      <c r="AU21" s="261">
        <f>-PnL!AU41</f>
        <v>0.32162768939199998</v>
      </c>
      <c r="AV21" s="261">
        <f>-PnL!AV41</f>
        <v>0.32162768939199998</v>
      </c>
      <c r="AW21" s="261">
        <f>-PnL!AW41</f>
        <v>0.32162768939199998</v>
      </c>
      <c r="AX21" s="261">
        <f>-PnL!AX41</f>
        <v>0.32162768939199998</v>
      </c>
      <c r="AY21" s="261">
        <f>-PnL!AY41</f>
        <v>0.32162768939199998</v>
      </c>
      <c r="AZ21" s="261">
        <f>-PnL!AZ41</f>
        <v>0.34414162764944001</v>
      </c>
      <c r="BA21" s="261">
        <f>-PnL!BA41</f>
        <v>0.34414162764944001</v>
      </c>
      <c r="BB21" s="261">
        <f>-PnL!BB41</f>
        <v>0.34414162764944001</v>
      </c>
      <c r="BC21" s="261">
        <f>-PnL!BC41</f>
        <v>0.34414162764944001</v>
      </c>
      <c r="BD21" s="261">
        <f>-PnL!BD41</f>
        <v>0.34414162764944001</v>
      </c>
      <c r="BE21" s="261">
        <f>-PnL!BE41</f>
        <v>0.34414162764944001</v>
      </c>
      <c r="BF21" s="261">
        <f>-PnL!BF41</f>
        <v>0.34414162764944001</v>
      </c>
      <c r="BG21" s="261">
        <f>-PnL!BG41</f>
        <v>0.34414162764944001</v>
      </c>
      <c r="BH21" s="261">
        <f>-PnL!BH41</f>
        <v>0.34414162764944001</v>
      </c>
      <c r="BI21" s="261">
        <f>-PnL!BI41</f>
        <v>0.34414162764944001</v>
      </c>
      <c r="BJ21" s="261">
        <f>-PnL!BJ41</f>
        <v>0.34414162764944001</v>
      </c>
      <c r="BK21" s="261">
        <f>-PnL!BK41</f>
        <v>0.34414162764944001</v>
      </c>
      <c r="BL21" s="261">
        <f t="shared" si="2"/>
        <v>12.510652</v>
      </c>
      <c r="BM21" s="261">
        <f t="shared" si="3"/>
        <v>3.3710649599999987</v>
      </c>
      <c r="BN21" s="261">
        <f t="shared" si="4"/>
        <v>3.6070395072000014</v>
      </c>
      <c r="BO21" s="261">
        <f t="shared" si="5"/>
        <v>3.8595322727039991</v>
      </c>
      <c r="BP21" s="261">
        <f t="shared" si="6"/>
        <v>4.1296995317932801</v>
      </c>
    </row>
    <row r="22" spans="1:68" x14ac:dyDescent="0.15">
      <c r="A22" t="s">
        <v>835</v>
      </c>
      <c r="B22" t="s">
        <v>236</v>
      </c>
      <c r="D22" s="261">
        <v>0</v>
      </c>
      <c r="E22" s="261">
        <v>0</v>
      </c>
      <c r="F22" s="261">
        <f>-PnL!D42*(1+PnL!D13)</f>
        <v>0</v>
      </c>
      <c r="G22" s="261">
        <f>-PnL!E42*(1+PnL!E13)</f>
        <v>0</v>
      </c>
      <c r="H22" s="261">
        <f>-PnL!F42*(1+PnL!F13)</f>
        <v>0</v>
      </c>
      <c r="I22" s="261">
        <f>-PnL!G42*(1+PnL!G13)</f>
        <v>0</v>
      </c>
      <c r="J22" s="261">
        <f>-PnL!H42*(1+PnL!H13)</f>
        <v>0</v>
      </c>
      <c r="K22" s="261">
        <f>-PnL!I42*(1+PnL!I13)</f>
        <v>0</v>
      </c>
      <c r="L22" s="261">
        <f>-PnL!J42*(1+PnL!J13)</f>
        <v>0</v>
      </c>
      <c r="M22" s="261">
        <f>-PnL!K42*(1+PnL!K13)</f>
        <v>0.39999999999999997</v>
      </c>
      <c r="N22" s="261">
        <f>-PnL!L42*(1+PnL!L13)</f>
        <v>0.39999999999999997</v>
      </c>
      <c r="O22" s="261">
        <f>-PnL!M42*(1+PnL!M13)</f>
        <v>0.39999999999999997</v>
      </c>
      <c r="P22" s="261">
        <f>-PnL!N42*(1+PnL!N13)</f>
        <v>0.39999999999999997</v>
      </c>
      <c r="Q22" s="261">
        <f>-PnL!O42*(1+PnL!O13)</f>
        <v>0.39999999999999997</v>
      </c>
      <c r="R22" s="261">
        <f>-PnL!P42*(1+PnL!P13)</f>
        <v>0.40666666666666662</v>
      </c>
      <c r="S22" s="261">
        <f>-PnL!Q42*(1+PnL!Q13)</f>
        <v>0.40666666666666662</v>
      </c>
      <c r="T22" s="261">
        <f>-PnL!R42*(1+PnL!R13)</f>
        <v>0.40666666666666662</v>
      </c>
      <c r="U22" s="261">
        <f>-PnL!S42*(1+PnL!S13)</f>
        <v>0.40666666666666662</v>
      </c>
      <c r="V22" s="261">
        <f>-PnL!T42*(1+PnL!T13)</f>
        <v>0.40666666666666662</v>
      </c>
      <c r="W22" s="261">
        <f>-PnL!U42*(1+PnL!U13)</f>
        <v>0.40666666666666662</v>
      </c>
      <c r="X22" s="261">
        <f>-PnL!V42*(1+PnL!V13)</f>
        <v>0.40666666666666662</v>
      </c>
      <c r="Y22" s="261">
        <f>-PnL!W42*(1+PnL!W13)</f>
        <v>0.30499999999999999</v>
      </c>
      <c r="Z22" s="261">
        <f>-PnL!X42*(1+PnL!X13)</f>
        <v>0.30499999999999999</v>
      </c>
      <c r="AA22" s="261">
        <f>-PnL!Y42*(1+PnL!Y13)</f>
        <v>0.30499999999999999</v>
      </c>
      <c r="AB22" s="261">
        <f>-PnL!Z42*(1+PnL!Z13)</f>
        <v>0.30499999999999999</v>
      </c>
      <c r="AC22" s="261">
        <f>-PnL!AA42*(1+PnL!AA13)</f>
        <v>0.30499999999999999</v>
      </c>
      <c r="AD22" s="261">
        <f>-PnL!AB42*(1+PnL!AB13)</f>
        <v>0.30499999999999999</v>
      </c>
      <c r="AE22" s="261">
        <f>-PnL!AC42*(1+PnL!AC13)</f>
        <v>0.30499999999999999</v>
      </c>
      <c r="AF22" s="261">
        <f>-PnL!AD42*(1+PnL!AD13)</f>
        <v>0.30499999999999999</v>
      </c>
      <c r="AG22" s="261">
        <f>-PnL!AE42*(1+PnL!AE13)</f>
        <v>0.30499999999999999</v>
      </c>
      <c r="AH22" s="261">
        <f>-PnL!AF42*(1+PnL!AF13)</f>
        <v>0.30499999999999999</v>
      </c>
      <c r="AI22" s="261">
        <f>-PnL!AG42*(1+PnL!AG13)</f>
        <v>0.30499999999999999</v>
      </c>
      <c r="AJ22" s="261">
        <f>-PnL!AH42*(1+PnL!AH13)</f>
        <v>0.30499999999999999</v>
      </c>
      <c r="AK22" s="261">
        <f>-PnL!AI42*(1+PnL!AI13)</f>
        <v>0.30499999999999999</v>
      </c>
      <c r="AL22" s="261">
        <f>-PnL!AJ42*(1+PnL!AJ13)</f>
        <v>0.30499999999999999</v>
      </c>
      <c r="AM22" s="261">
        <f>-PnL!AK42*(1+PnL!AK13)</f>
        <v>0.30499999999999999</v>
      </c>
      <c r="AN22" s="261">
        <f>-PnL!AL42*(1+PnL!AL13)</f>
        <v>0.30499999999999999</v>
      </c>
      <c r="AO22" s="261">
        <f>-PnL!AM42*(1+PnL!AM13)</f>
        <v>0.30499999999999999</v>
      </c>
      <c r="AP22" s="261">
        <f>-PnL!AN42*(1+PnL!AN13)</f>
        <v>0.30499999999999999</v>
      </c>
      <c r="AQ22" s="261">
        <f>-PnL!AO42*(1+PnL!AO13)</f>
        <v>0.30499999999999999</v>
      </c>
      <c r="AR22" s="261">
        <f>-PnL!AP42*(1+PnL!AP13)</f>
        <v>0.30499999999999999</v>
      </c>
      <c r="AS22" s="261">
        <f>-PnL!AQ42*(1+PnL!AQ13)</f>
        <v>0.30499999999999999</v>
      </c>
      <c r="AT22" s="261">
        <f>-PnL!AR42*(1+PnL!AR13)</f>
        <v>0.30499999999999999</v>
      </c>
      <c r="AU22" s="261">
        <f>-PnL!AS42*(1+PnL!AS13)</f>
        <v>0.30499999999999999</v>
      </c>
      <c r="AV22" s="261">
        <f>-PnL!AT42*(1+PnL!AT13)</f>
        <v>0.30499999999999999</v>
      </c>
      <c r="AW22" s="261">
        <f>-PnL!AU42*(1+PnL!AU13)</f>
        <v>0.30499999999999999</v>
      </c>
      <c r="AX22" s="261">
        <f>-PnL!AV42*(1+PnL!AV13)</f>
        <v>0.30499999999999999</v>
      </c>
      <c r="AY22" s="261">
        <f>-PnL!AW42*(1+PnL!AW13)</f>
        <v>0.30499999999999999</v>
      </c>
      <c r="AZ22" s="261">
        <f>-PnL!AX42*(1+PnL!AX13)</f>
        <v>0.30499999999999999</v>
      </c>
      <c r="BA22" s="261">
        <f>-PnL!AY42*(1+PnL!AY13)</f>
        <v>0.30499999999999999</v>
      </c>
      <c r="BB22" s="261">
        <f>-PnL!AZ42*(1+PnL!AZ13)</f>
        <v>0.30499999999999999</v>
      </c>
      <c r="BC22" s="261">
        <f>-PnL!BA42*(1+PnL!BA13)</f>
        <v>0.30499999999999999</v>
      </c>
      <c r="BD22" s="261">
        <f>-PnL!BB42*(1+PnL!BB13)</f>
        <v>0.30499999999999999</v>
      </c>
      <c r="BE22" s="261">
        <f>-PnL!BC42*(1+PnL!BC13)</f>
        <v>0.30499999999999999</v>
      </c>
      <c r="BF22" s="261">
        <f>-PnL!BD42*(1+PnL!BD13)</f>
        <v>0.30499999999999999</v>
      </c>
      <c r="BG22" s="261">
        <f>-PnL!BE42*(1+PnL!BE13)</f>
        <v>0.30499999999999999</v>
      </c>
      <c r="BH22" s="261">
        <f>-PnL!BF42*(1+PnL!BF13)</f>
        <v>0.30499999999999999</v>
      </c>
      <c r="BI22" s="261">
        <f>-PnL!BG42*(1+PnL!BG13)</f>
        <v>0.30499999999999999</v>
      </c>
      <c r="BJ22" s="261">
        <f>-PnL!BH42*(1+PnL!BH13)</f>
        <v>0.30499999999999999</v>
      </c>
      <c r="BK22" s="261">
        <f>-PnL!BI42*(1+PnL!BI13)</f>
        <v>0.30499999999999999</v>
      </c>
      <c r="BL22" s="261">
        <f t="shared" si="2"/>
        <v>1.2</v>
      </c>
      <c r="BM22" s="261">
        <f t="shared" si="3"/>
        <v>4.5616666666666665</v>
      </c>
      <c r="BN22" s="261">
        <f t="shared" si="4"/>
        <v>3.6600000000000006</v>
      </c>
      <c r="BO22" s="261">
        <f t="shared" si="5"/>
        <v>3.6600000000000006</v>
      </c>
      <c r="BP22" s="261">
        <f t="shared" si="6"/>
        <v>3.6600000000000006</v>
      </c>
    </row>
    <row r="23" spans="1:68" x14ac:dyDescent="0.15">
      <c r="A23" t="s">
        <v>836</v>
      </c>
      <c r="B23" t="s">
        <v>236</v>
      </c>
      <c r="D23" s="261">
        <v>0</v>
      </c>
      <c r="E23" s="261">
        <v>0</v>
      </c>
      <c r="F23" s="261">
        <f>-PnL!D44*(1+PnL!D13)</f>
        <v>0.15</v>
      </c>
      <c r="G23" s="261">
        <f>-PnL!E44*(1+PnL!E13)</f>
        <v>0.15</v>
      </c>
      <c r="H23" s="261">
        <f>-PnL!F44*(1+PnL!F13)</f>
        <v>0.98999999999999988</v>
      </c>
      <c r="I23" s="261">
        <f>-PnL!G44*(1+PnL!G13)</f>
        <v>0.15</v>
      </c>
      <c r="J23" s="261">
        <f>-PnL!H44*(1+PnL!H13)</f>
        <v>0.15</v>
      </c>
      <c r="K23" s="261">
        <f>-PnL!I44*(1+PnL!I13)</f>
        <v>0.15</v>
      </c>
      <c r="L23" s="261">
        <f>-PnL!J44*(1+PnL!J13)</f>
        <v>0.15</v>
      </c>
      <c r="M23" s="261">
        <f>-PnL!K44*(1+PnL!K13)</f>
        <v>0.51</v>
      </c>
      <c r="N23" s="261">
        <f>-PnL!L44*(1+PnL!L13)</f>
        <v>0.15</v>
      </c>
      <c r="O23" s="261">
        <f>-PnL!M44*(1+PnL!M13)</f>
        <v>0.15</v>
      </c>
      <c r="P23" s="261">
        <f>-PnL!N44*(1+PnL!N13)</f>
        <v>0.15</v>
      </c>
      <c r="Q23" s="261">
        <f>-PnL!O44*(1+PnL!O13)</f>
        <v>0.15</v>
      </c>
      <c r="R23" s="261">
        <f>-PnL!P44*(1+PnL!P13)</f>
        <v>0.1525</v>
      </c>
      <c r="S23" s="261">
        <f>-PnL!Q44*(1+PnL!Q13)</f>
        <v>0.88449999999999995</v>
      </c>
      <c r="T23" s="261">
        <f>-PnL!R44*(1+PnL!R13)</f>
        <v>0.1525</v>
      </c>
      <c r="U23" s="261">
        <f>-PnL!S44*(1+PnL!S13)</f>
        <v>0.1525</v>
      </c>
      <c r="V23" s="261">
        <f>-PnL!T44*(1+PnL!T13)</f>
        <v>0.1525</v>
      </c>
      <c r="W23" s="261">
        <f>-PnL!U44*(1+PnL!U13)</f>
        <v>0.1525</v>
      </c>
      <c r="X23" s="261">
        <f>-PnL!V44*(1+PnL!V13)</f>
        <v>0.1525</v>
      </c>
      <c r="Y23" s="261">
        <f>-PnL!W44*(1+PnL!W13)</f>
        <v>0.1525</v>
      </c>
      <c r="Z23" s="261">
        <f>-PnL!X44*(1+PnL!X13)</f>
        <v>0.1525</v>
      </c>
      <c r="AA23" s="261">
        <f>-PnL!Y44*(1+PnL!Y13)</f>
        <v>0.1525</v>
      </c>
      <c r="AB23" s="261">
        <f>-PnL!Z44*(1+PnL!Z13)</f>
        <v>0.1525</v>
      </c>
      <c r="AC23" s="261">
        <f>-PnL!AA44*(1+PnL!AA13)</f>
        <v>0.1525</v>
      </c>
      <c r="AD23" s="261">
        <f>-PnL!AB44*(1+PnL!AB13)</f>
        <v>0.1525</v>
      </c>
      <c r="AE23" s="261">
        <f>-PnL!AC44*(1+PnL!AC13)</f>
        <v>0.1525</v>
      </c>
      <c r="AF23" s="261">
        <f>-PnL!AD44*(1+PnL!AD13)</f>
        <v>0.1525</v>
      </c>
      <c r="AG23" s="261">
        <f>-PnL!AE44*(1+PnL!AE13)</f>
        <v>0.1525</v>
      </c>
      <c r="AH23" s="261">
        <f>-PnL!AF44*(1+PnL!AF13)</f>
        <v>0.1525</v>
      </c>
      <c r="AI23" s="261">
        <f>-PnL!AG44*(1+PnL!AG13)</f>
        <v>0.1525</v>
      </c>
      <c r="AJ23" s="261">
        <f>-PnL!AH44*(1+PnL!AH13)</f>
        <v>0.1525</v>
      </c>
      <c r="AK23" s="261">
        <f>-PnL!AI44*(1+PnL!AI13)</f>
        <v>0.1525</v>
      </c>
      <c r="AL23" s="261">
        <f>-PnL!AJ44*(1+PnL!AJ13)</f>
        <v>0.1525</v>
      </c>
      <c r="AM23" s="261">
        <f>-PnL!AK44*(1+PnL!AK13)</f>
        <v>0.1525</v>
      </c>
      <c r="AN23" s="261">
        <f>-PnL!AL44*(1+PnL!AL13)</f>
        <v>0.1525</v>
      </c>
      <c r="AO23" s="261">
        <f>-PnL!AM44*(1+PnL!AM13)</f>
        <v>0.1525</v>
      </c>
      <c r="AP23" s="261">
        <f>-PnL!AN44*(1+PnL!AN13)</f>
        <v>0.1525</v>
      </c>
      <c r="AQ23" s="261">
        <f>-PnL!AO44*(1+PnL!AO13)</f>
        <v>0.1525</v>
      </c>
      <c r="AR23" s="261">
        <f>-PnL!AP44*(1+PnL!AP13)</f>
        <v>0.1525</v>
      </c>
      <c r="AS23" s="261">
        <f>-PnL!AQ44*(1+PnL!AQ13)</f>
        <v>0.1525</v>
      </c>
      <c r="AT23" s="261">
        <f>-PnL!AR44*(1+PnL!AR13)</f>
        <v>0.1525</v>
      </c>
      <c r="AU23" s="261">
        <f>-PnL!AS44*(1+PnL!AS13)</f>
        <v>0.1525</v>
      </c>
      <c r="AV23" s="261">
        <f>-PnL!AT44*(1+PnL!AT13)</f>
        <v>0.1525</v>
      </c>
      <c r="AW23" s="261">
        <f>-PnL!AU44*(1+PnL!AU13)</f>
        <v>0.1525</v>
      </c>
      <c r="AX23" s="261">
        <f>-PnL!AV44*(1+PnL!AV13)</f>
        <v>0.1525</v>
      </c>
      <c r="AY23" s="261">
        <f>-PnL!AW44*(1+PnL!AW13)</f>
        <v>0.1525</v>
      </c>
      <c r="AZ23" s="261">
        <f>-PnL!AX44*(1+PnL!AX13)</f>
        <v>0.1525</v>
      </c>
      <c r="BA23" s="261">
        <f>-PnL!AY44*(1+PnL!AY13)</f>
        <v>0.1525</v>
      </c>
      <c r="BB23" s="261">
        <f>-PnL!AZ44*(1+PnL!AZ13)</f>
        <v>0.1525</v>
      </c>
      <c r="BC23" s="261">
        <f>-PnL!BA44*(1+PnL!BA13)</f>
        <v>0.1525</v>
      </c>
      <c r="BD23" s="261">
        <f>-PnL!BB44*(1+PnL!BB13)</f>
        <v>0.1525</v>
      </c>
      <c r="BE23" s="261">
        <f>-PnL!BC44*(1+PnL!BC13)</f>
        <v>0.1525</v>
      </c>
      <c r="BF23" s="261">
        <f>-PnL!BD44*(1+PnL!BD13)</f>
        <v>0.1525</v>
      </c>
      <c r="BG23" s="261">
        <f>-PnL!BE44*(1+PnL!BE13)</f>
        <v>0.1525</v>
      </c>
      <c r="BH23" s="261">
        <f>-PnL!BF44*(1+PnL!BF13)</f>
        <v>0.1525</v>
      </c>
      <c r="BI23" s="261">
        <f>-PnL!BG44*(1+PnL!BG13)</f>
        <v>0.1525</v>
      </c>
      <c r="BJ23" s="261">
        <f>-PnL!BH44*(1+PnL!BH13)</f>
        <v>0.1525</v>
      </c>
      <c r="BK23" s="261">
        <f>-PnL!BI44*(1+PnL!BI13)</f>
        <v>0.1525</v>
      </c>
      <c r="BL23" s="261">
        <f t="shared" si="2"/>
        <v>2.6999999999999993</v>
      </c>
      <c r="BM23" s="261">
        <f t="shared" si="3"/>
        <v>2.5569999999999999</v>
      </c>
      <c r="BN23" s="261">
        <f t="shared" si="4"/>
        <v>1.8300000000000003</v>
      </c>
      <c r="BO23" s="261">
        <f t="shared" si="5"/>
        <v>1.8300000000000003</v>
      </c>
      <c r="BP23" s="261">
        <f t="shared" si="6"/>
        <v>1.8300000000000003</v>
      </c>
    </row>
    <row r="24" spans="1:68" x14ac:dyDescent="0.15">
      <c r="A24" t="s">
        <v>837</v>
      </c>
      <c r="B24" t="s">
        <v>236</v>
      </c>
      <c r="D24" s="261">
        <v>0</v>
      </c>
      <c r="E24" s="261">
        <v>0</v>
      </c>
      <c r="F24" s="261">
        <f>-PnL!D45*(1+PnL!D13)</f>
        <v>7.275912000000001E-2</v>
      </c>
      <c r="G24" s="261">
        <f>-PnL!E45*(1+PnL!E13)</f>
        <v>7.275912000000001E-2</v>
      </c>
      <c r="H24" s="261">
        <f>-PnL!F45*(1+PnL!F13)</f>
        <v>7.4373120000000001E-2</v>
      </c>
      <c r="I24" s="261">
        <f>-PnL!G45*(1+PnL!G13)</f>
        <v>7.4373120000000001E-2</v>
      </c>
      <c r="J24" s="261">
        <f>-PnL!H45*(1+PnL!H13)</f>
        <v>9.6581760000000003E-2</v>
      </c>
      <c r="K24" s="261">
        <f>-PnL!I45*(1+PnL!I13)</f>
        <v>9.1933439999999991E-2</v>
      </c>
      <c r="L24" s="261">
        <f>-PnL!J45*(1+PnL!J13)</f>
        <v>9.1933439999999991E-2</v>
      </c>
      <c r="M24" s="261">
        <f>-PnL!K45*(1+PnL!K13)</f>
        <v>3.51852E-2</v>
      </c>
      <c r="N24" s="261">
        <f>-PnL!L45*(1+PnL!L13)</f>
        <v>3.51852E-2</v>
      </c>
      <c r="O24" s="261">
        <f>-PnL!M45*(1+PnL!M13)</f>
        <v>3.51852E-2</v>
      </c>
      <c r="P24" s="261">
        <f>-PnL!N45*(1+PnL!N13)</f>
        <v>3.51852E-2</v>
      </c>
      <c r="Q24" s="261">
        <f>-PnL!O45*(1+PnL!O13)</f>
        <v>3.51852E-2</v>
      </c>
      <c r="R24" s="261">
        <f>-PnL!P45*(1+PnL!P13)</f>
        <v>1.7136246879999997E-2</v>
      </c>
      <c r="S24" s="261">
        <f>-PnL!Q45*(1+PnL!Q13)</f>
        <v>1.7136246879999997E-2</v>
      </c>
      <c r="T24" s="261">
        <f>-PnL!R45*(1+PnL!R13)</f>
        <v>1.7136246879999997E-2</v>
      </c>
      <c r="U24" s="261">
        <f>-PnL!S45*(1+PnL!S13)</f>
        <v>1.7136246879999997E-2</v>
      </c>
      <c r="V24" s="261">
        <f>-PnL!T45*(1+PnL!T13)</f>
        <v>1.7136246879999997E-2</v>
      </c>
      <c r="W24" s="261">
        <f>-PnL!U45*(1+PnL!U13)</f>
        <v>1.7136246879999997E-2</v>
      </c>
      <c r="X24" s="261">
        <f>-PnL!V45*(1+PnL!V13)</f>
        <v>1.7136246879999997E-2</v>
      </c>
      <c r="Y24" s="261">
        <f>-PnL!W45*(1+PnL!W13)</f>
        <v>1.7136246879999997E-2</v>
      </c>
      <c r="Z24" s="261">
        <f>-PnL!X45*(1+PnL!X13)</f>
        <v>1.7136246879999997E-2</v>
      </c>
      <c r="AA24" s="261">
        <f>-PnL!Y45*(1+PnL!Y13)</f>
        <v>1.7136246879999997E-2</v>
      </c>
      <c r="AB24" s="261">
        <f>-PnL!Z45*(1+PnL!Z13)</f>
        <v>1.7136246879999997E-2</v>
      </c>
      <c r="AC24" s="261">
        <f>-PnL!AA45*(1+PnL!AA13)</f>
        <v>1.7136246879999997E-2</v>
      </c>
      <c r="AD24" s="261">
        <f>-PnL!AB45*(1+PnL!AB13)</f>
        <v>1.8335784161600002E-2</v>
      </c>
      <c r="AE24" s="261">
        <f>-PnL!AC45*(1+PnL!AC13)</f>
        <v>1.8335784161600002E-2</v>
      </c>
      <c r="AF24" s="261">
        <f>-PnL!AD45*(1+PnL!AD13)</f>
        <v>1.8335784161600002E-2</v>
      </c>
      <c r="AG24" s="261">
        <f>-PnL!AE45*(1+PnL!AE13)</f>
        <v>1.8335784161600002E-2</v>
      </c>
      <c r="AH24" s="261">
        <f>-PnL!AF45*(1+PnL!AF13)</f>
        <v>1.8335784161600002E-2</v>
      </c>
      <c r="AI24" s="261">
        <f>-PnL!AG45*(1+PnL!AG13)</f>
        <v>1.8335784161600002E-2</v>
      </c>
      <c r="AJ24" s="261">
        <f>-PnL!AH45*(1+PnL!AH13)</f>
        <v>1.8335784161600002E-2</v>
      </c>
      <c r="AK24" s="261">
        <f>-PnL!AI45*(1+PnL!AI13)</f>
        <v>1.8335784161600002E-2</v>
      </c>
      <c r="AL24" s="261">
        <f>-PnL!AJ45*(1+PnL!AJ13)</f>
        <v>1.8335784161600002E-2</v>
      </c>
      <c r="AM24" s="261">
        <f>-PnL!AK45*(1+PnL!AK13)</f>
        <v>1.8335784161600002E-2</v>
      </c>
      <c r="AN24" s="261">
        <f>-PnL!AL45*(1+PnL!AL13)</f>
        <v>1.8335784161600002E-2</v>
      </c>
      <c r="AO24" s="261">
        <f>-PnL!AM45*(1+PnL!AM13)</f>
        <v>1.8335784161600002E-2</v>
      </c>
      <c r="AP24" s="261">
        <f>-PnL!AN45*(1+PnL!AN13)</f>
        <v>1.9619289052911999E-2</v>
      </c>
      <c r="AQ24" s="261">
        <f>-PnL!AO45*(1+PnL!AO13)</f>
        <v>1.9619289052911999E-2</v>
      </c>
      <c r="AR24" s="261">
        <f>-PnL!AP45*(1+PnL!AP13)</f>
        <v>1.9619289052911999E-2</v>
      </c>
      <c r="AS24" s="261">
        <f>-PnL!AQ45*(1+PnL!AQ13)</f>
        <v>1.9619289052911999E-2</v>
      </c>
      <c r="AT24" s="261">
        <f>-PnL!AR45*(1+PnL!AR13)</f>
        <v>1.9619289052911999E-2</v>
      </c>
      <c r="AU24" s="261">
        <f>-PnL!AS45*(1+PnL!AS13)</f>
        <v>1.9619289052911999E-2</v>
      </c>
      <c r="AV24" s="261">
        <f>-PnL!AT45*(1+PnL!AT13)</f>
        <v>1.9619289052911999E-2</v>
      </c>
      <c r="AW24" s="261">
        <f>-PnL!AU45*(1+PnL!AU13)</f>
        <v>1.9619289052911999E-2</v>
      </c>
      <c r="AX24" s="261">
        <f>-PnL!AV45*(1+PnL!AV13)</f>
        <v>1.9619289052911999E-2</v>
      </c>
      <c r="AY24" s="261">
        <f>-PnL!AW45*(1+PnL!AW13)</f>
        <v>1.9619289052911999E-2</v>
      </c>
      <c r="AZ24" s="261">
        <f>-PnL!AX45*(1+PnL!AX13)</f>
        <v>1.9619289052911999E-2</v>
      </c>
      <c r="BA24" s="261">
        <f>-PnL!AY45*(1+PnL!AY13)</f>
        <v>1.9619289052911999E-2</v>
      </c>
      <c r="BB24" s="261">
        <f>-PnL!AZ45*(1+PnL!AZ13)</f>
        <v>2.0992639286615839E-2</v>
      </c>
      <c r="BC24" s="261">
        <f>-PnL!BA45*(1+PnL!BA13)</f>
        <v>2.0992639286615839E-2</v>
      </c>
      <c r="BD24" s="261">
        <f>-PnL!BB45*(1+PnL!BB13)</f>
        <v>2.0992639286615839E-2</v>
      </c>
      <c r="BE24" s="261">
        <f>-PnL!BC45*(1+PnL!BC13)</f>
        <v>2.0992639286615839E-2</v>
      </c>
      <c r="BF24" s="261">
        <f>-PnL!BD45*(1+PnL!BD13)</f>
        <v>2.0992639286615839E-2</v>
      </c>
      <c r="BG24" s="261">
        <f>-PnL!BE45*(1+PnL!BE13)</f>
        <v>2.0992639286615839E-2</v>
      </c>
      <c r="BH24" s="261">
        <f>-PnL!BF45*(1+PnL!BF13)</f>
        <v>2.0992639286615839E-2</v>
      </c>
      <c r="BI24" s="261">
        <f>-PnL!BG45*(1+PnL!BG13)</f>
        <v>2.0992639286615839E-2</v>
      </c>
      <c r="BJ24" s="261">
        <f>-PnL!BH45*(1+PnL!BH13)</f>
        <v>2.0992639286615839E-2</v>
      </c>
      <c r="BK24" s="261">
        <f>-PnL!BI45*(1+PnL!BI13)</f>
        <v>2.0992639286615839E-2</v>
      </c>
      <c r="BL24" s="261">
        <f t="shared" si="2"/>
        <v>0.68026872000000016</v>
      </c>
      <c r="BM24" s="261">
        <f t="shared" si="3"/>
        <v>0.24173286879999989</v>
      </c>
      <c r="BN24" s="261">
        <f t="shared" si="4"/>
        <v>0.21763033537600004</v>
      </c>
      <c r="BO24" s="261">
        <f t="shared" si="5"/>
        <v>0.23286445885231993</v>
      </c>
      <c r="BP24" s="261">
        <f t="shared" si="6"/>
        <v>0.24916497097198242</v>
      </c>
    </row>
    <row r="25" spans="1:68" x14ac:dyDescent="0.15">
      <c r="A25" t="s">
        <v>238</v>
      </c>
      <c r="B25" t="s">
        <v>236</v>
      </c>
      <c r="D25" s="261">
        <v>0</v>
      </c>
      <c r="E25" s="261">
        <v>0</v>
      </c>
      <c r="F25" s="261">
        <v>0</v>
      </c>
      <c r="G25" s="261">
        <f>-(PnL!D49+PnL!E49+PnL!F49)</f>
        <v>0</v>
      </c>
      <c r="H25" s="261">
        <v>0</v>
      </c>
      <c r="I25" s="261">
        <v>0</v>
      </c>
      <c r="J25" s="261">
        <f>-(PnL!G49+PnL!H49+PnL!I49)</f>
        <v>0</v>
      </c>
      <c r="K25" s="261">
        <v>0</v>
      </c>
      <c r="L25" s="261">
        <v>0</v>
      </c>
      <c r="M25" s="261">
        <f>-(PnL!J49+PnL!K49+PnL!L49)</f>
        <v>2.237130253298495E-2</v>
      </c>
      <c r="N25" s="261">
        <v>0</v>
      </c>
      <c r="O25" s="261">
        <v>0</v>
      </c>
      <c r="P25" s="261">
        <f>-(PnL!M49+PnL!N49+PnL!O49)</f>
        <v>0.16400707348912091</v>
      </c>
      <c r="Q25" s="261">
        <v>0</v>
      </c>
      <c r="R25" s="261">
        <v>0</v>
      </c>
      <c r="S25" s="261">
        <f>-(PnL!P49+PnL!Q49+PnL!R49)</f>
        <v>0.13972656053052501</v>
      </c>
      <c r="T25" s="261">
        <v>0</v>
      </c>
      <c r="U25" s="261">
        <v>0</v>
      </c>
      <c r="V25" s="261">
        <f>-(PnL!S49+PnL!T49+PnL!U49)</f>
        <v>0.24043915692131462</v>
      </c>
      <c r="W25" s="261">
        <v>0</v>
      </c>
      <c r="X25" s="261">
        <v>0</v>
      </c>
      <c r="Y25" s="261">
        <f>-(PnL!V49+PnL!W49+PnL!X49)</f>
        <v>0.25430207089534435</v>
      </c>
      <c r="Z25" s="261">
        <v>0</v>
      </c>
      <c r="AA25" s="261">
        <v>0</v>
      </c>
      <c r="AB25" s="261">
        <f>-(PnL!Y49+PnL!Z49+PnL!AA49)</f>
        <v>0.31074463584805223</v>
      </c>
      <c r="AC25" s="261">
        <v>0</v>
      </c>
      <c r="AD25" s="261">
        <v>0</v>
      </c>
      <c r="AE25" s="261">
        <f>-(PnL!AB49+PnL!AC49+PnL!AD49)</f>
        <v>0.20194204160593454</v>
      </c>
      <c r="AF25" s="261">
        <v>0</v>
      </c>
      <c r="AG25" s="261">
        <v>0</v>
      </c>
      <c r="AH25" s="261">
        <f>-(PnL!AE49+PnL!AF49+PnL!AG49)</f>
        <v>0.2664243688921592</v>
      </c>
      <c r="AI25" s="261">
        <v>0</v>
      </c>
      <c r="AJ25" s="261">
        <v>0</v>
      </c>
      <c r="AK25" s="261">
        <f>-(PnL!AH49+PnL!AI49+PnL!AJ49)</f>
        <v>0.27007102769405023</v>
      </c>
      <c r="AL25" s="261">
        <v>0</v>
      </c>
      <c r="AM25" s="261">
        <v>0</v>
      </c>
      <c r="AN25" s="261">
        <f>-(PnL!AK49+PnL!AL49+PnL!AM49)</f>
        <v>0.32414787935403888</v>
      </c>
      <c r="AO25" s="261">
        <v>0</v>
      </c>
      <c r="AP25" s="261">
        <v>0</v>
      </c>
      <c r="AQ25" s="261">
        <f>-(PnL!AN49+PnL!AO49+PnL!AP49)</f>
        <v>0.21085404507070082</v>
      </c>
      <c r="AR25" s="261">
        <v>0</v>
      </c>
      <c r="AS25" s="261">
        <v>0</v>
      </c>
      <c r="AT25" s="261">
        <f>-(PnL!AQ49+PnL!AR49+PnL!AS49)</f>
        <v>0.27791194483628578</v>
      </c>
      <c r="AU25" s="261">
        <v>0</v>
      </c>
      <c r="AV25" s="261">
        <v>0</v>
      </c>
      <c r="AW25" s="261">
        <f>-(PnL!AT49+PnL!AU49+PnL!AV49)</f>
        <v>0.28170371630776309</v>
      </c>
      <c r="AX25" s="261">
        <v>0</v>
      </c>
      <c r="AY25" s="261">
        <v>0</v>
      </c>
      <c r="AZ25" s="261">
        <f>-(PnL!AW49+PnL!AX49+PnL!AY49)</f>
        <v>0.33794354045799263</v>
      </c>
      <c r="BA25" s="261">
        <v>0</v>
      </c>
      <c r="BB25" s="261">
        <v>0</v>
      </c>
      <c r="BC25" s="261">
        <f>-(PnL!AZ49+PnL!BA49+PnL!BB49)</f>
        <v>0.22001851764385599</v>
      </c>
      <c r="BD25" s="261">
        <v>0</v>
      </c>
      <c r="BE25" s="261">
        <v>0</v>
      </c>
      <c r="BF25" s="261">
        <f>-(PnL!BC49+PnL!BD49+PnL!BE49)</f>
        <v>0.2897587321019342</v>
      </c>
      <c r="BG25" s="261">
        <v>0</v>
      </c>
      <c r="BH25" s="261">
        <v>0</v>
      </c>
      <c r="BI25" s="261">
        <f>-(PnL!BF49+PnL!BG49+PnL!BH49)</f>
        <v>0.29370217416932254</v>
      </c>
      <c r="BJ25" s="261">
        <v>0</v>
      </c>
      <c r="BK25" s="261">
        <v>0</v>
      </c>
      <c r="BL25" s="261">
        <f t="shared" si="2"/>
        <v>2.237130253298495E-2</v>
      </c>
      <c r="BM25" s="261">
        <f t="shared" si="3"/>
        <v>0.79847486183630489</v>
      </c>
      <c r="BN25" s="261">
        <f t="shared" si="4"/>
        <v>1.0491820740401963</v>
      </c>
      <c r="BO25" s="261">
        <f t="shared" si="5"/>
        <v>1.0946175855687885</v>
      </c>
      <c r="BP25" s="261">
        <f t="shared" si="6"/>
        <v>1.1414229643731053</v>
      </c>
    </row>
    <row r="26" spans="1:68" x14ac:dyDescent="0.15">
      <c r="A26" t="s">
        <v>838</v>
      </c>
      <c r="B26" t="s">
        <v>236</v>
      </c>
      <c r="D26" s="261">
        <v>0</v>
      </c>
      <c r="E26" s="261">
        <v>0</v>
      </c>
      <c r="F26" s="261">
        <v>0</v>
      </c>
      <c r="G26" s="261">
        <v>0</v>
      </c>
      <c r="H26" s="261">
        <v>0</v>
      </c>
      <c r="I26" s="261">
        <v>0</v>
      </c>
      <c r="J26" s="261">
        <v>0</v>
      </c>
      <c r="K26" s="261">
        <v>0</v>
      </c>
      <c r="L26" s="261">
        <v>0</v>
      </c>
      <c r="M26" s="261">
        <v>0</v>
      </c>
      <c r="N26" s="261">
        <v>0</v>
      </c>
      <c r="O26" s="261">
        <v>0</v>
      </c>
      <c r="P26" s="261">
        <v>0</v>
      </c>
      <c r="Q26" s="261">
        <v>0</v>
      </c>
      <c r="R26" s="261">
        <v>0</v>
      </c>
      <c r="S26" s="261">
        <v>0</v>
      </c>
      <c r="T26" s="261">
        <v>0</v>
      </c>
      <c r="U26" s="261">
        <v>0</v>
      </c>
      <c r="V26" s="261">
        <v>0</v>
      </c>
      <c r="W26" s="261">
        <v>0</v>
      </c>
      <c r="X26" s="261">
        <v>0</v>
      </c>
      <c r="Y26" s="261">
        <v>0</v>
      </c>
      <c r="Z26" s="261">
        <v>0</v>
      </c>
      <c r="AA26" s="261">
        <v>0</v>
      </c>
      <c r="AB26" s="261">
        <v>0</v>
      </c>
      <c r="AC26" s="261">
        <v>0</v>
      </c>
      <c r="AD26" s="261">
        <v>0</v>
      </c>
      <c r="AE26" s="261">
        <v>0</v>
      </c>
      <c r="AF26" s="261">
        <v>0</v>
      </c>
      <c r="AG26" s="261">
        <v>0</v>
      </c>
      <c r="AH26" s="261">
        <v>0</v>
      </c>
      <c r="AI26" s="261">
        <v>0</v>
      </c>
      <c r="AJ26" s="261">
        <v>0</v>
      </c>
      <c r="AK26" s="261">
        <v>0</v>
      </c>
      <c r="AL26" s="261">
        <v>0</v>
      </c>
      <c r="AM26" s="261">
        <v>0</v>
      </c>
      <c r="AN26" s="261">
        <v>0</v>
      </c>
      <c r="AO26" s="261">
        <v>0</v>
      </c>
      <c r="AP26" s="261">
        <v>0</v>
      </c>
      <c r="AQ26" s="261">
        <v>0</v>
      </c>
      <c r="AR26" s="261">
        <v>0</v>
      </c>
      <c r="AS26" s="261">
        <v>0</v>
      </c>
      <c r="AT26" s="261">
        <v>0</v>
      </c>
      <c r="AU26" s="261">
        <v>0</v>
      </c>
      <c r="AV26" s="261">
        <v>0</v>
      </c>
      <c r="AW26" s="261">
        <v>0</v>
      </c>
      <c r="AX26" s="261">
        <v>0</v>
      </c>
      <c r="AY26" s="261">
        <v>0</v>
      </c>
      <c r="AZ26" s="261">
        <v>0</v>
      </c>
      <c r="BA26" s="261">
        <v>0</v>
      </c>
      <c r="BB26" s="261">
        <v>0</v>
      </c>
      <c r="BC26" s="261">
        <v>0</v>
      </c>
      <c r="BD26" s="261">
        <v>0</v>
      </c>
      <c r="BE26" s="261">
        <v>0</v>
      </c>
      <c r="BF26" s="261">
        <v>0</v>
      </c>
      <c r="BG26" s="261">
        <v>0</v>
      </c>
      <c r="BH26" s="261">
        <v>0</v>
      </c>
      <c r="BI26" s="261">
        <v>0</v>
      </c>
      <c r="BJ26" s="261">
        <v>0</v>
      </c>
      <c r="BK26" s="261">
        <v>0</v>
      </c>
      <c r="BL26" s="261">
        <f t="shared" si="2"/>
        <v>0</v>
      </c>
      <c r="BM26" s="261">
        <f t="shared" si="3"/>
        <v>0</v>
      </c>
      <c r="BN26" s="261">
        <f t="shared" si="4"/>
        <v>0</v>
      </c>
      <c r="BO26" s="261">
        <f t="shared" si="5"/>
        <v>0</v>
      </c>
      <c r="BP26" s="261">
        <f t="shared" si="6"/>
        <v>0</v>
      </c>
    </row>
    <row r="27" spans="1:68" x14ac:dyDescent="0.15">
      <c r="A27" s="232" t="s">
        <v>239</v>
      </c>
      <c r="B27" t="s">
        <v>236</v>
      </c>
      <c r="D27" s="267">
        <f t="shared" ref="D27:AI27" si="7">SUM(D20:D26)</f>
        <v>1.2126520000000001</v>
      </c>
      <c r="E27" s="267">
        <f t="shared" si="7"/>
        <v>1.2126520000000001</v>
      </c>
      <c r="F27" s="267">
        <f t="shared" si="7"/>
        <v>1.4623111199999999</v>
      </c>
      <c r="G27" s="267">
        <f t="shared" si="7"/>
        <v>1.4623111199999999</v>
      </c>
      <c r="H27" s="267">
        <f t="shared" si="7"/>
        <v>2.6816744906315941</v>
      </c>
      <c r="I27" s="267">
        <f t="shared" si="7"/>
        <v>1.7699503086320743</v>
      </c>
      <c r="J27" s="267">
        <f t="shared" si="7"/>
        <v>1.802735559349923</v>
      </c>
      <c r="K27" s="267">
        <f t="shared" si="7"/>
        <v>0.86433212658865799</v>
      </c>
      <c r="L27" s="267">
        <f t="shared" si="7"/>
        <v>0.87720588518160458</v>
      </c>
      <c r="M27" s="267">
        <f t="shared" si="7"/>
        <v>1.6182119330276592</v>
      </c>
      <c r="N27" s="267">
        <f t="shared" si="7"/>
        <v>1.2476802191996514</v>
      </c>
      <c r="O27" s="267">
        <f t="shared" si="7"/>
        <v>1.2580841464498642</v>
      </c>
      <c r="P27" s="267">
        <f t="shared" si="7"/>
        <v>1.1448572892891771</v>
      </c>
      <c r="Q27" s="267">
        <f t="shared" si="7"/>
        <v>0.99000362123920027</v>
      </c>
      <c r="R27" s="267">
        <f t="shared" si="7"/>
        <v>0.91262743788366962</v>
      </c>
      <c r="S27" s="267">
        <f t="shared" si="7"/>
        <v>1.8437121285271494</v>
      </c>
      <c r="T27" s="267">
        <f t="shared" si="7"/>
        <v>0.97449579269240594</v>
      </c>
      <c r="U27" s="267">
        <f t="shared" si="7"/>
        <v>0.97607050454615696</v>
      </c>
      <c r="V27" s="267">
        <f t="shared" si="7"/>
        <v>1.2175389918889372</v>
      </c>
      <c r="W27" s="267">
        <f t="shared" si="7"/>
        <v>0.97782959872288999</v>
      </c>
      <c r="X27" s="267">
        <f t="shared" si="7"/>
        <v>0.97840023319240899</v>
      </c>
      <c r="Y27" s="267">
        <f t="shared" si="7"/>
        <v>1.1315234420295268</v>
      </c>
      <c r="Z27" s="267">
        <f t="shared" si="7"/>
        <v>0.87766674089478613</v>
      </c>
      <c r="AA27" s="267">
        <f t="shared" si="7"/>
        <v>0.87809078013196562</v>
      </c>
      <c r="AB27" s="267">
        <f t="shared" si="7"/>
        <v>1.2335028447510006</v>
      </c>
      <c r="AC27" s="267">
        <f t="shared" si="7"/>
        <v>0.92324894397727253</v>
      </c>
      <c r="AD27" s="267">
        <f t="shared" si="7"/>
        <v>0.83830351788328183</v>
      </c>
      <c r="AE27" s="267">
        <f t="shared" si="7"/>
        <v>1.102533545431434</v>
      </c>
      <c r="AF27" s="267">
        <f t="shared" si="7"/>
        <v>0.90099888329958566</v>
      </c>
      <c r="AG27" s="267">
        <f t="shared" si="7"/>
        <v>0.90140716867483994</v>
      </c>
      <c r="AH27" s="267">
        <f t="shared" si="7"/>
        <v>1.1682409392176811</v>
      </c>
      <c r="AI27" s="267">
        <f t="shared" si="7"/>
        <v>0.90222719874900004</v>
      </c>
      <c r="AJ27" s="267">
        <f t="shared" ref="AJ27:BK27" si="8">SUM(AJ20:AJ26)</f>
        <v>0.90263911299791855</v>
      </c>
      <c r="AK27" s="267">
        <f t="shared" si="8"/>
        <v>1.1731233733254842</v>
      </c>
      <c r="AL27" s="267">
        <f t="shared" si="8"/>
        <v>0.90346691556859848</v>
      </c>
      <c r="AM27" s="267">
        <f t="shared" si="8"/>
        <v>0.90388283470940922</v>
      </c>
      <c r="AN27" s="267">
        <f t="shared" si="8"/>
        <v>1.2750645948081869</v>
      </c>
      <c r="AO27" s="267">
        <f t="shared" si="8"/>
        <v>0.95141908413938214</v>
      </c>
      <c r="AP27" s="267">
        <f t="shared" si="8"/>
        <v>0.86310515452195813</v>
      </c>
      <c r="AQ27" s="267">
        <f t="shared" si="8"/>
        <v>1.1387387601099113</v>
      </c>
      <c r="AR27" s="267">
        <f t="shared" si="8"/>
        <v>0.92830747869267372</v>
      </c>
      <c r="AS27" s="267">
        <f t="shared" si="8"/>
        <v>0.92873162621507921</v>
      </c>
      <c r="AT27" s="267">
        <f t="shared" si="8"/>
        <v>1.2070691070455104</v>
      </c>
      <c r="AU27" s="267">
        <f t="shared" si="8"/>
        <v>0.92958409125788322</v>
      </c>
      <c r="AV27" s="267">
        <f t="shared" si="8"/>
        <v>0.93001241794075495</v>
      </c>
      <c r="AW27" s="267">
        <f t="shared" si="8"/>
        <v>1.2121458631509845</v>
      </c>
      <c r="AX27" s="267">
        <f t="shared" si="8"/>
        <v>0.93087328256087931</v>
      </c>
      <c r="AY27" s="267">
        <f t="shared" si="8"/>
        <v>0.93130582970190001</v>
      </c>
      <c r="AZ27" s="267">
        <f t="shared" si="8"/>
        <v>1.3187958344923718</v>
      </c>
      <c r="BA27" s="267">
        <f t="shared" si="8"/>
        <v>0.98137475467618973</v>
      </c>
      <c r="BB27" s="267">
        <f t="shared" si="8"/>
        <v>0.88956677069246382</v>
      </c>
      <c r="BC27" s="267">
        <f t="shared" si="8"/>
        <v>1.1769560312934753</v>
      </c>
      <c r="BD27" s="267">
        <f t="shared" si="8"/>
        <v>0.95737718753137124</v>
      </c>
      <c r="BE27" s="267">
        <f t="shared" si="8"/>
        <v>0.95781830079094932</v>
      </c>
      <c r="BF27" s="267">
        <f t="shared" si="8"/>
        <v>1.2480195902424607</v>
      </c>
      <c r="BG27" s="267">
        <f t="shared" si="8"/>
        <v>0.95870486430769142</v>
      </c>
      <c r="BH27" s="267">
        <f t="shared" si="8"/>
        <v>0.95915032403550193</v>
      </c>
      <c r="BI27" s="267">
        <f t="shared" si="8"/>
        <v>1.2532994162518638</v>
      </c>
      <c r="BJ27" s="267">
        <f t="shared" si="8"/>
        <v>0.9600456232229686</v>
      </c>
      <c r="BK27" s="267">
        <f t="shared" si="8"/>
        <v>0.96049547224657217</v>
      </c>
      <c r="BL27" s="260">
        <f t="shared" si="2"/>
        <v>17.469800909061032</v>
      </c>
      <c r="BM27" s="260">
        <f t="shared" si="3"/>
        <v>12.902816561038275</v>
      </c>
      <c r="BN27" s="260">
        <f t="shared" si="4"/>
        <v>11.853575278585508</v>
      </c>
      <c r="BO27" s="260">
        <f t="shared" si="5"/>
        <v>12.226357290145105</v>
      </c>
      <c r="BP27" s="260">
        <f t="shared" si="6"/>
        <v>12.621604169783879</v>
      </c>
    </row>
    <row r="29" spans="1:68" x14ac:dyDescent="0.15">
      <c r="A29" s="271" t="s">
        <v>240</v>
      </c>
      <c r="B29" t="s">
        <v>236</v>
      </c>
      <c r="D29" s="266">
        <f t="shared" ref="D29:AI29" si="9">D17-D27</f>
        <v>-1.2126520000000001</v>
      </c>
      <c r="E29" s="266">
        <f t="shared" si="9"/>
        <v>-1.2126520000000001</v>
      </c>
      <c r="F29" s="266">
        <f t="shared" si="9"/>
        <v>-1.2721768542101488</v>
      </c>
      <c r="G29" s="266">
        <f t="shared" si="9"/>
        <v>-1.128481404198141</v>
      </c>
      <c r="H29" s="266">
        <f t="shared" si="9"/>
        <v>-2.083429506883518</v>
      </c>
      <c r="I29" s="266">
        <f t="shared" si="9"/>
        <v>-0.87048314391562631</v>
      </c>
      <c r="J29" s="266">
        <f t="shared" si="9"/>
        <v>-0.5814244298098119</v>
      </c>
      <c r="K29" s="266">
        <f t="shared" si="9"/>
        <v>0.74155363577819722</v>
      </c>
      <c r="L29" s="266">
        <f t="shared" si="9"/>
        <v>1.0246695948096858</v>
      </c>
      <c r="M29" s="266">
        <f t="shared" si="9"/>
        <v>0.54376172821894997</v>
      </c>
      <c r="N29" s="266">
        <f t="shared" si="9"/>
        <v>1.620893175801754</v>
      </c>
      <c r="O29" s="266">
        <f t="shared" si="9"/>
        <v>1.8393243845301439</v>
      </c>
      <c r="P29" s="266">
        <f t="shared" si="9"/>
        <v>0.24020381913589905</v>
      </c>
      <c r="Q29" s="266">
        <f t="shared" si="9"/>
        <v>1.8790107400097504</v>
      </c>
      <c r="R29" s="266">
        <f t="shared" si="9"/>
        <v>2.0191425407598134</v>
      </c>
      <c r="S29" s="266">
        <f t="shared" si="9"/>
        <v>1.1274256464601113</v>
      </c>
      <c r="T29" s="266">
        <f t="shared" si="9"/>
        <v>2.0223752428314934</v>
      </c>
      <c r="U29" s="266">
        <f t="shared" si="9"/>
        <v>2.0390446248594287</v>
      </c>
      <c r="V29" s="266">
        <f t="shared" si="9"/>
        <v>1.8118419992546235</v>
      </c>
      <c r="W29" s="266">
        <f t="shared" si="9"/>
        <v>2.0637465076316737</v>
      </c>
      <c r="X29" s="266">
        <f t="shared" si="9"/>
        <v>2.0743101171772453</v>
      </c>
      <c r="Y29" s="266">
        <f t="shared" si="9"/>
        <v>1.9317878892696139</v>
      </c>
      <c r="Z29" s="266">
        <f t="shared" si="9"/>
        <v>2.8107166696789196</v>
      </c>
      <c r="AA29" s="266">
        <f t="shared" si="9"/>
        <v>2.8225610072998477</v>
      </c>
      <c r="AB29" s="266">
        <f t="shared" si="9"/>
        <v>0.31352485829104593</v>
      </c>
      <c r="AC29" s="266">
        <f t="shared" si="9"/>
        <v>2.180978407620211</v>
      </c>
      <c r="AD29" s="266">
        <f t="shared" si="9"/>
        <v>2.2761083205663573</v>
      </c>
      <c r="AE29" s="266">
        <f t="shared" si="9"/>
        <v>2.022085427399563</v>
      </c>
      <c r="AF29" s="266">
        <f t="shared" si="9"/>
        <v>2.2338551307984629</v>
      </c>
      <c r="AG29" s="266">
        <f t="shared" si="9"/>
        <v>2.2437125560101601</v>
      </c>
      <c r="AH29" s="266">
        <f t="shared" si="9"/>
        <v>1.9871766416902845</v>
      </c>
      <c r="AI29" s="266">
        <f t="shared" si="9"/>
        <v>2.2635211979968481</v>
      </c>
      <c r="AJ29" s="266">
        <f t="shared" ref="AJ29:BK29" si="10">AJ17-AJ27</f>
        <v>2.2734735321770438</v>
      </c>
      <c r="AK29" s="266">
        <f t="shared" si="10"/>
        <v>2.0133872503697465</v>
      </c>
      <c r="AL29" s="266">
        <f t="shared" si="10"/>
        <v>2.932864131945101</v>
      </c>
      <c r="AM29" s="266">
        <f t="shared" si="10"/>
        <v>2.9450074299351483</v>
      </c>
      <c r="AN29" s="266">
        <f t="shared" si="10"/>
        <v>0.33388980711796656</v>
      </c>
      <c r="AO29" s="266">
        <f t="shared" si="10"/>
        <v>2.2770243307180795</v>
      </c>
      <c r="AP29" s="266">
        <f t="shared" si="10"/>
        <v>2.3759073516720886</v>
      </c>
      <c r="AQ29" s="266">
        <f t="shared" si="10"/>
        <v>2.1108774341442711</v>
      </c>
      <c r="AR29" s="266">
        <f t="shared" si="10"/>
        <v>2.3319471154151423</v>
      </c>
      <c r="AS29" s="266">
        <f t="shared" si="10"/>
        <v>2.3421961941092024</v>
      </c>
      <c r="AT29" s="266">
        <f t="shared" si="10"/>
        <v>2.0745668803505644</v>
      </c>
      <c r="AU29" s="266">
        <f t="shared" si="10"/>
        <v>2.3627951186998528</v>
      </c>
      <c r="AV29" s="266">
        <f t="shared" si="10"/>
        <v>2.3731451849584295</v>
      </c>
      <c r="AW29" s="266">
        <f t="shared" si="10"/>
        <v>2.1018254182737173</v>
      </c>
      <c r="AX29" s="266">
        <f t="shared" si="10"/>
        <v>3.0589111507398021</v>
      </c>
      <c r="AY29" s="266">
        <f t="shared" si="10"/>
        <v>3.0715401196440464</v>
      </c>
      <c r="AZ29" s="266">
        <f t="shared" si="10"/>
        <v>0.35451675941782712</v>
      </c>
      <c r="BA29" s="266">
        <f t="shared" si="10"/>
        <v>2.3762064131628953</v>
      </c>
      <c r="BB29" s="266">
        <f t="shared" si="10"/>
        <v>2.4790062441904226</v>
      </c>
      <c r="BC29" s="266">
        <f t="shared" si="10"/>
        <v>2.2026448150788589</v>
      </c>
      <c r="BD29" s="266">
        <f t="shared" si="10"/>
        <v>2.4332875925803981</v>
      </c>
      <c r="BE29" s="266">
        <f t="shared" si="10"/>
        <v>2.4439466334999382</v>
      </c>
      <c r="BF29" s="266">
        <f t="shared" si="10"/>
        <v>2.1648818372436933</v>
      </c>
      <c r="BG29" s="266">
        <f t="shared" si="10"/>
        <v>2.4653695143544452</v>
      </c>
      <c r="BH29" s="266">
        <f t="shared" si="10"/>
        <v>2.4761335831373188</v>
      </c>
      <c r="BI29" s="266">
        <f t="shared" si="10"/>
        <v>2.1932307165110423</v>
      </c>
      <c r="BJ29" s="266">
        <f t="shared" si="10"/>
        <v>3.1893301874599427</v>
      </c>
      <c r="BK29" s="266">
        <f t="shared" si="10"/>
        <v>3.2024643150990739</v>
      </c>
      <c r="BL29" s="260">
        <f>SUM(D29:O29)</f>
        <v>-2.5910968198785156</v>
      </c>
      <c r="BM29" s="260">
        <f>SUM(P29:AA29)</f>
        <v>22.842166804368418</v>
      </c>
      <c r="BN29" s="260">
        <f>SUM(AB29:AM29)</f>
        <v>25.685694884799975</v>
      </c>
      <c r="BO29" s="260">
        <f>SUM(AN29:AY29)</f>
        <v>26.814626105843161</v>
      </c>
      <c r="BP29" s="260">
        <f>SUM(AZ29:BK29)</f>
        <v>27.981018611735859</v>
      </c>
    </row>
    <row r="30" spans="1:68" x14ac:dyDescent="0.15">
      <c r="A30" s="271" t="s">
        <v>241</v>
      </c>
      <c r="B30" t="s">
        <v>236</v>
      </c>
      <c r="D30" s="266">
        <f>D29</f>
        <v>-1.2126520000000001</v>
      </c>
      <c r="E30" s="266">
        <f t="shared" ref="E30:AJ30" si="11">D30+E29</f>
        <v>-2.4253040000000001</v>
      </c>
      <c r="F30" s="266">
        <f t="shared" si="11"/>
        <v>-3.6974808542101489</v>
      </c>
      <c r="G30" s="266">
        <f t="shared" si="11"/>
        <v>-4.82596225840829</v>
      </c>
      <c r="H30" s="266">
        <f t="shared" si="11"/>
        <v>-6.909391765291808</v>
      </c>
      <c r="I30" s="266">
        <f t="shared" si="11"/>
        <v>-7.7798749092074342</v>
      </c>
      <c r="J30" s="266">
        <f t="shared" si="11"/>
        <v>-8.361299339017247</v>
      </c>
      <c r="K30" s="266">
        <f t="shared" si="11"/>
        <v>-7.6197457032390501</v>
      </c>
      <c r="L30" s="266">
        <f t="shared" si="11"/>
        <v>-6.5950761084293639</v>
      </c>
      <c r="M30" s="266">
        <f t="shared" si="11"/>
        <v>-6.0513143802104139</v>
      </c>
      <c r="N30" s="266">
        <f t="shared" si="11"/>
        <v>-4.4304212044086597</v>
      </c>
      <c r="O30" s="266">
        <f t="shared" si="11"/>
        <v>-2.5910968198785156</v>
      </c>
      <c r="P30" s="266">
        <f t="shared" si="11"/>
        <v>-2.3508930007426168</v>
      </c>
      <c r="Q30" s="266">
        <f t="shared" si="11"/>
        <v>-0.47188226073286632</v>
      </c>
      <c r="R30" s="266">
        <f t="shared" si="11"/>
        <v>1.547260280026947</v>
      </c>
      <c r="S30" s="266">
        <f t="shared" si="11"/>
        <v>2.6746859264870584</v>
      </c>
      <c r="T30" s="266">
        <f t="shared" si="11"/>
        <v>4.6970611693185518</v>
      </c>
      <c r="U30" s="266">
        <f t="shared" si="11"/>
        <v>6.7361057941779805</v>
      </c>
      <c r="V30" s="266">
        <f t="shared" si="11"/>
        <v>8.5479477934326038</v>
      </c>
      <c r="W30" s="266">
        <f t="shared" si="11"/>
        <v>10.611694301064277</v>
      </c>
      <c r="X30" s="266">
        <f t="shared" si="11"/>
        <v>12.686004418241524</v>
      </c>
      <c r="Y30" s="266">
        <f t="shared" si="11"/>
        <v>14.617792307511138</v>
      </c>
      <c r="Z30" s="266">
        <f t="shared" si="11"/>
        <v>17.428508977190056</v>
      </c>
      <c r="AA30" s="266">
        <f t="shared" si="11"/>
        <v>20.251069984489902</v>
      </c>
      <c r="AB30" s="266">
        <f t="shared" si="11"/>
        <v>20.564594842780949</v>
      </c>
      <c r="AC30" s="266">
        <f t="shared" si="11"/>
        <v>22.745573250401158</v>
      </c>
      <c r="AD30" s="266">
        <f t="shared" si="11"/>
        <v>25.021681570967516</v>
      </c>
      <c r="AE30" s="266">
        <f t="shared" si="11"/>
        <v>27.043766998367079</v>
      </c>
      <c r="AF30" s="266">
        <f t="shared" si="11"/>
        <v>29.277622129165543</v>
      </c>
      <c r="AG30" s="266">
        <f t="shared" si="11"/>
        <v>31.521334685175702</v>
      </c>
      <c r="AH30" s="266">
        <f t="shared" si="11"/>
        <v>33.508511326865985</v>
      </c>
      <c r="AI30" s="266">
        <f t="shared" si="11"/>
        <v>35.772032524862837</v>
      </c>
      <c r="AJ30" s="266">
        <f t="shared" si="11"/>
        <v>38.04550605703988</v>
      </c>
      <c r="AK30" s="266">
        <f t="shared" ref="AK30:BK30" si="12">AJ30+AK29</f>
        <v>40.058893307409626</v>
      </c>
      <c r="AL30" s="266">
        <f t="shared" si="12"/>
        <v>42.991757439354728</v>
      </c>
      <c r="AM30" s="266">
        <f t="shared" si="12"/>
        <v>45.936764869289874</v>
      </c>
      <c r="AN30" s="266">
        <f t="shared" si="12"/>
        <v>46.270654676407844</v>
      </c>
      <c r="AO30" s="266">
        <f t="shared" si="12"/>
        <v>48.547679007125922</v>
      </c>
      <c r="AP30" s="266">
        <f t="shared" si="12"/>
        <v>50.923586358798012</v>
      </c>
      <c r="AQ30" s="266">
        <f t="shared" si="12"/>
        <v>53.034463792942283</v>
      </c>
      <c r="AR30" s="266">
        <f t="shared" si="12"/>
        <v>55.366410908357423</v>
      </c>
      <c r="AS30" s="266">
        <f t="shared" si="12"/>
        <v>57.708607102466623</v>
      </c>
      <c r="AT30" s="266">
        <f t="shared" si="12"/>
        <v>59.783173982817189</v>
      </c>
      <c r="AU30" s="266">
        <f t="shared" si="12"/>
        <v>62.145969101517039</v>
      </c>
      <c r="AV30" s="266">
        <f t="shared" si="12"/>
        <v>64.519114286475471</v>
      </c>
      <c r="AW30" s="266">
        <f t="shared" si="12"/>
        <v>66.62093970474919</v>
      </c>
      <c r="AX30" s="266">
        <f t="shared" si="12"/>
        <v>69.679850855488993</v>
      </c>
      <c r="AY30" s="266">
        <f t="shared" si="12"/>
        <v>72.751390975133035</v>
      </c>
      <c r="AZ30" s="266">
        <f t="shared" si="12"/>
        <v>73.105907734550868</v>
      </c>
      <c r="BA30" s="266">
        <f t="shared" si="12"/>
        <v>75.482114147713759</v>
      </c>
      <c r="BB30" s="266">
        <f t="shared" si="12"/>
        <v>77.961120391904188</v>
      </c>
      <c r="BC30" s="266">
        <f t="shared" si="12"/>
        <v>80.163765206983044</v>
      </c>
      <c r="BD30" s="266">
        <f t="shared" si="12"/>
        <v>82.597052799563443</v>
      </c>
      <c r="BE30" s="266">
        <f t="shared" si="12"/>
        <v>85.040999433063377</v>
      </c>
      <c r="BF30" s="266">
        <f t="shared" si="12"/>
        <v>87.205881270307074</v>
      </c>
      <c r="BG30" s="266">
        <f t="shared" si="12"/>
        <v>89.671250784661524</v>
      </c>
      <c r="BH30" s="266">
        <f t="shared" si="12"/>
        <v>92.14738436779885</v>
      </c>
      <c r="BI30" s="266">
        <f t="shared" si="12"/>
        <v>94.340615084309889</v>
      </c>
      <c r="BJ30" s="266">
        <f t="shared" si="12"/>
        <v>97.529945271769833</v>
      </c>
      <c r="BK30" s="266">
        <f t="shared" si="12"/>
        <v>100.73240958686891</v>
      </c>
      <c r="BL30" s="267">
        <f>O30</f>
        <v>-2.5910968198785156</v>
      </c>
      <c r="BM30" s="267">
        <f>AA30</f>
        <v>20.251069984489902</v>
      </c>
      <c r="BN30" s="267">
        <f>AM30</f>
        <v>45.936764869289874</v>
      </c>
      <c r="BO30" s="267">
        <f>AY30</f>
        <v>72.751390975133035</v>
      </c>
      <c r="BP30" s="267">
        <f>BK30</f>
        <v>100.73240958686891</v>
      </c>
    </row>
    <row r="32" spans="1:68" ht="16" customHeight="1" x14ac:dyDescent="0.2">
      <c r="A32" s="319" t="s">
        <v>242</v>
      </c>
      <c r="B32" s="315"/>
      <c r="C32" s="315"/>
      <c r="D32" s="315"/>
      <c r="E32" s="315"/>
      <c r="F32" s="315"/>
      <c r="G32" s="315"/>
      <c r="H32" s="315"/>
      <c r="I32" s="315"/>
      <c r="J32" s="315"/>
      <c r="K32" s="315"/>
      <c r="L32" s="315"/>
      <c r="M32" s="315"/>
      <c r="N32" s="315"/>
    </row>
    <row r="33" spans="1:3" x14ac:dyDescent="0.15">
      <c r="A33" s="232" t="s">
        <v>243</v>
      </c>
      <c r="B33" t="s">
        <v>236</v>
      </c>
      <c r="C33" s="272">
        <f>MIN(D30:BK30)</f>
        <v>-8.361299339017247</v>
      </c>
    </row>
    <row r="34" spans="1:3" x14ac:dyDescent="0.15">
      <c r="A34" s="232" t="s">
        <v>244</v>
      </c>
      <c r="B34" t="s">
        <v>171</v>
      </c>
      <c r="C34" s="273">
        <f>MATCH(TRUE,INDEX(D30:BK30&gt;=0,0),0)</f>
        <v>15</v>
      </c>
    </row>
    <row r="35" spans="1:3" x14ac:dyDescent="0.15">
      <c r="A35" s="232" t="s">
        <v>245</v>
      </c>
      <c r="B35" t="s">
        <v>236</v>
      </c>
      <c r="C35" s="267">
        <f>BK30</f>
        <v>100.73240958686891</v>
      </c>
    </row>
    <row r="36" spans="1:3" x14ac:dyDescent="0.15">
      <c r="A36" s="232" t="s">
        <v>246</v>
      </c>
      <c r="B36" t="s">
        <v>236</v>
      </c>
      <c r="C36" s="267">
        <f>NPV((1+PnL!B10)^(1/12)-1,D29:BK29)</f>
        <v>47.843436494391931</v>
      </c>
    </row>
  </sheetData>
  <mergeCells count="4">
    <mergeCell ref="A4:N4"/>
    <mergeCell ref="A32:N32"/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P45"/>
  <sheetViews>
    <sheetView zoomScale="142" workbookViewId="0">
      <pane xSplit="3" ySplit="5" topLeftCell="D25" activePane="bottomRight" state="frozen"/>
      <selection pane="topRight"/>
      <selection pane="bottomLeft"/>
      <selection pane="bottomRight" activeCell="D21" sqref="D21"/>
    </sheetView>
  </sheetViews>
  <sheetFormatPr baseColWidth="10" defaultColWidth="8.83203125" defaultRowHeight="13" x14ac:dyDescent="0.15"/>
  <cols>
    <col min="1" max="1" width="45" customWidth="1"/>
    <col min="2" max="2" width="16" customWidth="1"/>
    <col min="3" max="3" width="12" customWidth="1"/>
    <col min="4" max="4" width="12.5" customWidth="1"/>
    <col min="5" max="63" width="11" customWidth="1"/>
    <col min="64" max="68" width="14" customWidth="1"/>
  </cols>
  <sheetData>
    <row r="1" spans="1:14" ht="18" customHeight="1" x14ac:dyDescent="0.2">
      <c r="A1" s="325" t="s">
        <v>177</v>
      </c>
      <c r="B1" s="315"/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315"/>
      <c r="N1" s="315"/>
    </row>
    <row r="2" spans="1:14" x14ac:dyDescent="0.15">
      <c r="A2" s="318" t="s">
        <v>178</v>
      </c>
      <c r="B2" s="315"/>
      <c r="C2" s="315"/>
      <c r="D2" s="315"/>
      <c r="E2" s="315"/>
      <c r="F2" s="315"/>
      <c r="G2" s="315"/>
      <c r="H2" s="315"/>
      <c r="I2" s="315"/>
      <c r="J2" s="315"/>
      <c r="K2" s="315"/>
      <c r="L2" s="315"/>
      <c r="M2" s="315"/>
      <c r="N2" s="315"/>
    </row>
    <row r="4" spans="1:14" ht="16" customHeight="1" x14ac:dyDescent="0.2">
      <c r="A4" s="319" t="s">
        <v>179</v>
      </c>
      <c r="B4" s="315"/>
      <c r="C4" s="315"/>
      <c r="D4" s="315"/>
      <c r="E4" s="315"/>
      <c r="F4" s="315"/>
      <c r="G4" s="315"/>
      <c r="H4" s="315"/>
      <c r="I4" s="315"/>
      <c r="J4" s="315"/>
      <c r="K4" s="315"/>
      <c r="L4" s="315"/>
      <c r="M4" s="315"/>
      <c r="N4" s="315"/>
    </row>
    <row r="5" spans="1:14" ht="42" customHeight="1" x14ac:dyDescent="0.15">
      <c r="A5" s="224" t="s">
        <v>159</v>
      </c>
      <c r="B5" s="224" t="s">
        <v>160</v>
      </c>
      <c r="C5" s="224" t="s">
        <v>161</v>
      </c>
      <c r="D5" s="224" t="s">
        <v>162</v>
      </c>
    </row>
    <row r="6" spans="1:14" x14ac:dyDescent="0.15">
      <c r="A6" s="226" t="s">
        <v>180</v>
      </c>
      <c r="B6" s="252">
        <v>40</v>
      </c>
      <c r="C6" s="226" t="s">
        <v>181</v>
      </c>
      <c r="D6" t="s">
        <v>182</v>
      </c>
    </row>
    <row r="7" spans="1:14" x14ac:dyDescent="0.15">
      <c r="A7" s="226" t="s">
        <v>183</v>
      </c>
      <c r="B7" s="252">
        <v>8</v>
      </c>
      <c r="C7" s="226" t="s">
        <v>184</v>
      </c>
      <c r="D7" t="s">
        <v>185</v>
      </c>
    </row>
    <row r="8" spans="1:14" x14ac:dyDescent="0.15">
      <c r="A8" s="226" t="s">
        <v>186</v>
      </c>
      <c r="B8" s="253">
        <v>0.02</v>
      </c>
      <c r="C8" s="226" t="s">
        <v>134</v>
      </c>
      <c r="D8" t="s">
        <v>187</v>
      </c>
    </row>
    <row r="9" spans="1:14" x14ac:dyDescent="0.15">
      <c r="A9" s="226" t="s">
        <v>188</v>
      </c>
      <c r="B9" s="253">
        <v>0.05</v>
      </c>
      <c r="C9" s="226" t="s">
        <v>134</v>
      </c>
      <c r="D9" t="s">
        <v>189</v>
      </c>
    </row>
    <row r="10" spans="1:14" x14ac:dyDescent="0.15">
      <c r="A10" s="226" t="s">
        <v>190</v>
      </c>
      <c r="B10" s="253">
        <v>0.05</v>
      </c>
      <c r="C10" s="226" t="s">
        <v>134</v>
      </c>
      <c r="D10" t="s">
        <v>191</v>
      </c>
    </row>
    <row r="11" spans="1:14" x14ac:dyDescent="0.15">
      <c r="A11" s="226" t="s">
        <v>192</v>
      </c>
      <c r="B11" s="252">
        <v>4000000</v>
      </c>
      <c r="C11" s="226" t="s">
        <v>193</v>
      </c>
      <c r="D11" s="125" t="s">
        <v>194</v>
      </c>
    </row>
    <row r="12" spans="1:14" x14ac:dyDescent="0.15">
      <c r="A12" s="226" t="s">
        <v>195</v>
      </c>
      <c r="B12" s="252">
        <v>3000000</v>
      </c>
      <c r="C12" s="226" t="s">
        <v>193</v>
      </c>
      <c r="D12" s="125" t="s">
        <v>196</v>
      </c>
    </row>
    <row r="13" spans="1:14" x14ac:dyDescent="0.15">
      <c r="A13" s="226" t="s">
        <v>197</v>
      </c>
      <c r="B13" s="252">
        <v>3000000</v>
      </c>
      <c r="C13" s="226" t="s">
        <v>193</v>
      </c>
      <c r="D13" s="125" t="s">
        <v>817</v>
      </c>
    </row>
    <row r="14" spans="1:14" x14ac:dyDescent="0.15">
      <c r="A14" s="226" t="s">
        <v>198</v>
      </c>
      <c r="B14" s="252">
        <v>1500000</v>
      </c>
      <c r="C14" s="226" t="s">
        <v>193</v>
      </c>
      <c r="D14" s="125" t="s">
        <v>818</v>
      </c>
    </row>
    <row r="15" spans="1:14" x14ac:dyDescent="0.15">
      <c r="A15" s="226" t="s">
        <v>199</v>
      </c>
      <c r="B15" s="252">
        <v>100000</v>
      </c>
      <c r="C15" s="226" t="s">
        <v>200</v>
      </c>
      <c r="D15" s="125" t="s">
        <v>819</v>
      </c>
    </row>
    <row r="16" spans="1:14" x14ac:dyDescent="0.15">
      <c r="A16" s="226" t="s">
        <v>201</v>
      </c>
      <c r="B16" s="253">
        <v>0.05</v>
      </c>
      <c r="C16" s="226" t="s">
        <v>134</v>
      </c>
      <c r="D16" t="s">
        <v>202</v>
      </c>
    </row>
    <row r="17" spans="1:68" x14ac:dyDescent="0.15">
      <c r="A17" s="226" t="s">
        <v>203</v>
      </c>
      <c r="B17" s="252">
        <v>25</v>
      </c>
      <c r="C17" s="226" t="s">
        <v>74</v>
      </c>
      <c r="D17" s="125" t="s">
        <v>820</v>
      </c>
    </row>
    <row r="18" spans="1:68" x14ac:dyDescent="0.15">
      <c r="A18" s="226" t="s">
        <v>204</v>
      </c>
      <c r="B18" s="252">
        <v>280000</v>
      </c>
      <c r="C18" s="226" t="s">
        <v>205</v>
      </c>
      <c r="D18" s="125" t="s">
        <v>821</v>
      </c>
    </row>
    <row r="19" spans="1:68" x14ac:dyDescent="0.15">
      <c r="A19" s="226" t="s">
        <v>206</v>
      </c>
      <c r="B19" s="253">
        <v>0.02</v>
      </c>
      <c r="C19" s="226" t="s">
        <v>134</v>
      </c>
      <c r="D19" t="s">
        <v>207</v>
      </c>
    </row>
    <row r="20" spans="1:68" x14ac:dyDescent="0.15">
      <c r="A20" s="226" t="s">
        <v>208</v>
      </c>
      <c r="B20" s="301">
        <v>7.0000000000000007E-2</v>
      </c>
      <c r="C20" s="226" t="s">
        <v>209</v>
      </c>
      <c r="D20" s="125" t="s">
        <v>818</v>
      </c>
    </row>
    <row r="25" spans="1:68" ht="16" customHeight="1" x14ac:dyDescent="0.2">
      <c r="A25" s="319" t="s">
        <v>816</v>
      </c>
      <c r="B25" s="315"/>
      <c r="C25" s="315"/>
      <c r="D25" s="315"/>
      <c r="E25" s="315"/>
      <c r="F25" s="315"/>
      <c r="G25" s="315"/>
      <c r="H25" s="315"/>
      <c r="I25" s="315"/>
      <c r="J25" s="315"/>
      <c r="K25" s="315"/>
      <c r="L25" s="315"/>
      <c r="M25" s="315"/>
      <c r="N25" s="315"/>
    </row>
    <row r="26" spans="1:68" ht="14" customHeight="1" x14ac:dyDescent="0.15">
      <c r="A26" s="232" t="s">
        <v>210</v>
      </c>
      <c r="B26" t="s">
        <v>161</v>
      </c>
      <c r="C26" t="s">
        <v>159</v>
      </c>
      <c r="D26" s="235">
        <v>2026</v>
      </c>
      <c r="E26" s="235">
        <v>2026</v>
      </c>
      <c r="F26" s="235">
        <v>2026</v>
      </c>
      <c r="G26" s="235">
        <v>2026</v>
      </c>
      <c r="H26" s="235">
        <v>2026</v>
      </c>
      <c r="I26" s="235">
        <v>2026</v>
      </c>
      <c r="J26" s="235">
        <v>2026</v>
      </c>
      <c r="K26" s="235">
        <v>2026</v>
      </c>
      <c r="L26" s="235">
        <v>2026</v>
      </c>
      <c r="M26" s="235">
        <v>2026</v>
      </c>
      <c r="N26" s="235">
        <v>2026</v>
      </c>
      <c r="O26" s="235">
        <v>2026</v>
      </c>
      <c r="P26" s="235">
        <v>2027</v>
      </c>
      <c r="Q26" s="235">
        <v>2027</v>
      </c>
      <c r="R26" s="235">
        <v>2027</v>
      </c>
      <c r="S26" s="235">
        <v>2027</v>
      </c>
      <c r="T26" s="235">
        <v>2027</v>
      </c>
      <c r="U26" s="235">
        <v>2027</v>
      </c>
      <c r="V26" s="235">
        <v>2027</v>
      </c>
      <c r="W26" s="235">
        <v>2027</v>
      </c>
      <c r="X26" s="235">
        <v>2027</v>
      </c>
      <c r="Y26" s="235">
        <v>2027</v>
      </c>
      <c r="Z26" s="235">
        <v>2027</v>
      </c>
      <c r="AA26" s="235">
        <v>2027</v>
      </c>
      <c r="AB26" s="235">
        <v>2028</v>
      </c>
      <c r="AC26" s="235">
        <v>2028</v>
      </c>
      <c r="AD26" s="235">
        <v>2028</v>
      </c>
      <c r="AE26" s="235">
        <v>2028</v>
      </c>
      <c r="AF26" s="235">
        <v>2028</v>
      </c>
      <c r="AG26" s="235">
        <v>2028</v>
      </c>
      <c r="AH26" s="235">
        <v>2028</v>
      </c>
      <c r="AI26" s="235">
        <v>2028</v>
      </c>
      <c r="AJ26" s="235">
        <v>2028</v>
      </c>
      <c r="AK26" s="235">
        <v>2028</v>
      </c>
      <c r="AL26" s="235">
        <v>2028</v>
      </c>
      <c r="AM26" s="235">
        <v>2028</v>
      </c>
      <c r="AN26" s="235">
        <v>2029</v>
      </c>
      <c r="AO26" s="235">
        <v>2029</v>
      </c>
      <c r="AP26" s="235">
        <v>2029</v>
      </c>
      <c r="AQ26" s="235">
        <v>2029</v>
      </c>
      <c r="AR26" s="235">
        <v>2029</v>
      </c>
      <c r="AS26" s="235">
        <v>2029</v>
      </c>
      <c r="AT26" s="235">
        <v>2029</v>
      </c>
      <c r="AU26" s="235">
        <v>2029</v>
      </c>
      <c r="AV26" s="235">
        <v>2029</v>
      </c>
      <c r="AW26" s="235">
        <v>2029</v>
      </c>
      <c r="AX26" s="235">
        <v>2029</v>
      </c>
      <c r="AY26" s="235">
        <v>2029</v>
      </c>
      <c r="AZ26" s="235">
        <v>2030</v>
      </c>
      <c r="BA26" s="235">
        <v>2030</v>
      </c>
      <c r="BB26" s="235">
        <v>2030</v>
      </c>
      <c r="BC26" s="235">
        <v>2030</v>
      </c>
      <c r="BD26" s="235">
        <v>2030</v>
      </c>
      <c r="BE26" s="235">
        <v>2030</v>
      </c>
      <c r="BF26" s="235">
        <v>2030</v>
      </c>
      <c r="BG26" s="235">
        <v>2030</v>
      </c>
      <c r="BH26" s="235">
        <v>2030</v>
      </c>
      <c r="BI26" s="235">
        <v>2030</v>
      </c>
      <c r="BJ26" s="235">
        <v>2030</v>
      </c>
      <c r="BK26" s="235">
        <v>2030</v>
      </c>
      <c r="BL26" s="235" t="s">
        <v>56</v>
      </c>
      <c r="BM26" s="235" t="s">
        <v>57</v>
      </c>
      <c r="BN26" s="235" t="s">
        <v>58</v>
      </c>
      <c r="BO26" s="235" t="s">
        <v>59</v>
      </c>
      <c r="BP26" s="235" t="s">
        <v>60</v>
      </c>
    </row>
    <row r="27" spans="1:68" ht="14" customHeight="1" x14ac:dyDescent="0.15">
      <c r="A27" s="232"/>
      <c r="D27" s="236" t="s">
        <v>61</v>
      </c>
      <c r="E27" s="236" t="s">
        <v>62</v>
      </c>
      <c r="F27" s="236" t="s">
        <v>63</v>
      </c>
      <c r="G27" s="236" t="s">
        <v>64</v>
      </c>
      <c r="H27" s="236" t="s">
        <v>65</v>
      </c>
      <c r="I27" s="236" t="s">
        <v>66</v>
      </c>
      <c r="J27" s="236" t="s">
        <v>67</v>
      </c>
      <c r="K27" s="236" t="s">
        <v>68</v>
      </c>
      <c r="L27" s="236" t="s">
        <v>69</v>
      </c>
      <c r="M27" s="236" t="s">
        <v>70</v>
      </c>
      <c r="N27" s="236" t="s">
        <v>71</v>
      </c>
      <c r="O27" s="236" t="s">
        <v>72</v>
      </c>
      <c r="P27" s="236" t="s">
        <v>61</v>
      </c>
      <c r="Q27" s="236" t="s">
        <v>62</v>
      </c>
      <c r="R27" s="236" t="s">
        <v>63</v>
      </c>
      <c r="S27" s="236" t="s">
        <v>64</v>
      </c>
      <c r="T27" s="236" t="s">
        <v>65</v>
      </c>
      <c r="U27" s="236" t="s">
        <v>66</v>
      </c>
      <c r="V27" s="236" t="s">
        <v>67</v>
      </c>
      <c r="W27" s="236" t="s">
        <v>68</v>
      </c>
      <c r="X27" s="236" t="s">
        <v>69</v>
      </c>
      <c r="Y27" s="236" t="s">
        <v>70</v>
      </c>
      <c r="Z27" s="236" t="s">
        <v>71</v>
      </c>
      <c r="AA27" s="236" t="s">
        <v>72</v>
      </c>
      <c r="AB27" s="236" t="s">
        <v>61</v>
      </c>
      <c r="AC27" s="236" t="s">
        <v>62</v>
      </c>
      <c r="AD27" s="236" t="s">
        <v>63</v>
      </c>
      <c r="AE27" s="236" t="s">
        <v>64</v>
      </c>
      <c r="AF27" s="236" t="s">
        <v>65</v>
      </c>
      <c r="AG27" s="236" t="s">
        <v>66</v>
      </c>
      <c r="AH27" s="236" t="s">
        <v>67</v>
      </c>
      <c r="AI27" s="236" t="s">
        <v>68</v>
      </c>
      <c r="AJ27" s="236" t="s">
        <v>69</v>
      </c>
      <c r="AK27" s="236" t="s">
        <v>70</v>
      </c>
      <c r="AL27" s="236" t="s">
        <v>71</v>
      </c>
      <c r="AM27" s="236" t="s">
        <v>72</v>
      </c>
      <c r="AN27" s="236" t="s">
        <v>61</v>
      </c>
      <c r="AO27" s="236" t="s">
        <v>62</v>
      </c>
      <c r="AP27" s="236" t="s">
        <v>63</v>
      </c>
      <c r="AQ27" s="236" t="s">
        <v>64</v>
      </c>
      <c r="AR27" s="236" t="s">
        <v>65</v>
      </c>
      <c r="AS27" s="236" t="s">
        <v>66</v>
      </c>
      <c r="AT27" s="236" t="s">
        <v>67</v>
      </c>
      <c r="AU27" s="236" t="s">
        <v>68</v>
      </c>
      <c r="AV27" s="236" t="s">
        <v>69</v>
      </c>
      <c r="AW27" s="236" t="s">
        <v>70</v>
      </c>
      <c r="AX27" s="236" t="s">
        <v>71</v>
      </c>
      <c r="AY27" s="236" t="s">
        <v>72</v>
      </c>
      <c r="AZ27" s="236" t="s">
        <v>61</v>
      </c>
      <c r="BA27" s="236" t="s">
        <v>62</v>
      </c>
      <c r="BB27" s="236" t="s">
        <v>63</v>
      </c>
      <c r="BC27" s="236" t="s">
        <v>64</v>
      </c>
      <c r="BD27" s="236" t="s">
        <v>65</v>
      </c>
      <c r="BE27" s="236" t="s">
        <v>66</v>
      </c>
      <c r="BF27" s="236" t="s">
        <v>67</v>
      </c>
      <c r="BG27" s="236" t="s">
        <v>68</v>
      </c>
      <c r="BH27" s="236" t="s">
        <v>69</v>
      </c>
      <c r="BI27" s="236" t="s">
        <v>70</v>
      </c>
      <c r="BJ27" s="236" t="s">
        <v>71</v>
      </c>
      <c r="BK27" s="236" t="s">
        <v>72</v>
      </c>
    </row>
    <row r="28" spans="1:68" ht="28" x14ac:dyDescent="0.15">
      <c r="A28" s="292" t="s">
        <v>211</v>
      </c>
      <c r="B28" t="s">
        <v>212</v>
      </c>
      <c r="D28" s="254">
        <f>'Baseline TOP-down'!D24*1000</f>
        <v>20454545.454545453</v>
      </c>
      <c r="E28" s="254">
        <f>'Baseline TOP-down'!E24*1000</f>
        <v>41043016.62745358</v>
      </c>
      <c r="F28" s="254">
        <f>'Baseline TOP-down'!F24*1000</f>
        <v>32941904.627014663</v>
      </c>
      <c r="G28" s="254">
        <f>'Baseline TOP-down'!G24*1000</f>
        <v>33049747.850693524</v>
      </c>
      <c r="H28" s="254">
        <f>'Baseline TOP-down'!H24*1000</f>
        <v>33157944.125023983</v>
      </c>
      <c r="I28" s="254">
        <f>'Baseline TOP-down'!I24*1000</f>
        <v>33266494.605801992</v>
      </c>
      <c r="J28" s="254">
        <f>'Baseline TOP-down'!J24*1000</f>
        <v>33375400.452607319</v>
      </c>
      <c r="K28" s="254">
        <f>'Baseline TOP-down'!K24*1000</f>
        <v>33484662.82881584</v>
      </c>
      <c r="L28" s="254">
        <f>'Baseline TOP-down'!L24*1000</f>
        <v>33594282.901612043</v>
      </c>
      <c r="M28" s="254">
        <f>'Baseline TOP-down'!M24*1000</f>
        <v>33704261.842001498</v>
      </c>
      <c r="N28" s="254">
        <f>'Baseline TOP-down'!N24*1000</f>
        <v>40577520.989787973</v>
      </c>
      <c r="O28" s="254">
        <f>'Baseline TOP-down'!O24*1000</f>
        <v>40710361.234515257</v>
      </c>
      <c r="P28" s="254">
        <f>'Baseline TOP-down'!P24*1000</f>
        <v>17018181.818181828</v>
      </c>
      <c r="Q28" s="254">
        <f>'Baseline TOP-down'!Q24*1000</f>
        <v>34147789.834041402</v>
      </c>
      <c r="R28" s="254">
        <f>'Baseline TOP-down'!R24*1000</f>
        <v>34259580.81209527</v>
      </c>
      <c r="S28" s="254">
        <f>'Baseline TOP-down'!S24*1000</f>
        <v>34371737.764721282</v>
      </c>
      <c r="T28" s="254">
        <f>'Baseline TOP-down'!T24*1000</f>
        <v>34484261.890024967</v>
      </c>
      <c r="U28" s="254">
        <f>'Baseline TOP-down'!U24*1000</f>
        <v>34597154.390034109</v>
      </c>
      <c r="V28" s="254">
        <f>'Baseline TOP-down'!V24*1000</f>
        <v>34710416.470711641</v>
      </c>
      <c r="W28" s="254">
        <f>'Baseline TOP-down'!W24*1000</f>
        <v>34824049.341968499</v>
      </c>
      <c r="X28" s="254">
        <f>'Baseline TOP-down'!X24*1000</f>
        <v>34938054.217676565</v>
      </c>
      <c r="Y28" s="254">
        <f>'Baseline TOP-down'!Y24*1000</f>
        <v>35052432.315681592</v>
      </c>
      <c r="Z28" s="254">
        <f>'Baseline TOP-down'!Z24*1000</f>
        <v>42200621.829379536</v>
      </c>
      <c r="AA28" s="254">
        <f>'Baseline TOP-down'!AA24*1000</f>
        <v>42338775.683895908</v>
      </c>
      <c r="AB28" s="254">
        <f>'Baseline TOP-down'!AB24*1000</f>
        <v>17698909.090909112</v>
      </c>
      <c r="AC28" s="254">
        <f>'Baseline TOP-down'!AC24*1000</f>
        <v>35513701.427403092</v>
      </c>
      <c r="AD28" s="254">
        <f>'Baseline TOP-down'!AD24*1000</f>
        <v>35629964.044579118</v>
      </c>
      <c r="AE28" s="254">
        <f>'Baseline TOP-down'!AE24*1000</f>
        <v>35746607.275310166</v>
      </c>
      <c r="AF28" s="254">
        <f>'Baseline TOP-down'!AF24*1000</f>
        <v>35863632.365626</v>
      </c>
      <c r="AG28" s="254">
        <f>'Baseline TOP-down'!AG24*1000</f>
        <v>35981040.565635502</v>
      </c>
      <c r="AH28" s="254">
        <f>'Baseline TOP-down'!AH24*1000</f>
        <v>36098833.129540138</v>
      </c>
      <c r="AI28" s="254">
        <f>'Baseline TOP-down'!AI24*1000</f>
        <v>36217011.315647282</v>
      </c>
      <c r="AJ28" s="254">
        <f>'Baseline TOP-down'!AJ24*1000</f>
        <v>36335576.386383653</v>
      </c>
      <c r="AK28" s="254">
        <f>'Baseline TOP-down'!AK24*1000</f>
        <v>36454529.608308889</v>
      </c>
      <c r="AL28" s="254">
        <f>'Baseline TOP-down'!AL24*1000</f>
        <v>43888646.702554747</v>
      </c>
      <c r="AM28" s="254">
        <f>'Baseline TOP-down'!AM24*1000</f>
        <v>44032326.711251773</v>
      </c>
      <c r="AN28" s="254">
        <f>'Baseline TOP-down'!AN24*1000</f>
        <v>18406865.45454549</v>
      </c>
      <c r="AO28" s="254">
        <f>'Baseline TOP-down'!AO24*1000</f>
        <v>36934249.484499238</v>
      </c>
      <c r="AP28" s="254">
        <f>'Baseline TOP-down'!AP24*1000</f>
        <v>37055162.606362306</v>
      </c>
      <c r="AQ28" s="254">
        <f>'Baseline TOP-down'!AQ24*1000</f>
        <v>37176471.566322595</v>
      </c>
      <c r="AR28" s="254">
        <f>'Baseline TOP-down'!AR24*1000</f>
        <v>37298177.660251059</v>
      </c>
      <c r="AS28" s="254">
        <f>'Baseline TOP-down'!AS24*1000</f>
        <v>37420282.188260943</v>
      </c>
      <c r="AT28" s="254">
        <f>'Baseline TOP-down'!AT24*1000</f>
        <v>37542786.454721764</v>
      </c>
      <c r="AU28" s="254">
        <f>'Baseline TOP-down'!AU24*1000</f>
        <v>37665691.76827319</v>
      </c>
      <c r="AV28" s="254">
        <f>'Baseline TOP-down'!AV24*1000</f>
        <v>37788999.441839024</v>
      </c>
      <c r="AW28" s="254">
        <f>'Baseline TOP-down'!AW24*1000</f>
        <v>37912710.792641267</v>
      </c>
      <c r="AX28" s="254">
        <f>'Baseline TOP-down'!AX24*1000</f>
        <v>45644192.57065697</v>
      </c>
      <c r="AY28" s="254">
        <f>'Baseline TOP-down'!AY24*1000</f>
        <v>45793619.779701874</v>
      </c>
      <c r="AZ28" s="254">
        <f>'Baseline TOP-down'!AZ24*1000</f>
        <v>19143140.07272733</v>
      </c>
      <c r="BA28" s="254">
        <f>'Baseline TOP-down'!BA24*1000</f>
        <v>38411619.463879235</v>
      </c>
      <c r="BB28" s="254">
        <f>'Baseline TOP-down'!BB24*1000</f>
        <v>38537369.110616826</v>
      </c>
      <c r="BC28" s="254">
        <f>'Baseline TOP-down'!BC24*1000</f>
        <v>38663530.428975545</v>
      </c>
      <c r="BD28" s="254">
        <f>'Baseline TOP-down'!BD24*1000</f>
        <v>38790104.766661145</v>
      </c>
      <c r="BE28" s="254">
        <f>'Baseline TOP-down'!BE24*1000</f>
        <v>38917093.475791417</v>
      </c>
      <c r="BF28" s="254">
        <f>'Baseline TOP-down'!BF24*1000</f>
        <v>39044497.91291067</v>
      </c>
      <c r="BG28" s="254">
        <f>'Baseline TOP-down'!BG24*1000</f>
        <v>39172319.439004146</v>
      </c>
      <c r="BH28" s="254">
        <f>'Baseline TOP-down'!BH24*1000</f>
        <v>39300559.419512622</v>
      </c>
      <c r="BI28" s="254">
        <f>'Baseline TOP-down'!BI24*1000</f>
        <v>39429219.224346958</v>
      </c>
      <c r="BJ28" s="254">
        <f>'Baseline TOP-down'!BJ24*1000</f>
        <v>47469960.273483291</v>
      </c>
      <c r="BK28" s="254">
        <f>'Baseline TOP-down'!BK24*1000</f>
        <v>47625364.570889995</v>
      </c>
      <c r="BL28" s="249">
        <f t="shared" ref="BL28:BL34" si="0">SUM(D28:O28)</f>
        <v>409360143.53987318</v>
      </c>
      <c r="BM28" s="249">
        <f t="shared" ref="BM28:BM34" si="1">SUM(P28:AA28)</f>
        <v>412943056.36841261</v>
      </c>
      <c r="BN28" s="249">
        <f t="shared" ref="BN28:BN34" si="2">SUM(AB28:AM28)</f>
        <v>429460778.62314957</v>
      </c>
      <c r="BO28" s="249">
        <f t="shared" ref="BO28:BO34" si="3">SUM(AN28:AY28)</f>
        <v>446639209.7680757</v>
      </c>
      <c r="BP28" s="249">
        <f t="shared" ref="BP28:BP34" si="4">SUM(AZ28:BK28)</f>
        <v>464504778.15879917</v>
      </c>
    </row>
    <row r="29" spans="1:68" x14ac:dyDescent="0.15">
      <c r="A29" s="255" t="s">
        <v>213</v>
      </c>
      <c r="B29" t="s">
        <v>212</v>
      </c>
      <c r="C29" s="256">
        <f>B19</f>
        <v>0.02</v>
      </c>
      <c r="D29" s="254">
        <f t="shared" ref="D29:AI29" si="5">D28*$B$19</f>
        <v>409090.90909090906</v>
      </c>
      <c r="E29" s="254">
        <f t="shared" si="5"/>
        <v>820860.33254907164</v>
      </c>
      <c r="F29" s="254">
        <f t="shared" si="5"/>
        <v>658838.09254029323</v>
      </c>
      <c r="G29" s="254">
        <f t="shared" si="5"/>
        <v>660994.95701387047</v>
      </c>
      <c r="H29" s="254">
        <f t="shared" si="5"/>
        <v>663158.8825004797</v>
      </c>
      <c r="I29" s="254">
        <f t="shared" si="5"/>
        <v>665329.89211603987</v>
      </c>
      <c r="J29" s="254">
        <f t="shared" si="5"/>
        <v>667508.00905214634</v>
      </c>
      <c r="K29" s="254">
        <f t="shared" si="5"/>
        <v>669693.25657631678</v>
      </c>
      <c r="L29" s="254">
        <f t="shared" si="5"/>
        <v>671885.65803224093</v>
      </c>
      <c r="M29" s="254">
        <f t="shared" si="5"/>
        <v>674085.23684002995</v>
      </c>
      <c r="N29" s="254">
        <f t="shared" si="5"/>
        <v>811550.41979575949</v>
      </c>
      <c r="O29" s="254">
        <f t="shared" si="5"/>
        <v>814207.22469030519</v>
      </c>
      <c r="P29" s="254">
        <f t="shared" si="5"/>
        <v>340363.63636363659</v>
      </c>
      <c r="Q29" s="254">
        <f t="shared" si="5"/>
        <v>682955.79668082809</v>
      </c>
      <c r="R29" s="254">
        <f t="shared" si="5"/>
        <v>685191.61624190537</v>
      </c>
      <c r="S29" s="254">
        <f t="shared" si="5"/>
        <v>687434.75529442565</v>
      </c>
      <c r="T29" s="254">
        <f t="shared" si="5"/>
        <v>689685.23780049931</v>
      </c>
      <c r="U29" s="254">
        <f t="shared" si="5"/>
        <v>691943.08780068217</v>
      </c>
      <c r="V29" s="254">
        <f t="shared" si="5"/>
        <v>694208.32941423287</v>
      </c>
      <c r="W29" s="254">
        <f t="shared" si="5"/>
        <v>696480.98683936999</v>
      </c>
      <c r="X29" s="254">
        <f t="shared" si="5"/>
        <v>698761.08435353136</v>
      </c>
      <c r="Y29" s="254">
        <f t="shared" si="5"/>
        <v>701048.64631363179</v>
      </c>
      <c r="Z29" s="254">
        <f t="shared" si="5"/>
        <v>844012.43658759072</v>
      </c>
      <c r="AA29" s="254">
        <f t="shared" si="5"/>
        <v>846775.51367791824</v>
      </c>
      <c r="AB29" s="254">
        <f t="shared" si="5"/>
        <v>353978.18181818223</v>
      </c>
      <c r="AC29" s="254">
        <f t="shared" si="5"/>
        <v>710274.02854806185</v>
      </c>
      <c r="AD29" s="254">
        <f t="shared" si="5"/>
        <v>712599.28089158237</v>
      </c>
      <c r="AE29" s="254">
        <f t="shared" si="5"/>
        <v>714932.14550620329</v>
      </c>
      <c r="AF29" s="254">
        <f t="shared" si="5"/>
        <v>717272.64731251996</v>
      </c>
      <c r="AG29" s="254">
        <f t="shared" si="5"/>
        <v>719620.81131271005</v>
      </c>
      <c r="AH29" s="254">
        <f t="shared" si="5"/>
        <v>721976.66259080276</v>
      </c>
      <c r="AI29" s="254">
        <f t="shared" si="5"/>
        <v>724340.2263129456</v>
      </c>
      <c r="AJ29" s="254">
        <f t="shared" ref="AJ29:BK29" si="6">AJ28*$B$19</f>
        <v>726711.52772767306</v>
      </c>
      <c r="AK29" s="254">
        <f t="shared" si="6"/>
        <v>729090.59216617781</v>
      </c>
      <c r="AL29" s="254">
        <f t="shared" si="6"/>
        <v>877772.93405109493</v>
      </c>
      <c r="AM29" s="254">
        <f t="shared" si="6"/>
        <v>880646.53422503546</v>
      </c>
      <c r="AN29" s="254">
        <f t="shared" si="6"/>
        <v>368137.30909090984</v>
      </c>
      <c r="AO29" s="254">
        <f t="shared" si="6"/>
        <v>738684.98968998482</v>
      </c>
      <c r="AP29" s="254">
        <f t="shared" si="6"/>
        <v>741103.25212724612</v>
      </c>
      <c r="AQ29" s="254">
        <f t="shared" si="6"/>
        <v>743529.43132645194</v>
      </c>
      <c r="AR29" s="254">
        <f t="shared" si="6"/>
        <v>745963.55320502119</v>
      </c>
      <c r="AS29" s="254">
        <f t="shared" si="6"/>
        <v>748405.64376521891</v>
      </c>
      <c r="AT29" s="254">
        <f t="shared" si="6"/>
        <v>750855.72909443534</v>
      </c>
      <c r="AU29" s="254">
        <f t="shared" si="6"/>
        <v>753313.83536546386</v>
      </c>
      <c r="AV29" s="254">
        <f t="shared" si="6"/>
        <v>755779.98883678054</v>
      </c>
      <c r="AW29" s="254">
        <f t="shared" si="6"/>
        <v>758254.21585282532</v>
      </c>
      <c r="AX29" s="254">
        <f t="shared" si="6"/>
        <v>912883.85141313937</v>
      </c>
      <c r="AY29" s="254">
        <f t="shared" si="6"/>
        <v>915872.39559403749</v>
      </c>
      <c r="AZ29" s="254">
        <f t="shared" si="6"/>
        <v>382862.80145454663</v>
      </c>
      <c r="BA29" s="254">
        <f t="shared" si="6"/>
        <v>768232.38927758473</v>
      </c>
      <c r="BB29" s="254">
        <f t="shared" si="6"/>
        <v>770747.38221233652</v>
      </c>
      <c r="BC29" s="254">
        <f t="shared" si="6"/>
        <v>773270.60857951094</v>
      </c>
      <c r="BD29" s="254">
        <f t="shared" si="6"/>
        <v>775802.09533322288</v>
      </c>
      <c r="BE29" s="254">
        <f t="shared" si="6"/>
        <v>778341.86951582832</v>
      </c>
      <c r="BF29" s="254">
        <f t="shared" si="6"/>
        <v>780889.95825821336</v>
      </c>
      <c r="BG29" s="254">
        <f t="shared" si="6"/>
        <v>783446.38878008293</v>
      </c>
      <c r="BH29" s="254">
        <f t="shared" si="6"/>
        <v>786011.18839025241</v>
      </c>
      <c r="BI29" s="254">
        <f t="shared" si="6"/>
        <v>788584.38448693918</v>
      </c>
      <c r="BJ29" s="254">
        <f t="shared" si="6"/>
        <v>949399.20546966582</v>
      </c>
      <c r="BK29" s="254">
        <f t="shared" si="6"/>
        <v>952507.29141779989</v>
      </c>
      <c r="BL29" s="247">
        <f t="shared" si="0"/>
        <v>8187202.8707974628</v>
      </c>
      <c r="BM29" s="247">
        <f t="shared" si="1"/>
        <v>8258861.1273682527</v>
      </c>
      <c r="BN29" s="247">
        <f t="shared" si="2"/>
        <v>8589215.572462989</v>
      </c>
      <c r="BO29" s="247">
        <f t="shared" si="3"/>
        <v>8932784.1953615136</v>
      </c>
      <c r="BP29" s="247">
        <f t="shared" si="4"/>
        <v>9290095.5631759837</v>
      </c>
    </row>
    <row r="30" spans="1:68" x14ac:dyDescent="0.15">
      <c r="A30" s="255" t="s">
        <v>214</v>
      </c>
      <c r="B30" t="s">
        <v>212</v>
      </c>
      <c r="C30" s="237">
        <f>B17</f>
        <v>25</v>
      </c>
      <c r="D30" s="254">
        <f t="shared" ref="D30:O30" si="7">$B$17*$B$18*(1+$B$20)^0</f>
        <v>7000000</v>
      </c>
      <c r="E30" s="254">
        <f t="shared" si="7"/>
        <v>7000000</v>
      </c>
      <c r="F30" s="254">
        <f t="shared" si="7"/>
        <v>7000000</v>
      </c>
      <c r="G30" s="254">
        <f t="shared" si="7"/>
        <v>7000000</v>
      </c>
      <c r="H30" s="254">
        <f t="shared" si="7"/>
        <v>7000000</v>
      </c>
      <c r="I30" s="254">
        <f t="shared" si="7"/>
        <v>7000000</v>
      </c>
      <c r="J30" s="254">
        <f t="shared" si="7"/>
        <v>7000000</v>
      </c>
      <c r="K30" s="254">
        <f t="shared" si="7"/>
        <v>7000000</v>
      </c>
      <c r="L30" s="254">
        <f t="shared" si="7"/>
        <v>7000000</v>
      </c>
      <c r="M30" s="254">
        <f t="shared" si="7"/>
        <v>7000000</v>
      </c>
      <c r="N30" s="254">
        <f t="shared" si="7"/>
        <v>7000000</v>
      </c>
      <c r="O30" s="254">
        <f t="shared" si="7"/>
        <v>7000000</v>
      </c>
      <c r="P30" s="254">
        <f t="shared" ref="P30:AA30" si="8">$B$17*$B$18*(1+$B$20)^1</f>
        <v>7490000</v>
      </c>
      <c r="Q30" s="254">
        <f t="shared" si="8"/>
        <v>7490000</v>
      </c>
      <c r="R30" s="254">
        <f t="shared" si="8"/>
        <v>7490000</v>
      </c>
      <c r="S30" s="254">
        <f t="shared" si="8"/>
        <v>7490000</v>
      </c>
      <c r="T30" s="254">
        <f t="shared" si="8"/>
        <v>7490000</v>
      </c>
      <c r="U30" s="254">
        <f t="shared" si="8"/>
        <v>7490000</v>
      </c>
      <c r="V30" s="254">
        <f t="shared" si="8"/>
        <v>7490000</v>
      </c>
      <c r="W30" s="254">
        <f t="shared" si="8"/>
        <v>7490000</v>
      </c>
      <c r="X30" s="254">
        <f t="shared" si="8"/>
        <v>7490000</v>
      </c>
      <c r="Y30" s="254">
        <f t="shared" si="8"/>
        <v>7490000</v>
      </c>
      <c r="Z30" s="254">
        <f t="shared" si="8"/>
        <v>7490000</v>
      </c>
      <c r="AA30" s="254">
        <f t="shared" si="8"/>
        <v>7490000</v>
      </c>
      <c r="AB30" s="254">
        <f t="shared" ref="AB30:AM30" si="9">$B$17*$B$18*(1+$B$20)^2</f>
        <v>8014300</v>
      </c>
      <c r="AC30" s="254">
        <f t="shared" si="9"/>
        <v>8014300</v>
      </c>
      <c r="AD30" s="254">
        <f t="shared" si="9"/>
        <v>8014300</v>
      </c>
      <c r="AE30" s="254">
        <f t="shared" si="9"/>
        <v>8014300</v>
      </c>
      <c r="AF30" s="254">
        <f t="shared" si="9"/>
        <v>8014300</v>
      </c>
      <c r="AG30" s="254">
        <f t="shared" si="9"/>
        <v>8014300</v>
      </c>
      <c r="AH30" s="254">
        <f t="shared" si="9"/>
        <v>8014300</v>
      </c>
      <c r="AI30" s="254">
        <f t="shared" si="9"/>
        <v>8014300</v>
      </c>
      <c r="AJ30" s="254">
        <f t="shared" si="9"/>
        <v>8014300</v>
      </c>
      <c r="AK30" s="254">
        <f t="shared" si="9"/>
        <v>8014300</v>
      </c>
      <c r="AL30" s="254">
        <f t="shared" si="9"/>
        <v>8014300</v>
      </c>
      <c r="AM30" s="254">
        <f t="shared" si="9"/>
        <v>8014300</v>
      </c>
      <c r="AN30" s="254">
        <f t="shared" ref="AN30:AY30" si="10">$B$17*$B$18*(1+$B$20)^3</f>
        <v>8575301</v>
      </c>
      <c r="AO30" s="254">
        <f t="shared" si="10"/>
        <v>8575301</v>
      </c>
      <c r="AP30" s="254">
        <f t="shared" si="10"/>
        <v>8575301</v>
      </c>
      <c r="AQ30" s="254">
        <f t="shared" si="10"/>
        <v>8575301</v>
      </c>
      <c r="AR30" s="254">
        <f t="shared" si="10"/>
        <v>8575301</v>
      </c>
      <c r="AS30" s="254">
        <f t="shared" si="10"/>
        <v>8575301</v>
      </c>
      <c r="AT30" s="254">
        <f t="shared" si="10"/>
        <v>8575301</v>
      </c>
      <c r="AU30" s="254">
        <f t="shared" si="10"/>
        <v>8575301</v>
      </c>
      <c r="AV30" s="254">
        <f t="shared" si="10"/>
        <v>8575301</v>
      </c>
      <c r="AW30" s="254">
        <f t="shared" si="10"/>
        <v>8575301</v>
      </c>
      <c r="AX30" s="254">
        <f t="shared" si="10"/>
        <v>8575301</v>
      </c>
      <c r="AY30" s="254">
        <f t="shared" si="10"/>
        <v>8575301</v>
      </c>
      <c r="AZ30" s="254">
        <f t="shared" ref="AZ30:BK30" si="11">$B$17*$B$18*(1+$B$20)^4</f>
        <v>9175572.0700000003</v>
      </c>
      <c r="BA30" s="254">
        <f t="shared" si="11"/>
        <v>9175572.0700000003</v>
      </c>
      <c r="BB30" s="254">
        <f t="shared" si="11"/>
        <v>9175572.0700000003</v>
      </c>
      <c r="BC30" s="254">
        <f t="shared" si="11"/>
        <v>9175572.0700000003</v>
      </c>
      <c r="BD30" s="254">
        <f t="shared" si="11"/>
        <v>9175572.0700000003</v>
      </c>
      <c r="BE30" s="254">
        <f t="shared" si="11"/>
        <v>9175572.0700000003</v>
      </c>
      <c r="BF30" s="254">
        <f t="shared" si="11"/>
        <v>9175572.0700000003</v>
      </c>
      <c r="BG30" s="254">
        <f t="shared" si="11"/>
        <v>9175572.0700000003</v>
      </c>
      <c r="BH30" s="254">
        <f t="shared" si="11"/>
        <v>9175572.0700000003</v>
      </c>
      <c r="BI30" s="254">
        <f t="shared" si="11"/>
        <v>9175572.0700000003</v>
      </c>
      <c r="BJ30" s="254">
        <f t="shared" si="11"/>
        <v>9175572.0700000003</v>
      </c>
      <c r="BK30" s="254">
        <f t="shared" si="11"/>
        <v>9175572.0700000003</v>
      </c>
      <c r="BL30" s="247">
        <f t="shared" si="0"/>
        <v>84000000</v>
      </c>
      <c r="BM30" s="247">
        <f t="shared" si="1"/>
        <v>89880000</v>
      </c>
      <c r="BN30" s="247">
        <f t="shared" si="2"/>
        <v>96171600</v>
      </c>
      <c r="BO30" s="247">
        <f t="shared" si="3"/>
        <v>102903612</v>
      </c>
      <c r="BP30" s="247">
        <f t="shared" si="4"/>
        <v>110106864.83999997</v>
      </c>
    </row>
    <row r="31" spans="1:68" x14ac:dyDescent="0.15">
      <c r="A31" s="255" t="s">
        <v>215</v>
      </c>
      <c r="B31" t="s">
        <v>212</v>
      </c>
      <c r="C31" s="256">
        <f>B10</f>
        <v>0.05</v>
      </c>
      <c r="D31" s="254">
        <f t="shared" ref="D31:AI31" si="12">D28*$B$10</f>
        <v>1022727.2727272727</v>
      </c>
      <c r="E31" s="254">
        <f t="shared" si="12"/>
        <v>2052150.8313726792</v>
      </c>
      <c r="F31" s="254">
        <f t="shared" si="12"/>
        <v>1647095.2313507332</v>
      </c>
      <c r="G31" s="254">
        <f t="shared" si="12"/>
        <v>1652487.3925346762</v>
      </c>
      <c r="H31" s="254">
        <f t="shared" si="12"/>
        <v>1657897.2062511994</v>
      </c>
      <c r="I31" s="254">
        <f t="shared" si="12"/>
        <v>1663324.7302900997</v>
      </c>
      <c r="J31" s="254">
        <f t="shared" si="12"/>
        <v>1668770.022630366</v>
      </c>
      <c r="K31" s="254">
        <f t="shared" si="12"/>
        <v>1674233.141440792</v>
      </c>
      <c r="L31" s="254">
        <f t="shared" si="12"/>
        <v>1679714.1450806023</v>
      </c>
      <c r="M31" s="254">
        <f t="shared" si="12"/>
        <v>1685213.092100075</v>
      </c>
      <c r="N31" s="254">
        <f t="shared" si="12"/>
        <v>2028876.0494893987</v>
      </c>
      <c r="O31" s="254">
        <f t="shared" si="12"/>
        <v>2035518.0617257629</v>
      </c>
      <c r="P31" s="254">
        <f t="shared" si="12"/>
        <v>850909.09090909141</v>
      </c>
      <c r="Q31" s="254">
        <f t="shared" si="12"/>
        <v>1707389.4917020702</v>
      </c>
      <c r="R31" s="254">
        <f t="shared" si="12"/>
        <v>1712979.0406047637</v>
      </c>
      <c r="S31" s="254">
        <f t="shared" si="12"/>
        <v>1718586.8882360642</v>
      </c>
      <c r="T31" s="254">
        <f t="shared" si="12"/>
        <v>1724213.0945012486</v>
      </c>
      <c r="U31" s="254">
        <f t="shared" si="12"/>
        <v>1729857.7195017056</v>
      </c>
      <c r="V31" s="254">
        <f t="shared" si="12"/>
        <v>1735520.8235355821</v>
      </c>
      <c r="W31" s="254">
        <f t="shared" si="12"/>
        <v>1741202.4670984251</v>
      </c>
      <c r="X31" s="254">
        <f t="shared" si="12"/>
        <v>1746902.7108838283</v>
      </c>
      <c r="Y31" s="254">
        <f t="shared" si="12"/>
        <v>1752621.6157840798</v>
      </c>
      <c r="Z31" s="254">
        <f t="shared" si="12"/>
        <v>2110031.0914689768</v>
      </c>
      <c r="AA31" s="254">
        <f t="shared" si="12"/>
        <v>2116938.7841947954</v>
      </c>
      <c r="AB31" s="254">
        <f t="shared" si="12"/>
        <v>884945.45454545564</v>
      </c>
      <c r="AC31" s="254">
        <f t="shared" si="12"/>
        <v>1775685.0713701546</v>
      </c>
      <c r="AD31" s="254">
        <f t="shared" si="12"/>
        <v>1781498.2022289559</v>
      </c>
      <c r="AE31" s="254">
        <f t="shared" si="12"/>
        <v>1787330.3637655084</v>
      </c>
      <c r="AF31" s="254">
        <f t="shared" si="12"/>
        <v>1793181.6182813002</v>
      </c>
      <c r="AG31" s="254">
        <f t="shared" si="12"/>
        <v>1799052.0282817753</v>
      </c>
      <c r="AH31" s="254">
        <f t="shared" si="12"/>
        <v>1804941.6564770071</v>
      </c>
      <c r="AI31" s="254">
        <f t="shared" si="12"/>
        <v>1810850.5657823642</v>
      </c>
      <c r="AJ31" s="254">
        <f t="shared" ref="AJ31:BK31" si="13">AJ28*$B$10</f>
        <v>1816778.8193191828</v>
      </c>
      <c r="AK31" s="254">
        <f t="shared" si="13"/>
        <v>1822726.4804154446</v>
      </c>
      <c r="AL31" s="254">
        <f t="shared" si="13"/>
        <v>2194432.3351277374</v>
      </c>
      <c r="AM31" s="254">
        <f t="shared" si="13"/>
        <v>2201616.3355625886</v>
      </c>
      <c r="AN31" s="254">
        <f t="shared" si="13"/>
        <v>920343.27272727457</v>
      </c>
      <c r="AO31" s="254">
        <f t="shared" si="13"/>
        <v>1846712.4742249621</v>
      </c>
      <c r="AP31" s="254">
        <f t="shared" si="13"/>
        <v>1852758.1303181155</v>
      </c>
      <c r="AQ31" s="254">
        <f t="shared" si="13"/>
        <v>1858823.5783161297</v>
      </c>
      <c r="AR31" s="254">
        <f t="shared" si="13"/>
        <v>1864908.883012553</v>
      </c>
      <c r="AS31" s="254">
        <f t="shared" si="13"/>
        <v>1871014.1094130473</v>
      </c>
      <c r="AT31" s="254">
        <f t="shared" si="13"/>
        <v>1877139.3227360882</v>
      </c>
      <c r="AU31" s="254">
        <f t="shared" si="13"/>
        <v>1883284.5884136595</v>
      </c>
      <c r="AV31" s="254">
        <f t="shared" si="13"/>
        <v>1889449.9720919514</v>
      </c>
      <c r="AW31" s="254">
        <f t="shared" si="13"/>
        <v>1895635.5396320634</v>
      </c>
      <c r="AX31" s="254">
        <f t="shared" si="13"/>
        <v>2282209.6285328488</v>
      </c>
      <c r="AY31" s="254">
        <f t="shared" si="13"/>
        <v>2289680.9889850938</v>
      </c>
      <c r="AZ31" s="254">
        <f t="shared" si="13"/>
        <v>957157.00363636657</v>
      </c>
      <c r="BA31" s="254">
        <f t="shared" si="13"/>
        <v>1920580.9731939619</v>
      </c>
      <c r="BB31" s="254">
        <f t="shared" si="13"/>
        <v>1926868.4555308414</v>
      </c>
      <c r="BC31" s="254">
        <f t="shared" si="13"/>
        <v>1933176.5214487773</v>
      </c>
      <c r="BD31" s="254">
        <f t="shared" si="13"/>
        <v>1939505.2383330574</v>
      </c>
      <c r="BE31" s="254">
        <f t="shared" si="13"/>
        <v>1945854.673789571</v>
      </c>
      <c r="BF31" s="254">
        <f t="shared" si="13"/>
        <v>1952224.8956455337</v>
      </c>
      <c r="BG31" s="254">
        <f t="shared" si="13"/>
        <v>1958615.9719502074</v>
      </c>
      <c r="BH31" s="254">
        <f t="shared" si="13"/>
        <v>1965027.9709756311</v>
      </c>
      <c r="BI31" s="254">
        <f t="shared" si="13"/>
        <v>1971460.961217348</v>
      </c>
      <c r="BJ31" s="254">
        <f t="shared" si="13"/>
        <v>2373498.0136741647</v>
      </c>
      <c r="BK31" s="254">
        <f t="shared" si="13"/>
        <v>2381268.2285444997</v>
      </c>
      <c r="BL31" s="247">
        <f t="shared" si="0"/>
        <v>20468007.176993653</v>
      </c>
      <c r="BM31" s="247">
        <f t="shared" si="1"/>
        <v>20647152.818420634</v>
      </c>
      <c r="BN31" s="247">
        <f t="shared" si="2"/>
        <v>21473038.93115747</v>
      </c>
      <c r="BO31" s="247">
        <f t="shared" si="3"/>
        <v>22331960.48840379</v>
      </c>
      <c r="BP31" s="247">
        <f t="shared" si="4"/>
        <v>23225238.907939963</v>
      </c>
    </row>
    <row r="32" spans="1:68" x14ac:dyDescent="0.15">
      <c r="A32" s="255" t="s">
        <v>216</v>
      </c>
      <c r="B32" t="s">
        <v>212</v>
      </c>
      <c r="C32" s="237">
        <f>B13</f>
        <v>3000000</v>
      </c>
      <c r="D32" s="254">
        <f t="shared" ref="D32:AI32" si="14">$B$13/12</f>
        <v>250000</v>
      </c>
      <c r="E32" s="254">
        <f t="shared" si="14"/>
        <v>250000</v>
      </c>
      <c r="F32" s="254">
        <f t="shared" si="14"/>
        <v>250000</v>
      </c>
      <c r="G32" s="254">
        <f t="shared" si="14"/>
        <v>250000</v>
      </c>
      <c r="H32" s="254">
        <f t="shared" si="14"/>
        <v>250000</v>
      </c>
      <c r="I32" s="254">
        <f t="shared" si="14"/>
        <v>250000</v>
      </c>
      <c r="J32" s="254">
        <f t="shared" si="14"/>
        <v>250000</v>
      </c>
      <c r="K32" s="254">
        <f t="shared" si="14"/>
        <v>250000</v>
      </c>
      <c r="L32" s="254">
        <f t="shared" si="14"/>
        <v>250000</v>
      </c>
      <c r="M32" s="254">
        <f t="shared" si="14"/>
        <v>250000</v>
      </c>
      <c r="N32" s="254">
        <f t="shared" si="14"/>
        <v>250000</v>
      </c>
      <c r="O32" s="254">
        <f t="shared" si="14"/>
        <v>250000</v>
      </c>
      <c r="P32" s="254">
        <f t="shared" si="14"/>
        <v>250000</v>
      </c>
      <c r="Q32" s="254">
        <f t="shared" si="14"/>
        <v>250000</v>
      </c>
      <c r="R32" s="254">
        <f t="shared" si="14"/>
        <v>250000</v>
      </c>
      <c r="S32" s="254">
        <f t="shared" si="14"/>
        <v>250000</v>
      </c>
      <c r="T32" s="254">
        <f t="shared" si="14"/>
        <v>250000</v>
      </c>
      <c r="U32" s="254">
        <f t="shared" si="14"/>
        <v>250000</v>
      </c>
      <c r="V32" s="254">
        <f t="shared" si="14"/>
        <v>250000</v>
      </c>
      <c r="W32" s="254">
        <f t="shared" si="14"/>
        <v>250000</v>
      </c>
      <c r="X32" s="254">
        <f t="shared" si="14"/>
        <v>250000</v>
      </c>
      <c r="Y32" s="254">
        <f t="shared" si="14"/>
        <v>250000</v>
      </c>
      <c r="Z32" s="254">
        <f t="shared" si="14"/>
        <v>250000</v>
      </c>
      <c r="AA32" s="254">
        <f t="shared" si="14"/>
        <v>250000</v>
      </c>
      <c r="AB32" s="254">
        <f t="shared" si="14"/>
        <v>250000</v>
      </c>
      <c r="AC32" s="254">
        <f t="shared" si="14"/>
        <v>250000</v>
      </c>
      <c r="AD32" s="254">
        <f t="shared" si="14"/>
        <v>250000</v>
      </c>
      <c r="AE32" s="254">
        <f t="shared" si="14"/>
        <v>250000</v>
      </c>
      <c r="AF32" s="254">
        <f t="shared" si="14"/>
        <v>250000</v>
      </c>
      <c r="AG32" s="254">
        <f t="shared" si="14"/>
        <v>250000</v>
      </c>
      <c r="AH32" s="254">
        <f t="shared" si="14"/>
        <v>250000</v>
      </c>
      <c r="AI32" s="254">
        <f t="shared" si="14"/>
        <v>250000</v>
      </c>
      <c r="AJ32" s="254">
        <f t="shared" ref="AJ32:BK32" si="15">$B$13/12</f>
        <v>250000</v>
      </c>
      <c r="AK32" s="254">
        <f t="shared" si="15"/>
        <v>250000</v>
      </c>
      <c r="AL32" s="254">
        <f t="shared" si="15"/>
        <v>250000</v>
      </c>
      <c r="AM32" s="254">
        <f t="shared" si="15"/>
        <v>250000</v>
      </c>
      <c r="AN32" s="254">
        <f t="shared" si="15"/>
        <v>250000</v>
      </c>
      <c r="AO32" s="254">
        <f t="shared" si="15"/>
        <v>250000</v>
      </c>
      <c r="AP32" s="254">
        <f t="shared" si="15"/>
        <v>250000</v>
      </c>
      <c r="AQ32" s="254">
        <f t="shared" si="15"/>
        <v>250000</v>
      </c>
      <c r="AR32" s="254">
        <f t="shared" si="15"/>
        <v>250000</v>
      </c>
      <c r="AS32" s="254">
        <f t="shared" si="15"/>
        <v>250000</v>
      </c>
      <c r="AT32" s="254">
        <f t="shared" si="15"/>
        <v>250000</v>
      </c>
      <c r="AU32" s="254">
        <f t="shared" si="15"/>
        <v>250000</v>
      </c>
      <c r="AV32" s="254">
        <f t="shared" si="15"/>
        <v>250000</v>
      </c>
      <c r="AW32" s="254">
        <f t="shared" si="15"/>
        <v>250000</v>
      </c>
      <c r="AX32" s="254">
        <f t="shared" si="15"/>
        <v>250000</v>
      </c>
      <c r="AY32" s="254">
        <f t="shared" si="15"/>
        <v>250000</v>
      </c>
      <c r="AZ32" s="254">
        <f t="shared" si="15"/>
        <v>250000</v>
      </c>
      <c r="BA32" s="254">
        <f t="shared" si="15"/>
        <v>250000</v>
      </c>
      <c r="BB32" s="254">
        <f t="shared" si="15"/>
        <v>250000</v>
      </c>
      <c r="BC32" s="254">
        <f t="shared" si="15"/>
        <v>250000</v>
      </c>
      <c r="BD32" s="254">
        <f t="shared" si="15"/>
        <v>250000</v>
      </c>
      <c r="BE32" s="254">
        <f t="shared" si="15"/>
        <v>250000</v>
      </c>
      <c r="BF32" s="254">
        <f t="shared" si="15"/>
        <v>250000</v>
      </c>
      <c r="BG32" s="254">
        <f t="shared" si="15"/>
        <v>250000</v>
      </c>
      <c r="BH32" s="254">
        <f t="shared" si="15"/>
        <v>250000</v>
      </c>
      <c r="BI32" s="254">
        <f t="shared" si="15"/>
        <v>250000</v>
      </c>
      <c r="BJ32" s="254">
        <f t="shared" si="15"/>
        <v>250000</v>
      </c>
      <c r="BK32" s="254">
        <f t="shared" si="15"/>
        <v>250000</v>
      </c>
      <c r="BL32" s="247">
        <f t="shared" si="0"/>
        <v>3000000</v>
      </c>
      <c r="BM32" s="247">
        <f t="shared" si="1"/>
        <v>3000000</v>
      </c>
      <c r="BN32" s="247">
        <f t="shared" si="2"/>
        <v>3000000</v>
      </c>
      <c r="BO32" s="247">
        <f t="shared" si="3"/>
        <v>3000000</v>
      </c>
      <c r="BP32" s="247">
        <f t="shared" si="4"/>
        <v>3000000</v>
      </c>
    </row>
    <row r="33" spans="1:68" x14ac:dyDescent="0.15">
      <c r="A33" s="255" t="s">
        <v>217</v>
      </c>
      <c r="B33" t="s">
        <v>212</v>
      </c>
      <c r="C33" s="256">
        <f>B16</f>
        <v>0.05</v>
      </c>
      <c r="D33" s="254">
        <f t="shared" ref="D33:AI33" si="16">D30*$B$16</f>
        <v>350000</v>
      </c>
      <c r="E33" s="254">
        <f t="shared" si="16"/>
        <v>350000</v>
      </c>
      <c r="F33" s="254">
        <f t="shared" si="16"/>
        <v>350000</v>
      </c>
      <c r="G33" s="254">
        <f t="shared" si="16"/>
        <v>350000</v>
      </c>
      <c r="H33" s="254">
        <f t="shared" si="16"/>
        <v>350000</v>
      </c>
      <c r="I33" s="254">
        <f t="shared" si="16"/>
        <v>350000</v>
      </c>
      <c r="J33" s="254">
        <f t="shared" si="16"/>
        <v>350000</v>
      </c>
      <c r="K33" s="254">
        <f t="shared" si="16"/>
        <v>350000</v>
      </c>
      <c r="L33" s="254">
        <f t="shared" si="16"/>
        <v>350000</v>
      </c>
      <c r="M33" s="254">
        <f t="shared" si="16"/>
        <v>350000</v>
      </c>
      <c r="N33" s="254">
        <f t="shared" si="16"/>
        <v>350000</v>
      </c>
      <c r="O33" s="254">
        <f t="shared" si="16"/>
        <v>350000</v>
      </c>
      <c r="P33" s="254">
        <f t="shared" si="16"/>
        <v>374500</v>
      </c>
      <c r="Q33" s="254">
        <f t="shared" si="16"/>
        <v>374500</v>
      </c>
      <c r="R33" s="254">
        <f t="shared" si="16"/>
        <v>374500</v>
      </c>
      <c r="S33" s="254">
        <f t="shared" si="16"/>
        <v>374500</v>
      </c>
      <c r="T33" s="254">
        <f t="shared" si="16"/>
        <v>374500</v>
      </c>
      <c r="U33" s="254">
        <f t="shared" si="16"/>
        <v>374500</v>
      </c>
      <c r="V33" s="254">
        <f t="shared" si="16"/>
        <v>374500</v>
      </c>
      <c r="W33" s="254">
        <f t="shared" si="16"/>
        <v>374500</v>
      </c>
      <c r="X33" s="254">
        <f t="shared" si="16"/>
        <v>374500</v>
      </c>
      <c r="Y33" s="254">
        <f t="shared" si="16"/>
        <v>374500</v>
      </c>
      <c r="Z33" s="254">
        <f t="shared" si="16"/>
        <v>374500</v>
      </c>
      <c r="AA33" s="254">
        <f t="shared" si="16"/>
        <v>374500</v>
      </c>
      <c r="AB33" s="254">
        <f t="shared" si="16"/>
        <v>400715</v>
      </c>
      <c r="AC33" s="254">
        <f t="shared" si="16"/>
        <v>400715</v>
      </c>
      <c r="AD33" s="254">
        <f t="shared" si="16"/>
        <v>400715</v>
      </c>
      <c r="AE33" s="254">
        <f t="shared" si="16"/>
        <v>400715</v>
      </c>
      <c r="AF33" s="254">
        <f t="shared" si="16"/>
        <v>400715</v>
      </c>
      <c r="AG33" s="254">
        <f t="shared" si="16"/>
        <v>400715</v>
      </c>
      <c r="AH33" s="254">
        <f t="shared" si="16"/>
        <v>400715</v>
      </c>
      <c r="AI33" s="254">
        <f t="shared" si="16"/>
        <v>400715</v>
      </c>
      <c r="AJ33" s="254">
        <f t="shared" ref="AJ33:BK33" si="17">AJ30*$B$16</f>
        <v>400715</v>
      </c>
      <c r="AK33" s="254">
        <f t="shared" si="17"/>
        <v>400715</v>
      </c>
      <c r="AL33" s="254">
        <f t="shared" si="17"/>
        <v>400715</v>
      </c>
      <c r="AM33" s="254">
        <f t="shared" si="17"/>
        <v>400715</v>
      </c>
      <c r="AN33" s="254">
        <f t="shared" si="17"/>
        <v>428765.05000000005</v>
      </c>
      <c r="AO33" s="254">
        <f t="shared" si="17"/>
        <v>428765.05000000005</v>
      </c>
      <c r="AP33" s="254">
        <f t="shared" si="17"/>
        <v>428765.05000000005</v>
      </c>
      <c r="AQ33" s="254">
        <f t="shared" si="17"/>
        <v>428765.05000000005</v>
      </c>
      <c r="AR33" s="254">
        <f t="shared" si="17"/>
        <v>428765.05000000005</v>
      </c>
      <c r="AS33" s="254">
        <f t="shared" si="17"/>
        <v>428765.05000000005</v>
      </c>
      <c r="AT33" s="254">
        <f t="shared" si="17"/>
        <v>428765.05000000005</v>
      </c>
      <c r="AU33" s="254">
        <f t="shared" si="17"/>
        <v>428765.05000000005</v>
      </c>
      <c r="AV33" s="254">
        <f t="shared" si="17"/>
        <v>428765.05000000005</v>
      </c>
      <c r="AW33" s="254">
        <f t="shared" si="17"/>
        <v>428765.05000000005</v>
      </c>
      <c r="AX33" s="254">
        <f t="shared" si="17"/>
        <v>428765.05000000005</v>
      </c>
      <c r="AY33" s="254">
        <f t="shared" si="17"/>
        <v>428765.05000000005</v>
      </c>
      <c r="AZ33" s="254">
        <f t="shared" si="17"/>
        <v>458778.60350000003</v>
      </c>
      <c r="BA33" s="254">
        <f t="shared" si="17"/>
        <v>458778.60350000003</v>
      </c>
      <c r="BB33" s="254">
        <f t="shared" si="17"/>
        <v>458778.60350000003</v>
      </c>
      <c r="BC33" s="254">
        <f t="shared" si="17"/>
        <v>458778.60350000003</v>
      </c>
      <c r="BD33" s="254">
        <f t="shared" si="17"/>
        <v>458778.60350000003</v>
      </c>
      <c r="BE33" s="254">
        <f t="shared" si="17"/>
        <v>458778.60350000003</v>
      </c>
      <c r="BF33" s="254">
        <f t="shared" si="17"/>
        <v>458778.60350000003</v>
      </c>
      <c r="BG33" s="254">
        <f t="shared" si="17"/>
        <v>458778.60350000003</v>
      </c>
      <c r="BH33" s="254">
        <f t="shared" si="17"/>
        <v>458778.60350000003</v>
      </c>
      <c r="BI33" s="254">
        <f t="shared" si="17"/>
        <v>458778.60350000003</v>
      </c>
      <c r="BJ33" s="254">
        <f t="shared" si="17"/>
        <v>458778.60350000003</v>
      </c>
      <c r="BK33" s="254">
        <f t="shared" si="17"/>
        <v>458778.60350000003</v>
      </c>
      <c r="BL33" s="247">
        <f t="shared" si="0"/>
        <v>4200000</v>
      </c>
      <c r="BM33" s="247">
        <f t="shared" si="1"/>
        <v>4494000</v>
      </c>
      <c r="BN33" s="247">
        <f t="shared" si="2"/>
        <v>4808580</v>
      </c>
      <c r="BO33" s="247">
        <f t="shared" si="3"/>
        <v>5145180.5999999987</v>
      </c>
      <c r="BP33" s="247">
        <f t="shared" si="4"/>
        <v>5505343.2420000015</v>
      </c>
    </row>
    <row r="34" spans="1:68" x14ac:dyDescent="0.15">
      <c r="A34" s="241" t="s">
        <v>218</v>
      </c>
      <c r="D34" s="249">
        <f t="shared" ref="D34:AI34" si="18">SUM(D29:D33)</f>
        <v>9031818.1818181816</v>
      </c>
      <c r="E34" s="249">
        <f t="shared" si="18"/>
        <v>10473011.163921751</v>
      </c>
      <c r="F34" s="249">
        <f t="shared" si="18"/>
        <v>9905933.3238910269</v>
      </c>
      <c r="G34" s="249">
        <f t="shared" si="18"/>
        <v>9913482.3495485466</v>
      </c>
      <c r="H34" s="249">
        <f t="shared" si="18"/>
        <v>9921056.0887516793</v>
      </c>
      <c r="I34" s="249">
        <f t="shared" si="18"/>
        <v>9928654.62240614</v>
      </c>
      <c r="J34" s="249">
        <f t="shared" si="18"/>
        <v>9936278.0316825118</v>
      </c>
      <c r="K34" s="249">
        <f t="shared" si="18"/>
        <v>9943926.3980171084</v>
      </c>
      <c r="L34" s="249">
        <f t="shared" si="18"/>
        <v>9951599.803112844</v>
      </c>
      <c r="M34" s="249">
        <f t="shared" si="18"/>
        <v>9959298.3289401047</v>
      </c>
      <c r="N34" s="249">
        <f t="shared" si="18"/>
        <v>10440426.469285158</v>
      </c>
      <c r="O34" s="249">
        <f t="shared" si="18"/>
        <v>10449725.286416069</v>
      </c>
      <c r="P34" s="249">
        <f t="shared" si="18"/>
        <v>9305772.7272727285</v>
      </c>
      <c r="Q34" s="249">
        <f t="shared" si="18"/>
        <v>10504845.288382899</v>
      </c>
      <c r="R34" s="249">
        <f t="shared" si="18"/>
        <v>10512670.656846669</v>
      </c>
      <c r="S34" s="249">
        <f t="shared" si="18"/>
        <v>10520521.64353049</v>
      </c>
      <c r="T34" s="249">
        <f t="shared" si="18"/>
        <v>10528398.332301747</v>
      </c>
      <c r="U34" s="249">
        <f t="shared" si="18"/>
        <v>10536300.807302387</v>
      </c>
      <c r="V34" s="249">
        <f t="shared" si="18"/>
        <v>10544229.152949814</v>
      </c>
      <c r="W34" s="249">
        <f t="shared" si="18"/>
        <v>10552183.453937795</v>
      </c>
      <c r="X34" s="249">
        <f t="shared" si="18"/>
        <v>10560163.795237361</v>
      </c>
      <c r="Y34" s="249">
        <f t="shared" si="18"/>
        <v>10568170.262097713</v>
      </c>
      <c r="Z34" s="249">
        <f t="shared" si="18"/>
        <v>11068543.528056568</v>
      </c>
      <c r="AA34" s="249">
        <f t="shared" si="18"/>
        <v>11078214.297872715</v>
      </c>
      <c r="AB34" s="249">
        <f t="shared" si="18"/>
        <v>9903938.6363636386</v>
      </c>
      <c r="AC34" s="249">
        <f t="shared" si="18"/>
        <v>11150974.099918216</v>
      </c>
      <c r="AD34" s="249">
        <f t="shared" si="18"/>
        <v>11159112.483120538</v>
      </c>
      <c r="AE34" s="249">
        <f t="shared" si="18"/>
        <v>11167277.509271711</v>
      </c>
      <c r="AF34" s="249">
        <f t="shared" si="18"/>
        <v>11175469.265593819</v>
      </c>
      <c r="AG34" s="249">
        <f t="shared" si="18"/>
        <v>11183687.839594487</v>
      </c>
      <c r="AH34" s="249">
        <f t="shared" si="18"/>
        <v>11191933.31906781</v>
      </c>
      <c r="AI34" s="249">
        <f t="shared" si="18"/>
        <v>11200205.792095311</v>
      </c>
      <c r="AJ34" s="249">
        <f t="shared" ref="AJ34:BK34" si="19">SUM(AJ29:AJ33)</f>
        <v>11208505.347046856</v>
      </c>
      <c r="AK34" s="249">
        <f t="shared" si="19"/>
        <v>11216832.072581623</v>
      </c>
      <c r="AL34" s="249">
        <f t="shared" si="19"/>
        <v>11737220.269178832</v>
      </c>
      <c r="AM34" s="249">
        <f t="shared" si="19"/>
        <v>11747277.869787624</v>
      </c>
      <c r="AN34" s="249">
        <f t="shared" si="19"/>
        <v>10542546.631818186</v>
      </c>
      <c r="AO34" s="249">
        <f t="shared" si="19"/>
        <v>11839463.513914948</v>
      </c>
      <c r="AP34" s="249">
        <f t="shared" si="19"/>
        <v>11847927.432445362</v>
      </c>
      <c r="AQ34" s="249">
        <f t="shared" si="19"/>
        <v>11856419.059642583</v>
      </c>
      <c r="AR34" s="249">
        <f t="shared" si="19"/>
        <v>11864938.486217575</v>
      </c>
      <c r="AS34" s="249">
        <f t="shared" si="19"/>
        <v>11873485.803178266</v>
      </c>
      <c r="AT34" s="249">
        <f t="shared" si="19"/>
        <v>11882061.101830523</v>
      </c>
      <c r="AU34" s="249">
        <f t="shared" si="19"/>
        <v>11890664.473779123</v>
      </c>
      <c r="AV34" s="249">
        <f t="shared" si="19"/>
        <v>11899296.010928731</v>
      </c>
      <c r="AW34" s="249">
        <f t="shared" si="19"/>
        <v>11907955.805484889</v>
      </c>
      <c r="AX34" s="249">
        <f t="shared" si="19"/>
        <v>12449159.52994599</v>
      </c>
      <c r="AY34" s="249">
        <f t="shared" si="19"/>
        <v>12459619.434579132</v>
      </c>
      <c r="AZ34" s="249">
        <f t="shared" si="19"/>
        <v>11224370.478590911</v>
      </c>
      <c r="BA34" s="249">
        <f t="shared" si="19"/>
        <v>12573164.035971547</v>
      </c>
      <c r="BB34" s="249">
        <f t="shared" si="19"/>
        <v>12581966.511243178</v>
      </c>
      <c r="BC34" s="249">
        <f t="shared" si="19"/>
        <v>12590797.803528288</v>
      </c>
      <c r="BD34" s="249">
        <f t="shared" si="19"/>
        <v>12599658.007166279</v>
      </c>
      <c r="BE34" s="249">
        <f t="shared" si="19"/>
        <v>12608547.2168054</v>
      </c>
      <c r="BF34" s="249">
        <f t="shared" si="19"/>
        <v>12617465.527403748</v>
      </c>
      <c r="BG34" s="249">
        <f t="shared" si="19"/>
        <v>12626413.03423029</v>
      </c>
      <c r="BH34" s="249">
        <f t="shared" si="19"/>
        <v>12635389.832865885</v>
      </c>
      <c r="BI34" s="249">
        <f t="shared" si="19"/>
        <v>12644396.019204287</v>
      </c>
      <c r="BJ34" s="249">
        <f t="shared" si="19"/>
        <v>13207247.89264383</v>
      </c>
      <c r="BK34" s="249">
        <f t="shared" si="19"/>
        <v>13218126.193462299</v>
      </c>
      <c r="BL34" s="249">
        <f t="shared" si="0"/>
        <v>119855210.04779114</v>
      </c>
      <c r="BM34" s="249">
        <f t="shared" si="1"/>
        <v>126280013.94578889</v>
      </c>
      <c r="BN34" s="249">
        <f t="shared" si="2"/>
        <v>134042434.50362046</v>
      </c>
      <c r="BO34" s="249">
        <f t="shared" si="3"/>
        <v>142313537.28376532</v>
      </c>
      <c r="BP34" s="249">
        <f t="shared" si="4"/>
        <v>151127542.55311596</v>
      </c>
    </row>
    <row r="36" spans="1:68" ht="16" customHeight="1" x14ac:dyDescent="0.2">
      <c r="A36" s="319" t="s">
        <v>219</v>
      </c>
      <c r="B36" s="315"/>
      <c r="C36" s="315"/>
      <c r="D36" s="315"/>
      <c r="E36" s="315"/>
      <c r="F36" s="315"/>
      <c r="G36" s="315"/>
      <c r="H36" s="315"/>
      <c r="I36" s="315"/>
      <c r="J36" s="315"/>
      <c r="K36" s="315"/>
      <c r="L36" s="315"/>
      <c r="M36" s="315"/>
      <c r="N36" s="315"/>
    </row>
    <row r="37" spans="1:68" ht="28" x14ac:dyDescent="0.15">
      <c r="A37" s="292" t="s">
        <v>220</v>
      </c>
      <c r="B37" t="s">
        <v>161</v>
      </c>
      <c r="C37" t="s">
        <v>159</v>
      </c>
      <c r="D37" s="235">
        <v>2026</v>
      </c>
      <c r="E37" s="235">
        <v>2026</v>
      </c>
      <c r="F37" s="235">
        <v>2026</v>
      </c>
      <c r="G37" s="235">
        <v>2026</v>
      </c>
      <c r="H37" s="235">
        <v>2026</v>
      </c>
      <c r="I37" s="235">
        <v>2026</v>
      </c>
      <c r="J37" s="235">
        <v>2026</v>
      </c>
      <c r="K37" s="235">
        <v>2026</v>
      </c>
      <c r="L37" s="235">
        <v>2026</v>
      </c>
      <c r="M37" s="235">
        <v>2026</v>
      </c>
      <c r="N37" s="235">
        <v>2026</v>
      </c>
      <c r="O37" s="235">
        <v>2026</v>
      </c>
      <c r="P37" s="235">
        <v>2027</v>
      </c>
      <c r="Q37" s="235">
        <v>2027</v>
      </c>
      <c r="R37" s="235">
        <v>2027</v>
      </c>
      <c r="S37" s="235">
        <v>2027</v>
      </c>
      <c r="T37" s="235">
        <v>2027</v>
      </c>
      <c r="U37" s="235">
        <v>2027</v>
      </c>
      <c r="V37" s="235">
        <v>2027</v>
      </c>
      <c r="W37" s="235">
        <v>2027</v>
      </c>
      <c r="X37" s="235">
        <v>2027</v>
      </c>
      <c r="Y37" s="235">
        <v>2027</v>
      </c>
      <c r="Z37" s="235">
        <v>2027</v>
      </c>
      <c r="AA37" s="235">
        <v>2027</v>
      </c>
      <c r="AB37" s="235">
        <v>2028</v>
      </c>
      <c r="AC37" s="235">
        <v>2028</v>
      </c>
      <c r="AD37" s="235">
        <v>2028</v>
      </c>
      <c r="AE37" s="235">
        <v>2028</v>
      </c>
      <c r="AF37" s="235">
        <v>2028</v>
      </c>
      <c r="AG37" s="235">
        <v>2028</v>
      </c>
      <c r="AH37" s="235">
        <v>2028</v>
      </c>
      <c r="AI37" s="235">
        <v>2028</v>
      </c>
      <c r="AJ37" s="235">
        <v>2028</v>
      </c>
      <c r="AK37" s="235">
        <v>2028</v>
      </c>
      <c r="AL37" s="235">
        <v>2028</v>
      </c>
      <c r="AM37" s="235">
        <v>2028</v>
      </c>
      <c r="AN37" s="235">
        <v>2029</v>
      </c>
      <c r="AO37" s="235">
        <v>2029</v>
      </c>
      <c r="AP37" s="235">
        <v>2029</v>
      </c>
      <c r="AQ37" s="235">
        <v>2029</v>
      </c>
      <c r="AR37" s="235">
        <v>2029</v>
      </c>
      <c r="AS37" s="235">
        <v>2029</v>
      </c>
      <c r="AT37" s="235">
        <v>2029</v>
      </c>
      <c r="AU37" s="235">
        <v>2029</v>
      </c>
      <c r="AV37" s="235">
        <v>2029</v>
      </c>
      <c r="AW37" s="235">
        <v>2029</v>
      </c>
      <c r="AX37" s="235">
        <v>2029</v>
      </c>
      <c r="AY37" s="235">
        <v>2029</v>
      </c>
      <c r="AZ37" s="235">
        <v>2030</v>
      </c>
      <c r="BA37" s="235">
        <v>2030</v>
      </c>
      <c r="BB37" s="235">
        <v>2030</v>
      </c>
      <c r="BC37" s="235">
        <v>2030</v>
      </c>
      <c r="BD37" s="235">
        <v>2030</v>
      </c>
      <c r="BE37" s="235">
        <v>2030</v>
      </c>
      <c r="BF37" s="235">
        <v>2030</v>
      </c>
      <c r="BG37" s="235">
        <v>2030</v>
      </c>
      <c r="BH37" s="235">
        <v>2030</v>
      </c>
      <c r="BI37" s="235">
        <v>2030</v>
      </c>
      <c r="BJ37" s="235">
        <v>2030</v>
      </c>
      <c r="BK37" s="235">
        <v>2030</v>
      </c>
      <c r="BL37" s="235" t="s">
        <v>56</v>
      </c>
      <c r="BM37" s="235" t="s">
        <v>57</v>
      </c>
      <c r="BN37" s="235" t="s">
        <v>58</v>
      </c>
      <c r="BO37" s="235" t="s">
        <v>59</v>
      </c>
      <c r="BP37" s="235" t="s">
        <v>60</v>
      </c>
    </row>
    <row r="38" spans="1:68" ht="14" customHeight="1" x14ac:dyDescent="0.15">
      <c r="D38" s="236" t="s">
        <v>61</v>
      </c>
      <c r="E38" s="236" t="s">
        <v>62</v>
      </c>
      <c r="F38" s="236" t="s">
        <v>63</v>
      </c>
      <c r="G38" s="236" t="s">
        <v>64</v>
      </c>
      <c r="H38" s="236" t="s">
        <v>65</v>
      </c>
      <c r="I38" s="236" t="s">
        <v>66</v>
      </c>
      <c r="J38" s="236" t="s">
        <v>67</v>
      </c>
      <c r="K38" s="236" t="s">
        <v>68</v>
      </c>
      <c r="L38" s="236" t="s">
        <v>69</v>
      </c>
      <c r="M38" s="236" t="s">
        <v>70</v>
      </c>
      <c r="N38" s="236" t="s">
        <v>71</v>
      </c>
      <c r="O38" s="236" t="s">
        <v>72</v>
      </c>
      <c r="P38" s="236" t="s">
        <v>61</v>
      </c>
      <c r="Q38" s="236" t="s">
        <v>62</v>
      </c>
      <c r="R38" s="236" t="s">
        <v>63</v>
      </c>
      <c r="S38" s="236" t="s">
        <v>64</v>
      </c>
      <c r="T38" s="236" t="s">
        <v>65</v>
      </c>
      <c r="U38" s="236" t="s">
        <v>66</v>
      </c>
      <c r="V38" s="236" t="s">
        <v>67</v>
      </c>
      <c r="W38" s="236" t="s">
        <v>68</v>
      </c>
      <c r="X38" s="236" t="s">
        <v>69</v>
      </c>
      <c r="Y38" s="236" t="s">
        <v>70</v>
      </c>
      <c r="Z38" s="236" t="s">
        <v>71</v>
      </c>
      <c r="AA38" s="236" t="s">
        <v>72</v>
      </c>
      <c r="AB38" s="236" t="s">
        <v>61</v>
      </c>
      <c r="AC38" s="236" t="s">
        <v>62</v>
      </c>
      <c r="AD38" s="236" t="s">
        <v>63</v>
      </c>
      <c r="AE38" s="236" t="s">
        <v>64</v>
      </c>
      <c r="AF38" s="236" t="s">
        <v>65</v>
      </c>
      <c r="AG38" s="236" t="s">
        <v>66</v>
      </c>
      <c r="AH38" s="236" t="s">
        <v>67</v>
      </c>
      <c r="AI38" s="236" t="s">
        <v>68</v>
      </c>
      <c r="AJ38" s="236" t="s">
        <v>69</v>
      </c>
      <c r="AK38" s="236" t="s">
        <v>70</v>
      </c>
      <c r="AL38" s="236" t="s">
        <v>71</v>
      </c>
      <c r="AM38" s="236" t="s">
        <v>72</v>
      </c>
      <c r="AN38" s="236" t="s">
        <v>61</v>
      </c>
      <c r="AO38" s="236" t="s">
        <v>62</v>
      </c>
      <c r="AP38" s="236" t="s">
        <v>63</v>
      </c>
      <c r="AQ38" s="236" t="s">
        <v>64</v>
      </c>
      <c r="AR38" s="236" t="s">
        <v>65</v>
      </c>
      <c r="AS38" s="236" t="s">
        <v>66</v>
      </c>
      <c r="AT38" s="236" t="s">
        <v>67</v>
      </c>
      <c r="AU38" s="236" t="s">
        <v>68</v>
      </c>
      <c r="AV38" s="236" t="s">
        <v>69</v>
      </c>
      <c r="AW38" s="236" t="s">
        <v>70</v>
      </c>
      <c r="AX38" s="236" t="s">
        <v>71</v>
      </c>
      <c r="AY38" s="236" t="s">
        <v>72</v>
      </c>
      <c r="AZ38" s="236" t="s">
        <v>61</v>
      </c>
      <c r="BA38" s="236" t="s">
        <v>62</v>
      </c>
      <c r="BB38" s="236" t="s">
        <v>63</v>
      </c>
      <c r="BC38" s="236" t="s">
        <v>64</v>
      </c>
      <c r="BD38" s="236" t="s">
        <v>65</v>
      </c>
      <c r="BE38" s="236" t="s">
        <v>66</v>
      </c>
      <c r="BF38" s="236" t="s">
        <v>67</v>
      </c>
      <c r="BG38" s="236" t="s">
        <v>68</v>
      </c>
      <c r="BH38" s="236" t="s">
        <v>69</v>
      </c>
      <c r="BI38" s="236" t="s">
        <v>70</v>
      </c>
      <c r="BJ38" s="236" t="s">
        <v>71</v>
      </c>
      <c r="BK38" s="236" t="s">
        <v>72</v>
      </c>
    </row>
    <row r="39" spans="1:68" x14ac:dyDescent="0.15">
      <c r="A39" s="232" t="s">
        <v>221</v>
      </c>
      <c r="B39" t="s">
        <v>212</v>
      </c>
      <c r="D39" s="299">
        <f>D28*(MIN((IF(1&lt;'Параметры волн'!$B$12,0,'Параметры волн'!$B$5*'Параметры волн'!$B$11*'Параметры волн'!$B$8/(1+EXP(-(1-'Параметры волн'!$B$12-'Параметры волн'!$B$15)/'Параметры волн'!$B$16))))+(IF(1&lt;'Параметры волн'!$B$13,0,'Параметры волн'!$B$6*'Параметры волн'!$B$11*'Параметры волн'!$B$9/(1+EXP(-(1-'Параметры волн'!$B$13-'Параметры волн'!$B$15)/'Параметры волн'!$B$16))))+(IF(1&lt;'Параметры волн'!$B$14,0,'Параметры волн'!$B$7*'Параметры волн'!$B$10/(1+EXP(-(1-'Параметры волн'!$B$14-'Параметры волн'!$B$15)/'Параметры волн'!$B$16)))),'Параметры волн'!$B$17))</f>
        <v>0</v>
      </c>
      <c r="E39" s="299">
        <f>E28*(MIN((IF(2&lt;'Параметры волн'!$B$12,0,'Параметры волн'!$B$5*'Параметры волн'!$B$11*'Параметры волн'!$B$8/(1+EXP(-(2-'Параметры волн'!$B$12-'Параметры волн'!$B$15)/'Параметры волн'!$B$16))))+(IF(2&lt;'Параметры волн'!$B$13,0,'Параметры волн'!$B$6*'Параметры волн'!$B$11*'Параметры волн'!$B$9/(1+EXP(-(2-'Параметры волн'!$B$13-'Параметры волн'!$B$15)/'Параметры волн'!$B$16))))+(IF(2&lt;'Параметры волн'!$B$14,0,'Параметры волн'!$B$7*'Параметры волн'!$B$10/(1+EXP(-(2-'Параметры волн'!$B$14-'Параметры волн'!$B$15)/'Параметры волн'!$B$16)))),'Параметры волн'!$B$17))</f>
        <v>0</v>
      </c>
      <c r="F39" s="299">
        <f>F28*(MIN((IF(3&lt;'Параметры волн'!$B$12,0,'Параметры волн'!$B$5*'Параметры волн'!$B$11*'Параметры волн'!$B$8/(1+EXP(-(3-'Параметры волн'!$B$12-'Параметры волн'!$B$15)/'Параметры волн'!$B$16))))+(IF(3&lt;'Параметры волн'!$B$13,0,'Параметры волн'!$B$6*'Параметры волн'!$B$11*'Параметры волн'!$B$9/(1+EXP(-(3-'Параметры волн'!$B$13-'Параметры волн'!$B$15)/'Параметры волн'!$B$16))))+(IF(3&lt;'Параметры волн'!$B$14,0,'Параметры волн'!$B$7*'Параметры волн'!$B$10/(1+EXP(-(3-'Параметры волн'!$B$14-'Параметры волн'!$B$15)/'Параметры волн'!$B$16)))),'Параметры волн'!$B$17))</f>
        <v>158445.22149154244</v>
      </c>
      <c r="G39" s="299">
        <f>G28*(MIN((IF(4&lt;'Параметры волн'!$B$12,0,'Параметры волн'!$B$5*'Параметры волн'!$B$11*'Параметры волн'!$B$8/(1+EXP(-(4-'Параметры волн'!$B$12-'Параметры волн'!$B$15)/'Параметры волн'!$B$16))))+(IF(4&lt;'Параметры волн'!$B$13,0,'Параметры волн'!$B$6*'Параметры волн'!$B$11*'Параметры волн'!$B$9/(1+EXP(-(4-'Параметры волн'!$B$13-'Параметры волн'!$B$15)/'Параметры волн'!$B$16))))+(IF(4&lt;'Параметры волн'!$B$14,0,'Параметры волн'!$B$7*'Параметры волн'!$B$10/(1+EXP(-(4-'Параметры волн'!$B$14-'Параметры волн'!$B$15)/'Параметры волн'!$B$16)))),'Параметры волн'!$B$17))</f>
        <v>278191.42983488244</v>
      </c>
      <c r="H39" s="299">
        <f>H28*(MIN((IF(5&lt;'Параметры волн'!$B$12,0,'Параметры волн'!$B$5*'Параметры волн'!$B$11*'Параметры волн'!$B$8/(1+EXP(-(5-'Параметры волн'!$B$12-'Параметры волн'!$B$15)/'Параметры волн'!$B$16))))+(IF(5&lt;'Параметры волн'!$B$13,0,'Параметры волн'!$B$6*'Параметры волн'!$B$11*'Параметры волн'!$B$9/(1+EXP(-(5-'Параметры волн'!$B$13-'Параметры волн'!$B$15)/'Параметры волн'!$B$16))))+(IF(5&lt;'Параметры волн'!$B$14,0,'Параметры волн'!$B$7*'Параметры волн'!$B$10/(1+EXP(-(5-'Параметры волн'!$B$14-'Параметры волн'!$B$15)/'Параметры волн'!$B$16)))),'Параметры волн'!$B$17))</f>
        <v>498537.48645673011</v>
      </c>
      <c r="I39" s="299">
        <f>I28*(MIN((IF(6&lt;'Параметры волн'!$B$12,0,'Параметры волн'!$B$5*'Параметры волн'!$B$11*'Параметры волн'!$B$8/(1+EXP(-(6-'Параметры волн'!$B$12-'Параметры волн'!$B$15)/'Параметры волн'!$B$16))))+(IF(6&lt;'Параметры волн'!$B$13,0,'Параметры волн'!$B$6*'Параметры волн'!$B$11*'Параметры волн'!$B$9/(1+EXP(-(6-'Параметры волн'!$B$13-'Параметры волн'!$B$15)/'Параметры волн'!$B$16))))+(IF(6&lt;'Параметры волн'!$B$14,0,'Параметры волн'!$B$7*'Параметры волн'!$B$10/(1+EXP(-(6-'Параметры волн'!$B$14-'Параметры волн'!$B$15)/'Параметры волн'!$B$16)))),'Параметры волн'!$B$17))</f>
        <v>749555.97059703991</v>
      </c>
      <c r="J39" s="299">
        <f>J28*(MIN((IF(7&lt;'Параметры волн'!$B$12,0,'Параметры волн'!$B$5*'Параметры волн'!$B$11*'Параметры волн'!$B$8/(1+EXP(-(7-'Параметры волн'!$B$12-'Параметры волн'!$B$15)/'Параметры волн'!$B$16))))+(IF(7&lt;'Параметры волн'!$B$13,0,'Параметры волн'!$B$6*'Параметры волн'!$B$11*'Параметры волн'!$B$9/(1+EXP(-(7-'Параметры волн'!$B$13-'Параметры волн'!$B$15)/'Параметры волн'!$B$16))))+(IF(7&lt;'Параметры волн'!$B$14,0,'Параметры волн'!$B$7*'Параметры волн'!$B$10/(1+EXP(-(7-'Параметры волн'!$B$14-'Параметры волн'!$B$15)/'Параметры волн'!$B$16)))),'Параметры волн'!$B$17))</f>
        <v>1017759.2746167593</v>
      </c>
      <c r="K39" s="299">
        <f>K28*(MIN((IF(8&lt;'Параметры волн'!$B$12,0,'Параметры волн'!$B$5*'Параметры волн'!$B$11*'Параметры волн'!$B$8/(1+EXP(-(8-'Параметры волн'!$B$12-'Параметры волн'!$B$15)/'Параметры волн'!$B$16))))+(IF(8&lt;'Параметры волн'!$B$13,0,'Параметры волн'!$B$6*'Параметры волн'!$B$11*'Параметры волн'!$B$9/(1+EXP(-(8-'Параметры волн'!$B$13-'Параметры волн'!$B$15)/'Параметры волн'!$B$16))))+(IF(8&lt;'Параметры волн'!$B$14,0,'Параметры волн'!$B$7*'Параметры волн'!$B$10/(1+EXP(-(8-'Параметры волн'!$B$14-'Параметры волн'!$B$15)/'Параметры волн'!$B$16)))),'Параметры волн'!$B$17))</f>
        <v>1338238.1353057127</v>
      </c>
      <c r="L39" s="299">
        <f>L28*(MIN((IF(9&lt;'Параметры волн'!$B$12,0,'Параметры волн'!$B$5*'Параметры волн'!$B$11*'Параметры волн'!$B$8/(1+EXP(-(9-'Параметры волн'!$B$12-'Параметры волн'!$B$15)/'Параметры волн'!$B$16))))+(IF(9&lt;'Параметры волн'!$B$13,0,'Параметры волн'!$B$6*'Параметры волн'!$B$11*'Параметры волн'!$B$9/(1+EXP(-(9-'Параметры волн'!$B$13-'Параметры волн'!$B$15)/'Параметры волн'!$B$16))))+(IF(9&lt;'Параметры волн'!$B$14,0,'Параметры волн'!$B$7*'Параметры волн'!$B$10/(1+EXP(-(9-'Параметры волн'!$B$14-'Параметры волн'!$B$15)/'Параметры волн'!$B$16)))),'Параметры волн'!$B$17))</f>
        <v>1584896.2333260751</v>
      </c>
      <c r="M39" s="299">
        <f>M28*(MIN((IF(10&lt;'Параметры волн'!$B$12,0,'Параметры волн'!$B$5*'Параметры волн'!$B$11*'Параметры волн'!$B$8/(1+EXP(-(10-'Параметры волн'!$B$12-'Параметры волн'!$B$15)/'Параметры волн'!$B$16))))+(IF(10&lt;'Параметры волн'!$B$13,0,'Параметры волн'!$B$6*'Параметры волн'!$B$11*'Параметры волн'!$B$9/(1+EXP(-(10-'Параметры волн'!$B$13-'Параметры волн'!$B$15)/'Параметры волн'!$B$16))))+(IF(10&lt;'Параметры волн'!$B$14,0,'Параметры волн'!$B$7*'Параметры волн'!$B$10/(1+EXP(-(10-'Параметры волн'!$B$14-'Параметры волн'!$B$15)/'Параметры волн'!$B$16)))),'Параметры волн'!$B$17))</f>
        <v>1801644.7177055078</v>
      </c>
      <c r="N39" s="299">
        <f>N28*(MIN((IF(11&lt;'Параметры волн'!$B$12,0,'Параметры волн'!$B$5*'Параметры волн'!$B$11*'Параметры волн'!$B$8/(1+EXP(-(11-'Параметры волн'!$B$12-'Параметры волн'!$B$15)/'Параметры волн'!$B$16))))+(IF(11&lt;'Параметры волн'!$B$13,0,'Параметры волн'!$B$6*'Параметры волн'!$B$11*'Параметры волн'!$B$9/(1+EXP(-(11-'Параметры волн'!$B$13-'Параметры волн'!$B$15)/'Параметры волн'!$B$16))))+(IF(11&lt;'Параметры волн'!$B$14,0,'Параметры волн'!$B$7*'Параметры волн'!$B$10/(1+EXP(-(11-'Параметры волн'!$B$14-'Параметры волн'!$B$15)/'Параметры волн'!$B$16)))),'Параметры волн'!$B$17))</f>
        <v>2390477.8291678377</v>
      </c>
      <c r="O39" s="299">
        <f>O28*(MIN((IF(12&lt;'Параметры волн'!$B$12,0,'Параметры волн'!$B$5*'Параметры волн'!$B$11*'Параметры волн'!$B$8/(1+EXP(-(12-'Параметры волн'!$B$12-'Параметры волн'!$B$15)/'Параметры волн'!$B$16))))+(IF(12&lt;'Параметры волн'!$B$13,0,'Параметры волн'!$B$6*'Параметры волн'!$B$11*'Параметры волн'!$B$9/(1+EXP(-(12-'Параметры волн'!$B$13-'Параметры волн'!$B$15)/'Параметры волн'!$B$16))))+(IF(12&lt;'Параметры волн'!$B$14,0,'Параметры волн'!$B$7*'Параметры волн'!$B$10/(1+EXP(-(12-'Параметры волн'!$B$14-'Параметры волн'!$B$15)/'Параметры волн'!$B$16)))),'Параметры волн'!$B$17))</f>
        <v>2581173.7758166734</v>
      </c>
      <c r="P39" s="299">
        <f>P28*(MIN((IF(13&lt;'Параметры волн'!$B$12,0,'Параметры волн'!$B$5*'Параметры волн'!$B$11*'Параметры волн'!$B$8/(1+EXP(-(13-'Параметры волн'!$B$12-'Параметры волн'!$B$15)/'Параметры волн'!$B$16))))+(IF(13&lt;'Параметры волн'!$B$13,0,'Параметры волн'!$B$6*'Параметры волн'!$B$11*'Параметры волн'!$B$9/(1+EXP(-(13-'Параметры волн'!$B$13-'Параметры волн'!$B$15)/'Параметры волн'!$B$16))))+(IF(13&lt;'Параметры волн'!$B$14,0,'Параметры волн'!$B$7*'Параметры волн'!$B$10/(1+EXP(-(13-'Параметры волн'!$B$14-'Параметры волн'!$B$15)/'Параметры волн'!$B$16)))),'Параметры волн'!$B$17))</f>
        <v>1135295.9905123573</v>
      </c>
      <c r="Q39" s="299">
        <f>Q28*(MIN((IF(14&lt;'Параметры волн'!$B$12,0,'Параметры волн'!$B$5*'Параметры волн'!$B$11*'Параметры волн'!$B$8/(1+EXP(-(14-'Параметры волн'!$B$12-'Параметры волн'!$B$15)/'Параметры волн'!$B$16))))+(IF(14&lt;'Параметры волн'!$B$13,0,'Параметры волн'!$B$6*'Параметры волн'!$B$11*'Параметры волн'!$B$9/(1+EXP(-(14-'Параметры волн'!$B$13-'Параметры волн'!$B$15)/'Параметры волн'!$B$16))))+(IF(14&lt;'Параметры волн'!$B$14,0,'Параметры волн'!$B$7*'Параметры волн'!$B$10/(1+EXP(-(14-'Параметры волн'!$B$14-'Параметры волн'!$B$15)/'Параметры волн'!$B$16)))),'Параметры волн'!$B$17))</f>
        <v>2351651.1157778287</v>
      </c>
      <c r="R39" s="299">
        <f>R28*(MIN((IF(15&lt;'Параметры волн'!$B$12,0,'Параметры волн'!$B$5*'Параметры волн'!$B$11*'Параметры волн'!$B$8/(1+EXP(-(15-'Параметры волн'!$B$12-'Параметры волн'!$B$15)/'Параметры волн'!$B$16))))+(IF(15&lt;'Параметры волн'!$B$13,0,'Параметры волн'!$B$6*'Параметры волн'!$B$11*'Параметры волн'!$B$9/(1+EXP(-(15-'Параметры волн'!$B$13-'Параметры волн'!$B$15)/'Параметры волн'!$B$16))))+(IF(15&lt;'Параметры волн'!$B$14,0,'Параметры волн'!$B$7*'Параметры волн'!$B$10/(1+EXP(-(15-'Параметры волн'!$B$14-'Параметры волн'!$B$15)/'Параметры волн'!$B$16)))),'Параметры волн'!$B$17))</f>
        <v>2403090.1464290842</v>
      </c>
      <c r="S39" s="299">
        <f>S28*(MIN((IF(16&lt;'Параметры волн'!$B$12,0,'Параметры волн'!$B$5*'Параметры волн'!$B$11*'Параметры волн'!$B$8/(1+EXP(-(16-'Параметры волн'!$B$12-'Параметры волн'!$B$15)/'Параметры волн'!$B$16))))+(IF(16&lt;'Параметры волн'!$B$13,0,'Параметры волн'!$B$6*'Параметры волн'!$B$11*'Параметры волн'!$B$9/(1+EXP(-(16-'Параметры волн'!$B$13-'Параметры волн'!$B$15)/'Параметры волн'!$B$16))))+(IF(16&lt;'Параметры волн'!$B$14,0,'Параметры волн'!$B$7*'Параметры волн'!$B$10/(1+EXP(-(16-'Параметры волн'!$B$14-'Параметры волн'!$B$15)/'Параметры волн'!$B$16)))),'Параметры волн'!$B$17))</f>
        <v>2435358.8319567707</v>
      </c>
      <c r="T39" s="299">
        <f>T28*(MIN((IF(17&lt;'Параметры волн'!$B$12,0,'Параметры волн'!$B$5*'Параметры волн'!$B$11*'Параметры волн'!$B$8/(1+EXP(-(17-'Параметры волн'!$B$12-'Параметры волн'!$B$15)/'Параметры волн'!$B$16))))+(IF(17&lt;'Параметры волн'!$B$13,0,'Параметры волн'!$B$6*'Параметры волн'!$B$11*'Параметры волн'!$B$9/(1+EXP(-(17-'Параметры волн'!$B$13-'Параметры волн'!$B$15)/'Параметры волн'!$B$16))))+(IF(17&lt;'Параметры волн'!$B$14,0,'Параметры волн'!$B$7*'Параметры волн'!$B$10/(1+EXP(-(17-'Параметры волн'!$B$14-'Параметры волн'!$B$15)/'Параметры волн'!$B$16)))),'Параметры волн'!$B$17))</f>
        <v>2456451.6684622127</v>
      </c>
      <c r="U39" s="299">
        <f>U28*(MIN((IF(18&lt;'Параметры волн'!$B$12,0,'Параметры волн'!$B$5*'Параметры волн'!$B$11*'Параметры волн'!$B$8/(1+EXP(-(18-'Параметры волн'!$B$12-'Параметры волн'!$B$15)/'Параметры волн'!$B$16))))+(IF(18&lt;'Параметры волн'!$B$13,0,'Параметры волн'!$B$6*'Параметры волн'!$B$11*'Параметры волн'!$B$9/(1+EXP(-(18-'Параметры волн'!$B$13-'Параметры волн'!$B$15)/'Параметры волн'!$B$16))))+(IF(18&lt;'Параметры волн'!$B$14,0,'Параметры волн'!$B$7*'Параметры волн'!$B$10/(1+EXP(-(18-'Параметры волн'!$B$14-'Параметры волн'!$B$15)/'Параметры волн'!$B$16)))),'Параметры волн'!$B$17))</f>
        <v>2471405.8437750703</v>
      </c>
      <c r="V39" s="299">
        <f>V28*(MIN((IF(19&lt;'Параметры волн'!$B$12,0,'Параметры волн'!$B$5*'Параметры волн'!$B$11*'Параметры волн'!$B$8/(1+EXP(-(19-'Параметры волн'!$B$12-'Параметры волн'!$B$15)/'Параметры волн'!$B$16))))+(IF(19&lt;'Параметры волн'!$B$13,0,'Параметры волн'!$B$6*'Параметры волн'!$B$11*'Параметры волн'!$B$9/(1+EXP(-(19-'Параметры волн'!$B$13-'Параметры волн'!$B$15)/'Параметры волн'!$B$16))))+(IF(19&lt;'Параметры волн'!$B$14,0,'Параметры волн'!$B$7*'Параметры волн'!$B$10/(1+EXP(-(19-'Параметры волн'!$B$14-'Параметры волн'!$B$15)/'Параметры волн'!$B$16)))),'Параметры волн'!$B$17))</f>
        <v>2483099.1730684927</v>
      </c>
      <c r="W39" s="299">
        <f>W28*(MIN((IF(20&lt;'Параметры волн'!$B$12,0,'Параметры волн'!$B$5*'Параметры волн'!$B$11*'Параметры волн'!$B$8/(1+EXP(-(20-'Параметры волн'!$B$12-'Параметры волн'!$B$15)/'Параметры волн'!$B$16))))+(IF(20&lt;'Параметры волн'!$B$13,0,'Параметры волн'!$B$6*'Параметры волн'!$B$11*'Параметры волн'!$B$9/(1+EXP(-(20-'Параметры волн'!$B$13-'Параметры волн'!$B$15)/'Параметры волн'!$B$16))))+(IF(20&lt;'Параметры волн'!$B$14,0,'Параметры волн'!$B$7*'Параметры волн'!$B$10/(1+EXP(-(20-'Параметры волн'!$B$14-'Параметры волн'!$B$15)/'Параметры волн'!$B$16)))),'Параметры волн'!$B$17))</f>
        <v>2493095.1691430849</v>
      </c>
      <c r="X39" s="299">
        <f>X28*(MIN((IF(21&lt;'Параметры волн'!$B$12,0,'Параметры волн'!$B$5*'Параметры волн'!$B$11*'Параметры волн'!$B$8/(1+EXP(-(21-'Параметры волн'!$B$12-'Параметры волн'!$B$15)/'Параметры волн'!$B$16))))+(IF(21&lt;'Параметры волн'!$B$13,0,'Параметры волн'!$B$6*'Параметры волн'!$B$11*'Параметры волн'!$B$9/(1+EXP(-(21-'Параметры волн'!$B$13-'Параметры волн'!$B$15)/'Параметры волн'!$B$16))))+(IF(21&lt;'Параметры волн'!$B$14,0,'Параметры волн'!$B$7*'Параметры волн'!$B$10/(1+EXP(-(21-'Параметры волн'!$B$14-'Параметры волн'!$B$15)/'Параметры волн'!$B$16)))),'Параметры волн'!$B$17))</f>
        <v>2502221.5986636509</v>
      </c>
      <c r="Y39" s="299">
        <f>Y28*(MIN((IF(22&lt;'Параметры волн'!$B$12,0,'Параметры волн'!$B$5*'Параметры волн'!$B$11*'Параметры волн'!$B$8/(1+EXP(-(22-'Параметры волн'!$B$12-'Параметры волн'!$B$15)/'Параметры волн'!$B$16))))+(IF(22&lt;'Параметры волн'!$B$13,0,'Параметры волн'!$B$6*'Параметры волн'!$B$11*'Параметры волн'!$B$9/(1+EXP(-(22-'Параметры волн'!$B$13-'Параметры волн'!$B$15)/'Параметры волн'!$B$16))))+(IF(22&lt;'Параметры волн'!$B$14,0,'Параметры волн'!$B$7*'Параметры волн'!$B$10/(1+EXP(-(22-'Параметры волн'!$B$14-'Параметры волн'!$B$15)/'Параметры волн'!$B$16)))),'Параметры волн'!$B$17))</f>
        <v>2510910.9272943777</v>
      </c>
      <c r="Z39" s="299">
        <f>Z28*(MIN((IF(23&lt;'Параметры волн'!$B$12,0,'Параметры волн'!$B$5*'Параметры волн'!$B$11*'Параметры волн'!$B$8/(1+EXP(-(23-'Параметры волн'!$B$12-'Параметры волн'!$B$15)/'Параметры волн'!$B$16))))+(IF(23&lt;'Параметры волн'!$B$13,0,'Параметры волн'!$B$6*'Параметры волн'!$B$11*'Параметры волн'!$B$9/(1+EXP(-(23-'Параметры волн'!$B$13-'Параметры волн'!$B$15)/'Параметры волн'!$B$16))))+(IF(23&lt;'Параметры волн'!$B$14,0,'Параметры волн'!$B$7*'Параметры волн'!$B$10/(1+EXP(-(23-'Параметры волн'!$B$14-'Параметры волн'!$B$15)/'Параметры волн'!$B$16)))),'Параметры волн'!$B$17))</f>
        <v>3023265.0906341849</v>
      </c>
      <c r="AA39" s="299">
        <f>AA28*(MIN((IF(24&lt;'Параметры волн'!$B$12,0,'Параметры волн'!$B$5*'Параметры волн'!$B$11*'Параметры волн'!$B$8/(1+EXP(-(24-'Параметры волн'!$B$12-'Параметры волн'!$B$15)/'Параметры волн'!$B$16))))+(IF(24&lt;'Параметры волн'!$B$13,0,'Параметры волн'!$B$6*'Параметры волн'!$B$11*'Параметры волн'!$B$9/(1+EXP(-(24-'Параметры волн'!$B$13-'Параметры волн'!$B$15)/'Параметры волн'!$B$16))))+(IF(24&lt;'Параметры волн'!$B$14,0,'Параметры волн'!$B$7*'Параметры волн'!$B$10/(1+EXP(-(24-'Параметры волн'!$B$14-'Параметры волн'!$B$15)/'Параметры волн'!$B$16)))),'Параметры волн'!$B$17))</f>
        <v>3033321.1372391912</v>
      </c>
      <c r="AB39" s="299">
        <f>AB28*(MIN((IF(25&lt;'Параметры волн'!$B$12,0,'Параметры волн'!$B$5*'Параметры волн'!$B$11*'Параметры волн'!$B$8/(1+EXP(-(25-'Параметры волн'!$B$12-'Параметры волн'!$B$15)/'Параметры волн'!$B$16))))+(IF(25&lt;'Параметры волн'!$B$13,0,'Параметры волн'!$B$6*'Параметры волн'!$B$11*'Параметры волн'!$B$9/(1+EXP(-(25-'Параметры волн'!$B$13-'Параметры волн'!$B$15)/'Параметры волн'!$B$16))))+(IF(25&lt;'Параметры волн'!$B$14,0,'Параметры волн'!$B$7*'Параметры волн'!$B$10/(1+EXP(-(25-'Параметры волн'!$B$14-'Параметры волн'!$B$15)/'Параметры волн'!$B$16)))),'Параметры волн'!$B$17))</f>
        <v>1268055.4942967594</v>
      </c>
      <c r="AC39" s="299">
        <f>AC28*(MIN((IF(26&lt;'Параметры волн'!$B$12,0,'Параметры волн'!$B$5*'Параметры волн'!$B$11*'Параметры волн'!$B$8/(1+EXP(-(26-'Параметры волн'!$B$12-'Параметры волн'!$B$15)/'Параметры волн'!$B$16))))+(IF(26&lt;'Параметры волн'!$B$13,0,'Параметры волн'!$B$6*'Параметры волн'!$B$11*'Параметры волн'!$B$9/(1+EXP(-(26-'Параметры волн'!$B$13-'Параметры волн'!$B$15)/'Параметры волн'!$B$16))))+(IF(26&lt;'Параметры волн'!$B$14,0,'Параметры волн'!$B$7*'Параметры волн'!$B$10/(1+EXP(-(26-'Параметры волн'!$B$14-'Параметры волн'!$B$15)/'Параметры волн'!$B$16)))),'Параметры волн'!$B$17))</f>
        <v>2544448.6488503963</v>
      </c>
      <c r="AD39" s="299">
        <f>AD28*(MIN((IF(27&lt;'Параметры волн'!$B$12,0,'Параметры волн'!$B$5*'Параметры волн'!$B$11*'Параметры волн'!$B$8/(1+EXP(-(27-'Параметры волн'!$B$12-'Параметры волн'!$B$15)/'Параметры волн'!$B$16))))+(IF(27&lt;'Параметры волн'!$B$13,0,'Параметры волн'!$B$6*'Параметры волн'!$B$11*'Параметры волн'!$B$9/(1+EXP(-(27-'Параметры волн'!$B$13-'Параметры волн'!$B$15)/'Параметры волн'!$B$16))))+(IF(27&lt;'Параметры волн'!$B$14,0,'Параметры волн'!$B$7*'Параметры волн'!$B$10/(1+EXP(-(27-'Параметры волн'!$B$14-'Параметры волн'!$B$15)/'Параметры волн'!$B$16)))),'Параметры волн'!$B$17))</f>
        <v>2552796.5888931472</v>
      </c>
      <c r="AE39" s="299">
        <f>AE28*(MIN((IF(28&lt;'Параметры волн'!$B$12,0,'Параметры волн'!$B$5*'Параметры волн'!$B$11*'Параметры волн'!$B$8/(1+EXP(-(28-'Параметры волн'!$B$12-'Параметры волн'!$B$15)/'Параметры волн'!$B$16))))+(IF(28&lt;'Параметры волн'!$B$13,0,'Параметры волн'!$B$6*'Параметры волн'!$B$11*'Параметры волн'!$B$9/(1+EXP(-(28-'Параметры волн'!$B$13-'Параметры волн'!$B$15)/'Параметры волн'!$B$16))))+(IF(28&lt;'Параметры волн'!$B$14,0,'Параметры волн'!$B$7*'Параметры волн'!$B$10/(1+EXP(-(28-'Параметры волн'!$B$14-'Параметры волн'!$B$15)/'Параметры волн'!$B$16)))),'Параметры волн'!$B$17))</f>
        <v>2561163.0924844239</v>
      </c>
      <c r="AF39" s="299">
        <f>AF28*(MIN((IF(29&lt;'Параметры волн'!$B$12,0,'Параметры волн'!$B$5*'Параметры волн'!$B$11*'Параметры волн'!$B$8/(1+EXP(-(29-'Параметры волн'!$B$12-'Параметры волн'!$B$15)/'Параметры волн'!$B$16))))+(IF(29&lt;'Параметры волн'!$B$13,0,'Параметры волн'!$B$6*'Параметры волн'!$B$11*'Параметры волн'!$B$9/(1+EXP(-(29-'Параметры волн'!$B$13-'Параметры волн'!$B$15)/'Параметры волн'!$B$16))))+(IF(29&lt;'Параметры волн'!$B$14,0,'Параметры волн'!$B$7*'Параметры волн'!$B$10/(1+EXP(-(29-'Параметры волн'!$B$14-'Параметры волн'!$B$15)/'Параметры волн'!$B$16)))),'Параметры волн'!$B$17))</f>
        <v>2569552.4705721713</v>
      </c>
      <c r="AG39" s="299">
        <f>AG28*(MIN((IF(30&lt;'Параметры волн'!$B$12,0,'Параметры волн'!$B$5*'Параметры волн'!$B$11*'Параметры волн'!$B$8/(1+EXP(-(30-'Параметры волн'!$B$12-'Параметры волн'!$B$15)/'Параметры волн'!$B$16))))+(IF(30&lt;'Параметры волн'!$B$13,0,'Параметры волн'!$B$6*'Параметры волн'!$B$11*'Параметры волн'!$B$9/(1+EXP(-(30-'Параметры волн'!$B$13-'Параметры волн'!$B$15)/'Параметры волн'!$B$16))))+(IF(30&lt;'Параметры волн'!$B$14,0,'Параметры волн'!$B$7*'Параметры волн'!$B$10/(1+EXP(-(30-'Параметры волн'!$B$14-'Параметры волн'!$B$15)/'Параметры волн'!$B$16)))),'Параметры волн'!$B$17))</f>
        <v>2577966.9874467216</v>
      </c>
      <c r="AH39" s="299">
        <f>AH28*(MIN((IF(31&lt;'Параметры волн'!$B$12,0,'Параметры волн'!$B$5*'Параметры волн'!$B$11*'Параметры волн'!$B$8/(1+EXP(-(31-'Параметры волн'!$B$12-'Параметры волн'!$B$15)/'Параметры волн'!$B$16))))+(IF(31&lt;'Параметры волн'!$B$13,0,'Параметры волн'!$B$6*'Параметры волн'!$B$11*'Параметры волн'!$B$9/(1+EXP(-(31-'Параметры волн'!$B$13-'Параметры волн'!$B$15)/'Параметры волн'!$B$16))))+(IF(31&lt;'Параметры волн'!$B$14,0,'Параметры волн'!$B$7*'Параметры волн'!$B$10/(1+EXP(-(31-'Параметры волн'!$B$14-'Параметры волн'!$B$15)/'Параметры волн'!$B$16)))),'Параметры волн'!$B$17))</f>
        <v>2586407.8532032506</v>
      </c>
      <c r="AI39" s="299">
        <f>AI28*(MIN((IF(32&lt;'Параметры волн'!$B$12,0,'Параметры волн'!$B$5*'Параметры волн'!$B$11*'Параметры волн'!$B$8/(1+EXP(-(32-'Параметры волн'!$B$12-'Параметры волн'!$B$15)/'Параметры волн'!$B$16))))+(IF(32&lt;'Параметры волн'!$B$13,0,'Параметры волн'!$B$6*'Параметры волн'!$B$11*'Параметры волн'!$B$9/(1+EXP(-(32-'Параметры волн'!$B$13-'Параметры волн'!$B$15)/'Параметры волн'!$B$16))))+(IF(32&lt;'Параметры волн'!$B$14,0,'Параметры волн'!$B$7*'Параметры волн'!$B$10/(1+EXP(-(32-'Параметры волн'!$B$14-'Параметры волн'!$B$15)/'Параметры волн'!$B$16)))),'Параметры волн'!$B$17))</f>
        <v>2594875.7350375806</v>
      </c>
      <c r="AJ39" s="299">
        <f>AJ28*(MIN((IF(33&lt;'Параметры волн'!$B$12,0,'Параметры волн'!$B$5*'Параметры волн'!$B$11*'Параметры волн'!$B$8/(1+EXP(-(33-'Параметры волн'!$B$12-'Параметры волн'!$B$15)/'Параметры волн'!$B$16))))+(IF(33&lt;'Параметры волн'!$B$13,0,'Параметры волн'!$B$6*'Параметры волн'!$B$11*'Параметры волн'!$B$9/(1+EXP(-(33-'Параметры волн'!$B$13-'Параметры волн'!$B$15)/'Параметры волн'!$B$16))))+(IF(33&lt;'Параметры волн'!$B$14,0,'Параметры волн'!$B$7*'Параметры волн'!$B$10/(1+EXP(-(33-'Параметры волн'!$B$14-'Параметры волн'!$B$15)/'Параметры волн'!$B$16)))),'Параметры волн'!$B$17))</f>
        <v>2603371.0206352151</v>
      </c>
      <c r="AK39" s="299">
        <f>AK28*(MIN((IF(34&lt;'Параметры волн'!$B$12,0,'Параметры волн'!$B$5*'Параметры волн'!$B$11*'Параметры волн'!$B$8/(1+EXP(-(34-'Параметры волн'!$B$12-'Параметры волн'!$B$15)/'Параметры волн'!$B$16))))+(IF(34&lt;'Параметры волн'!$B$13,0,'Параметры волн'!$B$6*'Параметры волн'!$B$11*'Параметры волн'!$B$9/(1+EXP(-(34-'Параметры волн'!$B$13-'Параметры волн'!$B$15)/'Параметры волн'!$B$16))))+(IF(34&lt;'Параметры волн'!$B$14,0,'Параметры волн'!$B$7*'Параметры волн'!$B$10/(1+EXP(-(34-'Параметры волн'!$B$14-'Параметры волн'!$B$15)/'Параметры волн'!$B$16)))),'Параметры волн'!$B$17))</f>
        <v>2611893.9538485496</v>
      </c>
      <c r="AL39" s="299">
        <f>AL28*(MIN((IF(35&lt;'Параметры волн'!$B$12,0,'Параметры волн'!$B$5*'Параметры волн'!$B$11*'Параметры волн'!$B$8/(1+EXP(-(35-'Параметры волн'!$B$12-'Параметры волн'!$B$15)/'Параметры волн'!$B$16))))+(IF(35&lt;'Параметры волн'!$B$13,0,'Параметры волн'!$B$6*'Параметры волн'!$B$11*'Параметры волн'!$B$9/(1+EXP(-(35-'Параметры волн'!$B$13-'Параметры волн'!$B$15)/'Параметры волн'!$B$16))))+(IF(35&lt;'Параметры волн'!$B$14,0,'Параметры волн'!$B$7*'Параметры волн'!$B$10/(1+EXP(-(35-'Параметры волн'!$B$14-'Параметры волн'!$B$15)/'Параметры волн'!$B$16)))),'Параметры волн'!$B$17))</f>
        <v>3144533.6455030325</v>
      </c>
      <c r="AM39" s="299">
        <f>AM28*(MIN((IF(36&lt;'Параметры волн'!$B$12,0,'Параметры волн'!$B$5*'Параметры волн'!$B$11*'Параметры волн'!$B$8/(1+EXP(-(36-'Параметры волн'!$B$12-'Параметры волн'!$B$15)/'Параметры волн'!$B$16))))+(IF(36&lt;'Параметры волн'!$B$13,0,'Параметры волн'!$B$6*'Параметры волн'!$B$11*'Параметры волн'!$B$9/(1+EXP(-(36-'Параметры волн'!$B$13-'Параметры волн'!$B$15)/'Параметры волн'!$B$16))))+(IF(36&lt;'Параметры волн'!$B$14,0,'Параметры волн'!$B$7*'Параметры волн'!$B$10/(1+EXP(-(36-'Параметры волн'!$B$14-'Параметры волн'!$B$15)/'Параметры волн'!$B$16)))),'Параметры волн'!$B$17))</f>
        <v>3154828.0857742275</v>
      </c>
      <c r="AN39" s="299">
        <f>AN28*(MIN((IF(37&lt;'Параметры волн'!$B$12,0,'Параметры волн'!$B$5*'Параметры волн'!$B$11*'Параметры волн'!$B$8/(1+EXP(-(37-'Параметры волн'!$B$12-'Параметры волн'!$B$15)/'Параметры волн'!$B$16))))+(IF(37&lt;'Параметры волн'!$B$13,0,'Параметры волн'!$B$6*'Параметры волн'!$B$11*'Параметры волн'!$B$9/(1+EXP(-(37-'Параметры волн'!$B$13-'Параметры волн'!$B$15)/'Параметры волн'!$B$16))))+(IF(37&lt;'Параметры волн'!$B$14,0,'Параметры волн'!$B$7*'Параметры волн'!$B$10/(1+EXP(-(37-'Параметры волн'!$B$14-'Параметры волн'!$B$15)/'Параметры волн'!$B$16)))),'Параметры волн'!$B$17))</f>
        <v>1318815.0835460275</v>
      </c>
      <c r="AO39" s="299">
        <f>AO28*(MIN((IF(38&lt;'Параметры волн'!$B$12,0,'Параметры волн'!$B$5*'Параметры волн'!$B$11*'Параметры волн'!$B$8/(1+EXP(-(38-'Параметры волн'!$B$12-'Параметры волн'!$B$15)/'Параметры волн'!$B$16))))+(IF(38&lt;'Параметры волн'!$B$13,0,'Параметры волн'!$B$6*'Параметры волн'!$B$11*'Параметры волн'!$B$9/(1+EXP(-(38-'Параметры волн'!$B$13-'Параметры волн'!$B$15)/'Параметры волн'!$B$16))))+(IF(38&lt;'Параметры волн'!$B$14,0,'Параметры волн'!$B$7*'Параметры волн'!$B$10/(1+EXP(-(38-'Параметры волн'!$B$14-'Параметры волн'!$B$15)/'Параметры волн'!$B$16)))),'Параметры волн'!$B$17))</f>
        <v>2646265.0941454605</v>
      </c>
      <c r="AP39" s="299">
        <f>AP28*(MIN((IF(39&lt;'Параметры волн'!$B$12,0,'Параметры волн'!$B$5*'Параметры волн'!$B$11*'Параметры волн'!$B$8/(1+EXP(-(39-'Параметры волн'!$B$12-'Параметры волн'!$B$15)/'Параметры волн'!$B$16))))+(IF(39&lt;'Параметры волн'!$B$13,0,'Параметры волн'!$B$6*'Параметры волн'!$B$11*'Параметры волн'!$B$9/(1+EXP(-(39-'Параметры волн'!$B$13-'Параметры волн'!$B$15)/'Параметры волн'!$B$16))))+(IF(39&lt;'Параметры волн'!$B$14,0,'Параметры волн'!$B$7*'Параметры волн'!$B$10/(1+EXP(-(39-'Параметры волн'!$B$14-'Параметры волн'!$B$15)/'Параметры волн'!$B$16)))),'Параметры волн'!$B$17))</f>
        <v>2654928.2837656117</v>
      </c>
      <c r="AQ39" s="299">
        <f>AQ28*(MIN((IF(40&lt;'Параметры волн'!$B$12,0,'Параметры волн'!$B$5*'Параметры волн'!$B$11*'Параметры волн'!$B$8/(1+EXP(-(40-'Параметры волн'!$B$12-'Параметры волн'!$B$15)/'Параметры волн'!$B$16))))+(IF(40&lt;'Параметры волн'!$B$13,0,'Параметры волн'!$B$6*'Параметры волн'!$B$11*'Параметры волн'!$B$9/(1+EXP(-(40-'Параметры волн'!$B$13-'Параметры волн'!$B$15)/'Параметры волн'!$B$16))))+(IF(40&lt;'Параметры волн'!$B$14,0,'Параметры волн'!$B$7*'Параметры волн'!$B$10/(1+EXP(-(40-'Параметры волн'!$B$14-'Параметры волн'!$B$15)/'Параметры волн'!$B$16)))),'Параметры волн'!$B$17))</f>
        <v>2663619.831355887</v>
      </c>
      <c r="AR39" s="299">
        <f>AR28*(MIN((IF(41&lt;'Параметры волн'!$B$12,0,'Параметры волн'!$B$5*'Параметры волн'!$B$11*'Параметры волн'!$B$8/(1+EXP(-(41-'Параметры волн'!$B$12-'Параметры волн'!$B$15)/'Параметры волн'!$B$16))))+(IF(41&lt;'Параметры волн'!$B$13,0,'Параметры волн'!$B$6*'Параметры волн'!$B$11*'Параметры волн'!$B$9/(1+EXP(-(41-'Параметры волн'!$B$13-'Параметры волн'!$B$15)/'Параметры волн'!$B$16))))+(IF(41&lt;'Параметры волн'!$B$14,0,'Параметры волн'!$B$7*'Параметры волн'!$B$10/(1+EXP(-(41-'Параметры волн'!$B$14-'Параметры волн'!$B$15)/'Параметры волн'!$B$16)))),'Параметры волн'!$B$17))</f>
        <v>2672339.831235915</v>
      </c>
      <c r="AS39" s="299">
        <f>AS28*(MIN((IF(42&lt;'Параметры волн'!$B$12,0,'Параметры волн'!$B$5*'Параметры волн'!$B$11*'Параметры волн'!$B$8/(1+EXP(-(42-'Параметры волн'!$B$12-'Параметры волн'!$B$15)/'Параметры волн'!$B$16))))+(IF(42&lt;'Параметры волн'!$B$13,0,'Параметры волн'!$B$6*'Параметры волн'!$B$11*'Параметры волн'!$B$9/(1+EXP(-(42-'Параметры волн'!$B$13-'Параметры волн'!$B$15)/'Параметры волн'!$B$16))))+(IF(42&lt;'Параметры волн'!$B$14,0,'Параметры волн'!$B$7*'Параметры волн'!$B$10/(1+EXP(-(42-'Параметры волн'!$B$14-'Параметры волн'!$B$15)/'Параметры волн'!$B$16)))),'Параметры волн'!$B$17))</f>
        <v>2681088.3773149848</v>
      </c>
      <c r="AT39" s="299">
        <f>AT28*(MIN((IF(43&lt;'Параметры волн'!$B$12,0,'Параметры волн'!$B$5*'Параметры волн'!$B$11*'Параметры волн'!$B$8/(1+EXP(-(43-'Параметры волн'!$B$12-'Параметры волн'!$B$15)/'Параметры волн'!$B$16))))+(IF(43&lt;'Параметры волн'!$B$13,0,'Параметры волн'!$B$6*'Параметры волн'!$B$11*'Параметры волн'!$B$9/(1+EXP(-(43-'Параметры волн'!$B$13-'Параметры волн'!$B$15)/'Параметры волн'!$B$16))))+(IF(43&lt;'Параметры волн'!$B$14,0,'Параметры волн'!$B$7*'Параметры волн'!$B$10/(1+EXP(-(43-'Параметры волн'!$B$14-'Параметры волн'!$B$15)/'Параметры волн'!$B$16)))),'Параметры волн'!$B$17))</f>
        <v>2689865.5634394055</v>
      </c>
      <c r="AU39" s="299">
        <f>AU28*(MIN((IF(44&lt;'Параметры волн'!$B$12,0,'Параметры волн'!$B$5*'Параметры волн'!$B$11*'Параметры волн'!$B$8/(1+EXP(-(44-'Параметры волн'!$B$12-'Параметры волн'!$B$15)/'Параметры волн'!$B$16))))+(IF(44&lt;'Параметры волн'!$B$13,0,'Параметры волн'!$B$6*'Параметры волн'!$B$11*'Параметры волн'!$B$9/(1+EXP(-(44-'Параметры волн'!$B$13-'Параметры волн'!$B$15)/'Параметры волн'!$B$16))))+(IF(44&lt;'Параметры волн'!$B$14,0,'Параметры волн'!$B$7*'Параметры волн'!$B$10/(1+EXP(-(44-'Параметры волн'!$B$14-'Параметры волн'!$B$15)/'Параметры волн'!$B$16)))),'Параметры волн'!$B$17))</f>
        <v>2698671.4835719145</v>
      </c>
      <c r="AV39" s="299">
        <f>AV28*(MIN((IF(45&lt;'Параметры волн'!$B$12,0,'Параметры волн'!$B$5*'Параметры волн'!$B$11*'Параметры волн'!$B$8/(1+EXP(-(45-'Параметры волн'!$B$12-'Параметры волн'!$B$15)/'Параметры волн'!$B$16))))+(IF(45&lt;'Параметры волн'!$B$13,0,'Параметры волн'!$B$6*'Параметры волн'!$B$11*'Параметры волн'!$B$9/(1+EXP(-(45-'Параметры волн'!$B$13-'Параметры волн'!$B$15)/'Параметры волн'!$B$16))))+(IF(45&lt;'Параметры волн'!$B$14,0,'Параметры волн'!$B$7*'Параметры волн'!$B$10/(1+EXP(-(45-'Параметры волн'!$B$14-'Параметры волн'!$B$15)/'Параметры волн'!$B$16)))),'Параметры волн'!$B$17))</f>
        <v>2707506.2318845773</v>
      </c>
      <c r="AW39" s="299">
        <f>AW28*(MIN((IF(46&lt;'Параметры волн'!$B$12,0,'Параметры волн'!$B$5*'Параметры волн'!$B$11*'Параметры волн'!$B$8/(1+EXP(-(46-'Параметры волн'!$B$12-'Параметры волн'!$B$15)/'Параметры волн'!$B$16))))+(IF(46&lt;'Параметры волн'!$B$13,0,'Параметры волн'!$B$6*'Параметры волн'!$B$11*'Параметры волн'!$B$9/(1+EXP(-(46-'Параметры волн'!$B$13-'Параметры волн'!$B$15)/'Параметры волн'!$B$16))))+(IF(46&lt;'Параметры волн'!$B$14,0,'Параметры волн'!$B$7*'Параметры волн'!$B$10/(1+EXP(-(46-'Параметры волн'!$B$14-'Параметры волн'!$B$15)/'Параметры волн'!$B$16)))),'Параметры волн'!$B$17))</f>
        <v>2716369.9028071323</v>
      </c>
      <c r="AX39" s="299">
        <f>AX28*(MIN((IF(47&lt;'Параметры волн'!$B$12,0,'Параметры волн'!$B$5*'Параметры волн'!$B$11*'Параметры волн'!$B$8/(1+EXP(-(47-'Параметры волн'!$B$12-'Параметры волн'!$B$15)/'Параметры волн'!$B$16))))+(IF(47&lt;'Параметры волн'!$B$13,0,'Параметры волн'!$B$6*'Параметры волн'!$B$11*'Параметры волн'!$B$9/(1+EXP(-(47-'Параметры волн'!$B$13-'Параметры волн'!$B$15)/'Параметры волн'!$B$16))))+(IF(47&lt;'Параметры волн'!$B$14,0,'Параметры волн'!$B$7*'Параметры волн'!$B$10/(1+EXP(-(47-'Параметры волн'!$B$14-'Параметры волн'!$B$15)/'Параметры волн'!$B$16)))),'Параметры волн'!$B$17))</f>
        <v>3270315.1092628534</v>
      </c>
      <c r="AY39" s="299">
        <f>AY28*(MIN((IF(48&lt;'Параметры волн'!$B$12,0,'Параметры волн'!$B$5*'Параметры волн'!$B$11*'Параметры волн'!$B$8/(1+EXP(-(48-'Параметры волн'!$B$12-'Параметры волн'!$B$15)/'Параметры волн'!$B$16))))+(IF(48&lt;'Параметры волн'!$B$13,0,'Параметры волн'!$B$6*'Параметры волн'!$B$11*'Параметры волн'!$B$9/(1+EXP(-(48-'Параметры волн'!$B$13-'Параметры волн'!$B$15)/'Параметры волн'!$B$16))))+(IF(48&lt;'Параметры волн'!$B$14,0,'Параметры волн'!$B$7*'Параметры волн'!$B$10/(1+EXP(-(48-'Параметры волн'!$B$14-'Параметры волн'!$B$15)/'Параметры волн'!$B$16)))),'Параметры волн'!$B$17))</f>
        <v>3281021.2699556937</v>
      </c>
      <c r="AZ39" s="299">
        <f>AZ28*(MIN((IF(49&lt;'Параметры волн'!$B$12,0,'Параметры волн'!$B$5*'Параметры волн'!$B$11*'Параметры волн'!$B$8/(1+EXP(-(49-'Параметры волн'!$B$12-'Параметры волн'!$B$15)/'Параметры волн'!$B$16))))+(IF(49&lt;'Параметры волн'!$B$13,0,'Параметры волн'!$B$6*'Параметры волн'!$B$11*'Параметры волн'!$B$9/(1+EXP(-(49-'Параметры волн'!$B$13-'Параметры волн'!$B$15)/'Параметры волн'!$B$16))))+(IF(49&lt;'Параметры волн'!$B$14,0,'Параметры волн'!$B$7*'Параметры волн'!$B$10/(1+EXP(-(49-'Параметры волн'!$B$14-'Параметры волн'!$B$15)/'Параметры волн'!$B$16)))),'Параметры волн'!$B$17))</f>
        <v>1371567.6999263926</v>
      </c>
      <c r="BA39" s="299">
        <f>BA28*(MIN((IF(50&lt;'Параметры волн'!$B$12,0,'Параметры волн'!$B$5*'Параметры волн'!$B$11*'Параметры волн'!$B$8/(1+EXP(-(50-'Параметры волн'!$B$12-'Параметры волн'!$B$15)/'Параметры волн'!$B$16))))+(IF(50&lt;'Параметры волн'!$B$13,0,'Параметры волн'!$B$6*'Параметры волн'!$B$11*'Параметры волн'!$B$9/(1+EXP(-(50-'Параметры волн'!$B$13-'Параметры волн'!$B$15)/'Параметры волн'!$B$16))))+(IF(50&lt;'Параметры волн'!$B$14,0,'Параметры волн'!$B$7*'Параметры волн'!$B$10/(1+EXP(-(50-'Параметры волн'!$B$14-'Параметры волн'!$B$15)/'Параметры волн'!$B$16)))),'Параметры волн'!$B$17))</f>
        <v>2752115.7113435124</v>
      </c>
      <c r="BB39" s="299">
        <f>BB28*(MIN((IF(51&lt;'Параметры волн'!$B$12,0,'Параметры волн'!$B$5*'Параметры волн'!$B$11*'Параметры волн'!$B$8/(1+EXP(-(51-'Параметры волн'!$B$12-'Параметры волн'!$B$15)/'Параметры волн'!$B$16))))+(IF(51&lt;'Параметры волн'!$B$13,0,'Параметры волн'!$B$6*'Параметры волн'!$B$11*'Параметры волн'!$B$9/(1+EXP(-(51-'Параметры волн'!$B$13-'Параметры волн'!$B$15)/'Параметры волн'!$B$16))))+(IF(51&lt;'Параметры волн'!$B$14,0,'Параметры волн'!$B$7*'Параметры волн'!$B$10/(1+EXP(-(51-'Параметры волн'!$B$14-'Параметры волн'!$B$15)/'Параметры волн'!$B$16)))),'Параметры волн'!$B$17))</f>
        <v>2761125.422035153</v>
      </c>
      <c r="BC39" s="299">
        <f>BC28*(MIN((IF(52&lt;'Параметры волн'!$B$12,0,'Параметры волн'!$B$5*'Параметры волн'!$B$11*'Параметры волн'!$B$8/(1+EXP(-(52-'Параметры волн'!$B$12-'Параметры волн'!$B$15)/'Параметры волн'!$B$16))))+(IF(52&lt;'Параметры волн'!$B$13,0,'Параметры волн'!$B$6*'Параметры волн'!$B$11*'Параметры волн'!$B$9/(1+EXP(-(52-'Параметры волн'!$B$13-'Параметры волн'!$B$15)/'Параметры волн'!$B$16))))+(IF(52&lt;'Параметры волн'!$B$14,0,'Параметры волн'!$B$7*'Параметры волн'!$B$10/(1+EXP(-(52-'Параметры волн'!$B$14-'Параметры волн'!$B$15)/'Параметры волн'!$B$16)))),'Параметры волн'!$B$17))</f>
        <v>2770164.6281740447</v>
      </c>
      <c r="BD39" s="299">
        <f>BD28*(MIN((IF(53&lt;'Параметры волн'!$B$12,0,'Параметры волн'!$B$5*'Параметры волн'!$B$11*'Параметры волн'!$B$8/(1+EXP(-(53-'Параметры волн'!$B$12-'Параметры волн'!$B$15)/'Параметры волн'!$B$16))))+(IF(53&lt;'Параметры волн'!$B$13,0,'Параметры волн'!$B$6*'Параметры волн'!$B$11*'Параметры волн'!$B$9/(1+EXP(-(53-'Параметры волн'!$B$13-'Параметры волн'!$B$15)/'Параметры волн'!$B$16))))+(IF(53&lt;'Параметры волн'!$B$14,0,'Параметры волн'!$B$7*'Параметры волн'!$B$10/(1+EXP(-(53-'Параметры волн'!$B$14-'Параметры волн'!$B$15)/'Параметры волн'!$B$16)))),'Параметры волн'!$B$17))</f>
        <v>2779233.4263211223</v>
      </c>
      <c r="BE39" s="299">
        <f>BE28*(MIN((IF(54&lt;'Параметры волн'!$B$12,0,'Параметры волн'!$B$5*'Параметры волн'!$B$11*'Параметры волн'!$B$8/(1+EXP(-(54-'Параметры волн'!$B$12-'Параметры волн'!$B$15)/'Параметры волн'!$B$16))))+(IF(54&lt;'Параметры волн'!$B$13,0,'Параметры волн'!$B$6*'Параметры волн'!$B$11*'Параметры волн'!$B$9/(1+EXP(-(54-'Параметры волн'!$B$13-'Параметры волн'!$B$15)/'Параметры волн'!$B$16))))+(IF(54&lt;'Параметры волн'!$B$14,0,'Параметры волн'!$B$7*'Параметры волн'!$B$10/(1+EXP(-(54-'Параметры волн'!$B$14-'Параметры волн'!$B$15)/'Параметры волн'!$B$16)))),'Параметры волн'!$B$17))</f>
        <v>2788331.9133531866</v>
      </c>
      <c r="BF39" s="299">
        <f>BF28*(MIN((IF(55&lt;'Параметры волн'!$B$12,0,'Параметры волн'!$B$5*'Параметры волн'!$B$11*'Параметры волн'!$B$8/(1+EXP(-(55-'Параметры волн'!$B$12-'Параметры волн'!$B$15)/'Параметры волн'!$B$16))))+(IF(55&lt;'Параметры волн'!$B$13,0,'Параметры волн'!$B$6*'Параметры волн'!$B$11*'Параметры волн'!$B$9/(1+EXP(-(55-'Параметры волн'!$B$13-'Параметры волн'!$B$15)/'Параметры волн'!$B$16))))+(IF(55&lt;'Параметры волн'!$B$14,0,'Параметры волн'!$B$7*'Параметры волн'!$B$10/(1+EXP(-(55-'Параметры волн'!$B$14-'Параметры волн'!$B$15)/'Параметры волн'!$B$16)))),'Параметры волн'!$B$17))</f>
        <v>2797460.1864640606</v>
      </c>
      <c r="BG39" s="299">
        <f>BG28*(MIN((IF(56&lt;'Параметры волн'!$B$12,0,'Параметры волн'!$B$5*'Параметры волн'!$B$11*'Параметры волн'!$B$8/(1+EXP(-(56-'Параметры волн'!$B$12-'Параметры волн'!$B$15)/'Параметры волн'!$B$16))))+(IF(56&lt;'Параметры волн'!$B$13,0,'Параметры волн'!$B$6*'Параметры волн'!$B$11*'Параметры волн'!$B$9/(1+EXP(-(56-'Параметры волн'!$B$13-'Параметры волн'!$B$15)/'Параметры волн'!$B$16))))+(IF(56&lt;'Параметры волн'!$B$14,0,'Параметры волн'!$B$7*'Параметры волн'!$B$10/(1+EXP(-(56-'Параметры волн'!$B$14-'Параметры волн'!$B$15)/'Параметры волн'!$B$16)))),'Параметры волн'!$B$17))</f>
        <v>2806618.3431656854</v>
      </c>
      <c r="BH39" s="299">
        <f>BH28*(MIN((IF(57&lt;'Параметры волн'!$B$12,0,'Параметры волн'!$B$5*'Параметры волн'!$B$11*'Параметры волн'!$B$8/(1+EXP(-(57-'Параметры волн'!$B$12-'Параметры волн'!$B$15)/'Параметры волн'!$B$16))))+(IF(57&lt;'Параметры волн'!$B$13,0,'Параметры волн'!$B$6*'Параметры волн'!$B$11*'Параметры волн'!$B$9/(1+EXP(-(57-'Параметры волн'!$B$13-'Параметры волн'!$B$15)/'Параметры волн'!$B$16))))+(IF(57&lt;'Параметры волн'!$B$14,0,'Параметры волн'!$B$7*'Параметры волн'!$B$10/(1+EXP(-(57-'Параметры волн'!$B$14-'Параметры волн'!$B$15)/'Параметры волн'!$B$16)))),'Параметры волн'!$B$17))</f>
        <v>2815806.4812891972</v>
      </c>
      <c r="BI39" s="299">
        <f>BI28*(MIN((IF(58&lt;'Параметры волн'!$B$12,0,'Параметры волн'!$B$5*'Параметры волн'!$B$11*'Параметры волн'!$B$8/(1+EXP(-(58-'Параметры волн'!$B$12-'Параметры волн'!$B$15)/'Параметры волн'!$B$16))))+(IF(58&lt;'Параметры волн'!$B$13,0,'Параметры волн'!$B$6*'Параметры волн'!$B$11*'Параметры волн'!$B$9/(1+EXP(-(58-'Параметры волн'!$B$13-'Параметры волн'!$B$15)/'Параметры волн'!$B$16))))+(IF(58&lt;'Параметры волн'!$B$14,0,'Параметры волн'!$B$7*'Параметры волн'!$B$10/(1+EXP(-(58-'Параметры волн'!$B$14-'Параметры волн'!$B$15)/'Параметры волн'!$B$16)))),'Параметры волн'!$B$17))</f>
        <v>2825024.6989859887</v>
      </c>
      <c r="BJ39" s="299">
        <f>BJ28*(MIN((IF(59&lt;'Параметры волн'!$B$12,0,'Параметры волн'!$B$5*'Параметры волн'!$B$11*'Параметры волн'!$B$8/(1+EXP(-(59-'Параметры волн'!$B$12-'Параметры волн'!$B$15)/'Параметры волн'!$B$16))))+(IF(59&lt;'Параметры волн'!$B$13,0,'Параметры волн'!$B$6*'Параметры волн'!$B$11*'Параметры волн'!$B$9/(1+EXP(-(59-'Параметры волн'!$B$13-'Параметры волн'!$B$15)/'Параметры волн'!$B$16))))+(IF(59&lt;'Параметры волн'!$B$14,0,'Параметры волн'!$B$7*'Параметры волн'!$B$10/(1+EXP(-(59-'Параметры волн'!$B$14-'Параметры волн'!$B$15)/'Параметры волн'!$B$16)))),'Параметры волн'!$B$17))</f>
        <v>3401127.7136745173</v>
      </c>
      <c r="BK39" s="299">
        <f>BK28*(MIN((IF(60&lt;'Параметры волн'!$B$12,0,'Параметры волн'!$B$5*'Параметры волн'!$B$11*'Параметры волн'!$B$8/(1+EXP(-(60-'Параметры волн'!$B$12-'Параметры волн'!$B$15)/'Параметры волн'!$B$16))))+(IF(60&lt;'Параметры волн'!$B$13,0,'Параметры волн'!$B$6*'Параметры волн'!$B$11*'Параметры волн'!$B$9/(1+EXP(-(60-'Параметры волн'!$B$13-'Параметры волн'!$B$15)/'Параметры волн'!$B$16))))+(IF(60&lt;'Параметры волн'!$B$14,0,'Параметры волн'!$B$7*'Параметры волн'!$B$10/(1+EXP(-(60-'Параметры волн'!$B$14-'Параметры волн'!$B$15)/'Параметры волн'!$B$16)))),'Параметры волн'!$B$17))</f>
        <v>3412262.1207751199</v>
      </c>
      <c r="BL39" s="249">
        <f t="shared" ref="BL39:BL45" si="20">SUM(D39:O39)</f>
        <v>12398920.074318761</v>
      </c>
      <c r="BM39" s="249">
        <f t="shared" ref="BM39:BM45" si="21">SUM(P39:AA39)</f>
        <v>29299166.692956306</v>
      </c>
      <c r="BN39" s="249">
        <f t="shared" ref="BN39:BN45" si="22">SUM(AB39:AM39)</f>
        <v>30769893.576545473</v>
      </c>
      <c r="BO39" s="249">
        <f t="shared" ref="BO39:BO45" si="23">SUM(AN39:AY39)</f>
        <v>32000806.062285461</v>
      </c>
      <c r="BP39" s="249">
        <f t="shared" ref="BP39:BP45" si="24">SUM(AZ39:BK39)</f>
        <v>33280838.345507979</v>
      </c>
    </row>
    <row r="40" spans="1:68" x14ac:dyDescent="0.15">
      <c r="A40" t="s">
        <v>222</v>
      </c>
      <c r="B40" t="s">
        <v>212</v>
      </c>
      <c r="C40" s="257">
        <v>0.04</v>
      </c>
      <c r="D40" s="299">
        <f t="shared" ref="D40:AI40" si="25">D39*$C$40</f>
        <v>0</v>
      </c>
      <c r="E40" s="299">
        <f t="shared" si="25"/>
        <v>0</v>
      </c>
      <c r="F40" s="299">
        <f t="shared" si="25"/>
        <v>6337.8088596616981</v>
      </c>
      <c r="G40" s="299">
        <f t="shared" si="25"/>
        <v>11127.657193395298</v>
      </c>
      <c r="H40" s="299">
        <f t="shared" si="25"/>
        <v>19941.499458269205</v>
      </c>
      <c r="I40" s="299">
        <f t="shared" si="25"/>
        <v>29982.238823881598</v>
      </c>
      <c r="J40" s="299">
        <f t="shared" si="25"/>
        <v>40710.370984670371</v>
      </c>
      <c r="K40" s="299">
        <f t="shared" si="25"/>
        <v>53529.525412228511</v>
      </c>
      <c r="L40" s="299">
        <f t="shared" si="25"/>
        <v>63395.849333043006</v>
      </c>
      <c r="M40" s="299">
        <f t="shared" si="25"/>
        <v>72065.788708220309</v>
      </c>
      <c r="N40" s="299">
        <f t="shared" si="25"/>
        <v>95619.113166713505</v>
      </c>
      <c r="O40" s="299">
        <f t="shared" si="25"/>
        <v>103246.95103266694</v>
      </c>
      <c r="P40" s="299">
        <f t="shared" si="25"/>
        <v>45411.839620494291</v>
      </c>
      <c r="Q40" s="299">
        <f t="shared" si="25"/>
        <v>94066.044631113153</v>
      </c>
      <c r="R40" s="299">
        <f t="shared" si="25"/>
        <v>96123.605857163377</v>
      </c>
      <c r="S40" s="299">
        <f t="shared" si="25"/>
        <v>97414.353278270835</v>
      </c>
      <c r="T40" s="299">
        <f t="shared" si="25"/>
        <v>98258.066738488502</v>
      </c>
      <c r="U40" s="299">
        <f t="shared" si="25"/>
        <v>98856.233751002816</v>
      </c>
      <c r="V40" s="299">
        <f t="shared" si="25"/>
        <v>99323.96692273971</v>
      </c>
      <c r="W40" s="299">
        <f t="shared" si="25"/>
        <v>99723.806765723391</v>
      </c>
      <c r="X40" s="299">
        <f t="shared" si="25"/>
        <v>100088.86394654604</v>
      </c>
      <c r="Y40" s="299">
        <f t="shared" si="25"/>
        <v>100436.43709177511</v>
      </c>
      <c r="Z40" s="299">
        <f t="shared" si="25"/>
        <v>120930.6036253674</v>
      </c>
      <c r="AA40" s="299">
        <f t="shared" si="25"/>
        <v>121332.84548956766</v>
      </c>
      <c r="AB40" s="299">
        <f t="shared" si="25"/>
        <v>50722.219771870376</v>
      </c>
      <c r="AC40" s="299">
        <f t="shared" si="25"/>
        <v>101777.94595401586</v>
      </c>
      <c r="AD40" s="299">
        <f t="shared" si="25"/>
        <v>102111.8635557259</v>
      </c>
      <c r="AE40" s="299">
        <f t="shared" si="25"/>
        <v>102446.52369937696</v>
      </c>
      <c r="AF40" s="299">
        <f t="shared" si="25"/>
        <v>102782.09882288685</v>
      </c>
      <c r="AG40" s="299">
        <f t="shared" si="25"/>
        <v>103118.67949786887</v>
      </c>
      <c r="AH40" s="299">
        <f t="shared" si="25"/>
        <v>103456.31412813002</v>
      </c>
      <c r="AI40" s="299">
        <f t="shared" si="25"/>
        <v>103795.02940150323</v>
      </c>
      <c r="AJ40" s="299">
        <f t="shared" ref="AJ40:BK40" si="26">AJ39*$C$40</f>
        <v>104134.84082540861</v>
      </c>
      <c r="AK40" s="299">
        <f t="shared" si="26"/>
        <v>104475.75815394199</v>
      </c>
      <c r="AL40" s="299">
        <f t="shared" si="26"/>
        <v>125781.34582012131</v>
      </c>
      <c r="AM40" s="299">
        <f t="shared" si="26"/>
        <v>126193.12343096911</v>
      </c>
      <c r="AN40" s="299">
        <f t="shared" si="26"/>
        <v>52752.603341841103</v>
      </c>
      <c r="AO40" s="299">
        <f t="shared" si="26"/>
        <v>105850.60376581842</v>
      </c>
      <c r="AP40" s="299">
        <f t="shared" si="26"/>
        <v>106197.13135062448</v>
      </c>
      <c r="AQ40" s="299">
        <f t="shared" si="26"/>
        <v>106544.79325423548</v>
      </c>
      <c r="AR40" s="299">
        <f t="shared" si="26"/>
        <v>106893.5932494366</v>
      </c>
      <c r="AS40" s="299">
        <f t="shared" si="26"/>
        <v>107243.5350925994</v>
      </c>
      <c r="AT40" s="299">
        <f t="shared" si="26"/>
        <v>107594.62253757623</v>
      </c>
      <c r="AU40" s="299">
        <f t="shared" si="26"/>
        <v>107946.85934287659</v>
      </c>
      <c r="AV40" s="299">
        <f t="shared" si="26"/>
        <v>108300.24927538309</v>
      </c>
      <c r="AW40" s="299">
        <f t="shared" si="26"/>
        <v>108654.7961122853</v>
      </c>
      <c r="AX40" s="299">
        <f t="shared" si="26"/>
        <v>130812.60437051413</v>
      </c>
      <c r="AY40" s="299">
        <f t="shared" si="26"/>
        <v>131240.85079822777</v>
      </c>
      <c r="AZ40" s="299">
        <f t="shared" si="26"/>
        <v>54862.70799705571</v>
      </c>
      <c r="BA40" s="299">
        <f t="shared" si="26"/>
        <v>110084.6284537405</v>
      </c>
      <c r="BB40" s="299">
        <f t="shared" si="26"/>
        <v>110445.01688140612</v>
      </c>
      <c r="BC40" s="299">
        <f t="shared" si="26"/>
        <v>110806.58512696179</v>
      </c>
      <c r="BD40" s="299">
        <f t="shared" si="26"/>
        <v>111169.3370528449</v>
      </c>
      <c r="BE40" s="299">
        <f t="shared" si="26"/>
        <v>111533.27653412746</v>
      </c>
      <c r="BF40" s="299">
        <f t="shared" si="26"/>
        <v>111898.40745856242</v>
      </c>
      <c r="BG40" s="299">
        <f t="shared" si="26"/>
        <v>112264.73372662743</v>
      </c>
      <c r="BH40" s="299">
        <f t="shared" si="26"/>
        <v>112632.25925156788</v>
      </c>
      <c r="BI40" s="299">
        <f t="shared" si="26"/>
        <v>113000.98795943955</v>
      </c>
      <c r="BJ40" s="299">
        <f t="shared" si="26"/>
        <v>136045.10854698069</v>
      </c>
      <c r="BK40" s="299">
        <f t="shared" si="26"/>
        <v>136490.48483100481</v>
      </c>
      <c r="BL40" s="247">
        <f t="shared" si="20"/>
        <v>495956.80297275045</v>
      </c>
      <c r="BM40" s="247">
        <f t="shared" si="21"/>
        <v>1171966.6677182522</v>
      </c>
      <c r="BN40" s="247">
        <f t="shared" si="22"/>
        <v>1230795.7430618191</v>
      </c>
      <c r="BO40" s="247">
        <f t="shared" si="23"/>
        <v>1280032.2424914187</v>
      </c>
      <c r="BP40" s="247">
        <f t="shared" si="24"/>
        <v>1331233.5338203192</v>
      </c>
    </row>
    <row r="41" spans="1:68" x14ac:dyDescent="0.15">
      <c r="A41" s="232" t="s">
        <v>223</v>
      </c>
      <c r="B41" t="s">
        <v>212</v>
      </c>
      <c r="D41" s="247">
        <f>'Команда и TtM'!D52</f>
        <v>1212652</v>
      </c>
      <c r="E41" s="247">
        <f>'Команда и TtM'!E52</f>
        <v>1212652</v>
      </c>
      <c r="F41" s="247">
        <f>'Команда и TtM'!F52</f>
        <v>1239552</v>
      </c>
      <c r="G41" s="247">
        <f>'Команда и TtM'!G52</f>
        <v>1239552</v>
      </c>
      <c r="H41" s="247">
        <f>'Команда и TtM'!H52</f>
        <v>1609696</v>
      </c>
      <c r="I41" s="247">
        <f>'Команда и TtM'!I52</f>
        <v>1532224</v>
      </c>
      <c r="J41" s="247">
        <f>'Команда и TtM'!J52</f>
        <v>1532224</v>
      </c>
      <c r="K41" s="247">
        <f>'Команда и TtM'!K52</f>
        <v>586420</v>
      </c>
      <c r="L41" s="247">
        <f>'Команда и TtM'!L52</f>
        <v>586420</v>
      </c>
      <c r="M41" s="247">
        <f>'Команда и TtM'!M52</f>
        <v>586420</v>
      </c>
      <c r="N41" s="247">
        <f>'Команда и TtM'!N52</f>
        <v>586420</v>
      </c>
      <c r="O41" s="247">
        <f>'Команда и TtM'!O52</f>
        <v>586420</v>
      </c>
      <c r="P41" s="247">
        <f>'Команда и TtM'!P52</f>
        <v>280922.07999999996</v>
      </c>
      <c r="Q41" s="247">
        <f>'Команда и TtM'!Q52</f>
        <v>280922.07999999996</v>
      </c>
      <c r="R41" s="247">
        <f>'Команда и TtM'!R52</f>
        <v>280922.07999999996</v>
      </c>
      <c r="S41" s="247">
        <f>'Команда и TtM'!S52</f>
        <v>280922.07999999996</v>
      </c>
      <c r="T41" s="247">
        <f>'Команда и TtM'!T52</f>
        <v>280922.07999999996</v>
      </c>
      <c r="U41" s="247">
        <f>'Команда и TtM'!U52</f>
        <v>280922.07999999996</v>
      </c>
      <c r="V41" s="247">
        <f>'Команда и TtM'!V52</f>
        <v>280922.07999999996</v>
      </c>
      <c r="W41" s="247">
        <f>'Команда и TtM'!W52</f>
        <v>280922.07999999996</v>
      </c>
      <c r="X41" s="247">
        <f>'Команда и TtM'!X52</f>
        <v>280922.07999999996</v>
      </c>
      <c r="Y41" s="247">
        <f>'Команда и TtM'!Y52</f>
        <v>280922.07999999996</v>
      </c>
      <c r="Z41" s="247">
        <f>'Команда и TtM'!Z52</f>
        <v>280922.07999999996</v>
      </c>
      <c r="AA41" s="247">
        <f>'Команда и TtM'!AA52</f>
        <v>280922.07999999996</v>
      </c>
      <c r="AB41" s="247">
        <f>'Команда и TtM'!AB52</f>
        <v>300586.62560000003</v>
      </c>
      <c r="AC41" s="247">
        <f>'Команда и TtM'!AC52</f>
        <v>300586.62560000003</v>
      </c>
      <c r="AD41" s="247">
        <f>'Команда и TtM'!AD52</f>
        <v>300586.62560000003</v>
      </c>
      <c r="AE41" s="247">
        <f>'Команда и TtM'!AE52</f>
        <v>300586.62560000003</v>
      </c>
      <c r="AF41" s="247">
        <f>'Команда и TtM'!AF52</f>
        <v>300586.62560000003</v>
      </c>
      <c r="AG41" s="247">
        <f>'Команда и TtM'!AG52</f>
        <v>300586.62560000003</v>
      </c>
      <c r="AH41" s="247">
        <f>'Команда и TtM'!AH52</f>
        <v>300586.62560000003</v>
      </c>
      <c r="AI41" s="247">
        <f>'Команда и TtM'!AI52</f>
        <v>300586.62560000003</v>
      </c>
      <c r="AJ41" s="247">
        <f>'Команда и TtM'!AJ52</f>
        <v>300586.62560000003</v>
      </c>
      <c r="AK41" s="247">
        <f>'Команда и TtM'!AK52</f>
        <v>300586.62560000003</v>
      </c>
      <c r="AL41" s="247">
        <f>'Команда и TtM'!AL52</f>
        <v>300586.62560000003</v>
      </c>
      <c r="AM41" s="247">
        <f>'Команда и TtM'!AM52</f>
        <v>300586.62560000003</v>
      </c>
      <c r="AN41" s="247">
        <f>'Команда и TtM'!AN52</f>
        <v>321627.68939199997</v>
      </c>
      <c r="AO41" s="247">
        <f>'Команда и TtM'!AO52</f>
        <v>321627.68939199997</v>
      </c>
      <c r="AP41" s="247">
        <f>'Команда и TtM'!AP52</f>
        <v>321627.68939199997</v>
      </c>
      <c r="AQ41" s="247">
        <f>'Команда и TtM'!AQ52</f>
        <v>321627.68939199997</v>
      </c>
      <c r="AR41" s="247">
        <f>'Команда и TtM'!AR52</f>
        <v>321627.68939199997</v>
      </c>
      <c r="AS41" s="247">
        <f>'Команда и TtM'!AS52</f>
        <v>321627.68939199997</v>
      </c>
      <c r="AT41" s="247">
        <f>'Команда и TtM'!AT52</f>
        <v>321627.68939199997</v>
      </c>
      <c r="AU41" s="247">
        <f>'Команда и TtM'!AU52</f>
        <v>321627.68939199997</v>
      </c>
      <c r="AV41" s="247">
        <f>'Команда и TtM'!AV52</f>
        <v>321627.68939199997</v>
      </c>
      <c r="AW41" s="247">
        <f>'Команда и TtM'!AW52</f>
        <v>321627.68939199997</v>
      </c>
      <c r="AX41" s="247">
        <f>'Команда и TtM'!AX52</f>
        <v>321627.68939199997</v>
      </c>
      <c r="AY41" s="247">
        <f>'Команда и TtM'!AY52</f>
        <v>321627.68939199997</v>
      </c>
      <c r="AZ41" s="247">
        <f>'Команда и TtM'!AZ52</f>
        <v>344141.62764944002</v>
      </c>
      <c r="BA41" s="247">
        <f>'Команда и TtM'!BA52</f>
        <v>344141.62764944002</v>
      </c>
      <c r="BB41" s="247">
        <f>'Команда и TtM'!BB52</f>
        <v>344141.62764944002</v>
      </c>
      <c r="BC41" s="247">
        <f>'Команда и TtM'!BC52</f>
        <v>344141.62764944002</v>
      </c>
      <c r="BD41" s="247">
        <f>'Команда и TtM'!BD52</f>
        <v>344141.62764944002</v>
      </c>
      <c r="BE41" s="247">
        <f>'Команда и TtM'!BE52</f>
        <v>344141.62764944002</v>
      </c>
      <c r="BF41" s="247">
        <f>'Команда и TtM'!BF52</f>
        <v>344141.62764944002</v>
      </c>
      <c r="BG41" s="247">
        <f>'Команда и TtM'!BG52</f>
        <v>344141.62764944002</v>
      </c>
      <c r="BH41" s="247">
        <f>'Команда и TtM'!BH52</f>
        <v>344141.62764944002</v>
      </c>
      <c r="BI41" s="247">
        <f>'Команда и TtM'!BI52</f>
        <v>344141.62764944002</v>
      </c>
      <c r="BJ41" s="247">
        <f>'Команда и TtM'!BJ52</f>
        <v>344141.62764944002</v>
      </c>
      <c r="BK41" s="247">
        <f>'Команда и TtM'!BK52</f>
        <v>344141.62764944002</v>
      </c>
      <c r="BL41" s="247">
        <f t="shared" si="20"/>
        <v>12510652</v>
      </c>
      <c r="BM41" s="247">
        <f t="shared" si="21"/>
        <v>3371064.9600000004</v>
      </c>
      <c r="BN41" s="247">
        <f t="shared" si="22"/>
        <v>3607039.5071999994</v>
      </c>
      <c r="BO41" s="247">
        <f t="shared" si="23"/>
        <v>3859532.2727039997</v>
      </c>
      <c r="BP41" s="247">
        <f t="shared" si="24"/>
        <v>4129699.53179328</v>
      </c>
    </row>
    <row r="42" spans="1:68" x14ac:dyDescent="0.15">
      <c r="A42" t="s">
        <v>224</v>
      </c>
      <c r="B42" t="s">
        <v>212</v>
      </c>
      <c r="D42" s="247" t="s">
        <v>225</v>
      </c>
      <c r="E42" s="247" t="s">
        <v>225</v>
      </c>
      <c r="F42" s="247" t="s">
        <v>225</v>
      </c>
      <c r="G42" s="247" t="s">
        <v>225</v>
      </c>
      <c r="H42" s="247" t="s">
        <v>225</v>
      </c>
      <c r="I42" s="247" t="s">
        <v>225</v>
      </c>
      <c r="J42" s="247" t="s">
        <v>225</v>
      </c>
      <c r="K42" s="247">
        <f t="shared" ref="K42:V42" si="27">$B$11/12</f>
        <v>333333.33333333331</v>
      </c>
      <c r="L42" s="247">
        <f t="shared" si="27"/>
        <v>333333.33333333331</v>
      </c>
      <c r="M42" s="247">
        <f t="shared" si="27"/>
        <v>333333.33333333331</v>
      </c>
      <c r="N42" s="247">
        <f t="shared" si="27"/>
        <v>333333.33333333331</v>
      </c>
      <c r="O42" s="247">
        <f t="shared" si="27"/>
        <v>333333.33333333331</v>
      </c>
      <c r="P42" s="247">
        <f t="shared" si="27"/>
        <v>333333.33333333331</v>
      </c>
      <c r="Q42" s="247">
        <f t="shared" si="27"/>
        <v>333333.33333333331</v>
      </c>
      <c r="R42" s="247">
        <f t="shared" si="27"/>
        <v>333333.33333333331</v>
      </c>
      <c r="S42" s="247">
        <f t="shared" si="27"/>
        <v>333333.33333333331</v>
      </c>
      <c r="T42" s="247">
        <f t="shared" si="27"/>
        <v>333333.33333333331</v>
      </c>
      <c r="U42" s="247">
        <f t="shared" si="27"/>
        <v>333333.33333333331</v>
      </c>
      <c r="V42" s="247">
        <f t="shared" si="27"/>
        <v>333333.33333333331</v>
      </c>
      <c r="W42" s="247">
        <f t="shared" ref="W42:BK42" si="28">$B$12/12</f>
        <v>250000</v>
      </c>
      <c r="X42" s="247">
        <f t="shared" si="28"/>
        <v>250000</v>
      </c>
      <c r="Y42" s="247">
        <f t="shared" si="28"/>
        <v>250000</v>
      </c>
      <c r="Z42" s="247">
        <f t="shared" si="28"/>
        <v>250000</v>
      </c>
      <c r="AA42" s="247">
        <f t="shared" si="28"/>
        <v>250000</v>
      </c>
      <c r="AB42" s="247">
        <f t="shared" si="28"/>
        <v>250000</v>
      </c>
      <c r="AC42" s="247">
        <f t="shared" si="28"/>
        <v>250000</v>
      </c>
      <c r="AD42" s="247">
        <f t="shared" si="28"/>
        <v>250000</v>
      </c>
      <c r="AE42" s="247">
        <f t="shared" si="28"/>
        <v>250000</v>
      </c>
      <c r="AF42" s="247">
        <f t="shared" si="28"/>
        <v>250000</v>
      </c>
      <c r="AG42" s="247">
        <f t="shared" si="28"/>
        <v>250000</v>
      </c>
      <c r="AH42" s="247">
        <f t="shared" si="28"/>
        <v>250000</v>
      </c>
      <c r="AI42" s="247">
        <f t="shared" si="28"/>
        <v>250000</v>
      </c>
      <c r="AJ42" s="247">
        <f t="shared" si="28"/>
        <v>250000</v>
      </c>
      <c r="AK42" s="247">
        <f t="shared" si="28"/>
        <v>250000</v>
      </c>
      <c r="AL42" s="247">
        <f t="shared" si="28"/>
        <v>250000</v>
      </c>
      <c r="AM42" s="247">
        <f t="shared" si="28"/>
        <v>250000</v>
      </c>
      <c r="AN42" s="247">
        <f t="shared" si="28"/>
        <v>250000</v>
      </c>
      <c r="AO42" s="247">
        <f t="shared" si="28"/>
        <v>250000</v>
      </c>
      <c r="AP42" s="247">
        <f t="shared" si="28"/>
        <v>250000</v>
      </c>
      <c r="AQ42" s="247">
        <f t="shared" si="28"/>
        <v>250000</v>
      </c>
      <c r="AR42" s="247">
        <f t="shared" si="28"/>
        <v>250000</v>
      </c>
      <c r="AS42" s="247">
        <f t="shared" si="28"/>
        <v>250000</v>
      </c>
      <c r="AT42" s="247">
        <f t="shared" si="28"/>
        <v>250000</v>
      </c>
      <c r="AU42" s="247">
        <f t="shared" si="28"/>
        <v>250000</v>
      </c>
      <c r="AV42" s="247">
        <f t="shared" si="28"/>
        <v>250000</v>
      </c>
      <c r="AW42" s="247">
        <f t="shared" si="28"/>
        <v>250000</v>
      </c>
      <c r="AX42" s="247">
        <f t="shared" si="28"/>
        <v>250000</v>
      </c>
      <c r="AY42" s="247">
        <f t="shared" si="28"/>
        <v>250000</v>
      </c>
      <c r="AZ42" s="247">
        <f t="shared" si="28"/>
        <v>250000</v>
      </c>
      <c r="BA42" s="247">
        <f t="shared" si="28"/>
        <v>250000</v>
      </c>
      <c r="BB42" s="247">
        <f t="shared" si="28"/>
        <v>250000</v>
      </c>
      <c r="BC42" s="247">
        <f t="shared" si="28"/>
        <v>250000</v>
      </c>
      <c r="BD42" s="247">
        <f t="shared" si="28"/>
        <v>250000</v>
      </c>
      <c r="BE42" s="247">
        <f t="shared" si="28"/>
        <v>250000</v>
      </c>
      <c r="BF42" s="247">
        <f t="shared" si="28"/>
        <v>250000</v>
      </c>
      <c r="BG42" s="247">
        <f t="shared" si="28"/>
        <v>250000</v>
      </c>
      <c r="BH42" s="247">
        <f t="shared" si="28"/>
        <v>250000</v>
      </c>
      <c r="BI42" s="247">
        <f t="shared" si="28"/>
        <v>250000</v>
      </c>
      <c r="BJ42" s="247">
        <f t="shared" si="28"/>
        <v>250000</v>
      </c>
      <c r="BK42" s="247">
        <f t="shared" si="28"/>
        <v>250000</v>
      </c>
      <c r="BL42" s="247">
        <f t="shared" si="20"/>
        <v>1666666.6666666665</v>
      </c>
      <c r="BM42" s="247">
        <f t="shared" si="21"/>
        <v>3583333.333333333</v>
      </c>
      <c r="BN42" s="247">
        <f t="shared" si="22"/>
        <v>3000000</v>
      </c>
      <c r="BO42" s="247">
        <f t="shared" si="23"/>
        <v>3000000</v>
      </c>
      <c r="BP42" s="247">
        <f t="shared" si="24"/>
        <v>3000000</v>
      </c>
    </row>
    <row r="43" spans="1:68" x14ac:dyDescent="0.15">
      <c r="A43" t="s">
        <v>226</v>
      </c>
      <c r="B43" t="s">
        <v>212</v>
      </c>
      <c r="D43" s="247">
        <f>$B$14/12</f>
        <v>125000</v>
      </c>
      <c r="E43" s="247">
        <f>$B$14/12</f>
        <v>125000</v>
      </c>
      <c r="F43" s="247">
        <f>$B$14/12+7*$B$15</f>
        <v>825000</v>
      </c>
      <c r="G43" s="247">
        <f>$B$14/12</f>
        <v>125000</v>
      </c>
      <c r="H43" s="247">
        <f>$B$14/12</f>
        <v>125000</v>
      </c>
      <c r="I43" s="247">
        <f>$B$14/12</f>
        <v>125000</v>
      </c>
      <c r="J43" s="247">
        <f>$B$14/12</f>
        <v>125000</v>
      </c>
      <c r="K43" s="247">
        <f>$B$14/12+3*$B$15</f>
        <v>425000</v>
      </c>
      <c r="L43" s="247">
        <f>$B$14/12</f>
        <v>125000</v>
      </c>
      <c r="M43" s="247">
        <f>$B$14/12</f>
        <v>125000</v>
      </c>
      <c r="N43" s="247">
        <f>$B$14/12</f>
        <v>125000</v>
      </c>
      <c r="O43" s="247">
        <f>$B$14/12</f>
        <v>125000</v>
      </c>
      <c r="P43" s="247">
        <f>$B$14/12</f>
        <v>125000</v>
      </c>
      <c r="Q43" s="247">
        <f>$B$14/12+6*$B$15</f>
        <v>725000</v>
      </c>
      <c r="R43" s="247">
        <f t="shared" ref="R43:BK43" si="29">$B$14/12</f>
        <v>125000</v>
      </c>
      <c r="S43" s="247">
        <f t="shared" si="29"/>
        <v>125000</v>
      </c>
      <c r="T43" s="247">
        <f t="shared" si="29"/>
        <v>125000</v>
      </c>
      <c r="U43" s="247">
        <f t="shared" si="29"/>
        <v>125000</v>
      </c>
      <c r="V43" s="247">
        <f t="shared" si="29"/>
        <v>125000</v>
      </c>
      <c r="W43" s="247">
        <f t="shared" si="29"/>
        <v>125000</v>
      </c>
      <c r="X43" s="247">
        <f t="shared" si="29"/>
        <v>125000</v>
      </c>
      <c r="Y43" s="247">
        <f t="shared" si="29"/>
        <v>125000</v>
      </c>
      <c r="Z43" s="247">
        <f t="shared" si="29"/>
        <v>125000</v>
      </c>
      <c r="AA43" s="247">
        <f t="shared" si="29"/>
        <v>125000</v>
      </c>
      <c r="AB43" s="247">
        <f t="shared" si="29"/>
        <v>125000</v>
      </c>
      <c r="AC43" s="247">
        <f t="shared" si="29"/>
        <v>125000</v>
      </c>
      <c r="AD43" s="247">
        <f t="shared" si="29"/>
        <v>125000</v>
      </c>
      <c r="AE43" s="247">
        <f t="shared" si="29"/>
        <v>125000</v>
      </c>
      <c r="AF43" s="247">
        <f t="shared" si="29"/>
        <v>125000</v>
      </c>
      <c r="AG43" s="247">
        <f t="shared" si="29"/>
        <v>125000</v>
      </c>
      <c r="AH43" s="247">
        <f t="shared" si="29"/>
        <v>125000</v>
      </c>
      <c r="AI43" s="247">
        <f t="shared" si="29"/>
        <v>125000</v>
      </c>
      <c r="AJ43" s="247">
        <f t="shared" si="29"/>
        <v>125000</v>
      </c>
      <c r="AK43" s="247">
        <f t="shared" si="29"/>
        <v>125000</v>
      </c>
      <c r="AL43" s="247">
        <f t="shared" si="29"/>
        <v>125000</v>
      </c>
      <c r="AM43" s="247">
        <f t="shared" si="29"/>
        <v>125000</v>
      </c>
      <c r="AN43" s="247">
        <f t="shared" si="29"/>
        <v>125000</v>
      </c>
      <c r="AO43" s="247">
        <f t="shared" si="29"/>
        <v>125000</v>
      </c>
      <c r="AP43" s="247">
        <f t="shared" si="29"/>
        <v>125000</v>
      </c>
      <c r="AQ43" s="247">
        <f t="shared" si="29"/>
        <v>125000</v>
      </c>
      <c r="AR43" s="247">
        <f t="shared" si="29"/>
        <v>125000</v>
      </c>
      <c r="AS43" s="247">
        <f t="shared" si="29"/>
        <v>125000</v>
      </c>
      <c r="AT43" s="247">
        <f t="shared" si="29"/>
        <v>125000</v>
      </c>
      <c r="AU43" s="247">
        <f t="shared" si="29"/>
        <v>125000</v>
      </c>
      <c r="AV43" s="247">
        <f t="shared" si="29"/>
        <v>125000</v>
      </c>
      <c r="AW43" s="247">
        <f t="shared" si="29"/>
        <v>125000</v>
      </c>
      <c r="AX43" s="247">
        <f t="shared" si="29"/>
        <v>125000</v>
      </c>
      <c r="AY43" s="247">
        <f t="shared" si="29"/>
        <v>125000</v>
      </c>
      <c r="AZ43" s="247">
        <f t="shared" si="29"/>
        <v>125000</v>
      </c>
      <c r="BA43" s="247">
        <f t="shared" si="29"/>
        <v>125000</v>
      </c>
      <c r="BB43" s="247">
        <f t="shared" si="29"/>
        <v>125000</v>
      </c>
      <c r="BC43" s="247">
        <f t="shared" si="29"/>
        <v>125000</v>
      </c>
      <c r="BD43" s="247">
        <f t="shared" si="29"/>
        <v>125000</v>
      </c>
      <c r="BE43" s="247">
        <f t="shared" si="29"/>
        <v>125000</v>
      </c>
      <c r="BF43" s="247">
        <f t="shared" si="29"/>
        <v>125000</v>
      </c>
      <c r="BG43" s="247">
        <f t="shared" si="29"/>
        <v>125000</v>
      </c>
      <c r="BH43" s="247">
        <f t="shared" si="29"/>
        <v>125000</v>
      </c>
      <c r="BI43" s="247">
        <f t="shared" si="29"/>
        <v>125000</v>
      </c>
      <c r="BJ43" s="247">
        <f t="shared" si="29"/>
        <v>125000</v>
      </c>
      <c r="BK43" s="247">
        <f t="shared" si="29"/>
        <v>125000</v>
      </c>
      <c r="BL43" s="247">
        <f t="shared" si="20"/>
        <v>2500000</v>
      </c>
      <c r="BM43" s="247">
        <f t="shared" si="21"/>
        <v>2100000</v>
      </c>
      <c r="BN43" s="247">
        <f t="shared" si="22"/>
        <v>1500000</v>
      </c>
      <c r="BO43" s="247">
        <f t="shared" si="23"/>
        <v>1500000</v>
      </c>
      <c r="BP43" s="247">
        <f t="shared" si="24"/>
        <v>1500000</v>
      </c>
    </row>
    <row r="44" spans="1:68" x14ac:dyDescent="0.15">
      <c r="A44" t="s">
        <v>227</v>
      </c>
      <c r="B44" t="s">
        <v>212</v>
      </c>
      <c r="D44" s="247">
        <f t="shared" ref="D44:AI44" si="30">D41*$B$16</f>
        <v>60632.600000000006</v>
      </c>
      <c r="E44" s="247">
        <f t="shared" si="30"/>
        <v>60632.600000000006</v>
      </c>
      <c r="F44" s="247">
        <f t="shared" si="30"/>
        <v>61977.600000000006</v>
      </c>
      <c r="G44" s="247">
        <f t="shared" si="30"/>
        <v>61977.600000000006</v>
      </c>
      <c r="H44" s="247">
        <f t="shared" si="30"/>
        <v>80484.800000000003</v>
      </c>
      <c r="I44" s="247">
        <f t="shared" si="30"/>
        <v>76611.199999999997</v>
      </c>
      <c r="J44" s="247">
        <f t="shared" si="30"/>
        <v>76611.199999999997</v>
      </c>
      <c r="K44" s="247">
        <f t="shared" si="30"/>
        <v>29321</v>
      </c>
      <c r="L44" s="247">
        <f t="shared" si="30"/>
        <v>29321</v>
      </c>
      <c r="M44" s="247">
        <f t="shared" si="30"/>
        <v>29321</v>
      </c>
      <c r="N44" s="247">
        <f t="shared" si="30"/>
        <v>29321</v>
      </c>
      <c r="O44" s="247">
        <f t="shared" si="30"/>
        <v>29321</v>
      </c>
      <c r="P44" s="247">
        <f t="shared" si="30"/>
        <v>14046.103999999999</v>
      </c>
      <c r="Q44" s="247">
        <f t="shared" si="30"/>
        <v>14046.103999999999</v>
      </c>
      <c r="R44" s="247">
        <f t="shared" si="30"/>
        <v>14046.103999999999</v>
      </c>
      <c r="S44" s="247">
        <f t="shared" si="30"/>
        <v>14046.103999999999</v>
      </c>
      <c r="T44" s="247">
        <f t="shared" si="30"/>
        <v>14046.103999999999</v>
      </c>
      <c r="U44" s="247">
        <f t="shared" si="30"/>
        <v>14046.103999999999</v>
      </c>
      <c r="V44" s="247">
        <f t="shared" si="30"/>
        <v>14046.103999999999</v>
      </c>
      <c r="W44" s="247">
        <f t="shared" si="30"/>
        <v>14046.103999999999</v>
      </c>
      <c r="X44" s="247">
        <f t="shared" si="30"/>
        <v>14046.103999999999</v>
      </c>
      <c r="Y44" s="247">
        <f t="shared" si="30"/>
        <v>14046.103999999999</v>
      </c>
      <c r="Z44" s="247">
        <f t="shared" si="30"/>
        <v>14046.103999999999</v>
      </c>
      <c r="AA44" s="247">
        <f t="shared" si="30"/>
        <v>14046.103999999999</v>
      </c>
      <c r="AB44" s="247">
        <f t="shared" si="30"/>
        <v>15029.331280000002</v>
      </c>
      <c r="AC44" s="247">
        <f t="shared" si="30"/>
        <v>15029.331280000002</v>
      </c>
      <c r="AD44" s="247">
        <f t="shared" si="30"/>
        <v>15029.331280000002</v>
      </c>
      <c r="AE44" s="247">
        <f t="shared" si="30"/>
        <v>15029.331280000002</v>
      </c>
      <c r="AF44" s="247">
        <f t="shared" si="30"/>
        <v>15029.331280000002</v>
      </c>
      <c r="AG44" s="247">
        <f t="shared" si="30"/>
        <v>15029.331280000002</v>
      </c>
      <c r="AH44" s="247">
        <f t="shared" si="30"/>
        <v>15029.331280000002</v>
      </c>
      <c r="AI44" s="247">
        <f t="shared" si="30"/>
        <v>15029.331280000002</v>
      </c>
      <c r="AJ44" s="247">
        <f t="shared" ref="AJ44:BK44" si="31">AJ41*$B$16</f>
        <v>15029.331280000002</v>
      </c>
      <c r="AK44" s="247">
        <f t="shared" si="31"/>
        <v>15029.331280000002</v>
      </c>
      <c r="AL44" s="247">
        <f t="shared" si="31"/>
        <v>15029.331280000002</v>
      </c>
      <c r="AM44" s="247">
        <f t="shared" si="31"/>
        <v>15029.331280000002</v>
      </c>
      <c r="AN44" s="247">
        <f t="shared" si="31"/>
        <v>16081.3844696</v>
      </c>
      <c r="AO44" s="247">
        <f t="shared" si="31"/>
        <v>16081.3844696</v>
      </c>
      <c r="AP44" s="247">
        <f t="shared" si="31"/>
        <v>16081.3844696</v>
      </c>
      <c r="AQ44" s="247">
        <f t="shared" si="31"/>
        <v>16081.3844696</v>
      </c>
      <c r="AR44" s="247">
        <f t="shared" si="31"/>
        <v>16081.3844696</v>
      </c>
      <c r="AS44" s="247">
        <f t="shared" si="31"/>
        <v>16081.3844696</v>
      </c>
      <c r="AT44" s="247">
        <f t="shared" si="31"/>
        <v>16081.3844696</v>
      </c>
      <c r="AU44" s="247">
        <f t="shared" si="31"/>
        <v>16081.3844696</v>
      </c>
      <c r="AV44" s="247">
        <f t="shared" si="31"/>
        <v>16081.3844696</v>
      </c>
      <c r="AW44" s="247">
        <f t="shared" si="31"/>
        <v>16081.3844696</v>
      </c>
      <c r="AX44" s="247">
        <f t="shared" si="31"/>
        <v>16081.3844696</v>
      </c>
      <c r="AY44" s="247">
        <f t="shared" si="31"/>
        <v>16081.3844696</v>
      </c>
      <c r="AZ44" s="247">
        <f t="shared" si="31"/>
        <v>17207.081382472003</v>
      </c>
      <c r="BA44" s="247">
        <f t="shared" si="31"/>
        <v>17207.081382472003</v>
      </c>
      <c r="BB44" s="247">
        <f t="shared" si="31"/>
        <v>17207.081382472003</v>
      </c>
      <c r="BC44" s="247">
        <f t="shared" si="31"/>
        <v>17207.081382472003</v>
      </c>
      <c r="BD44" s="247">
        <f t="shared" si="31"/>
        <v>17207.081382472003</v>
      </c>
      <c r="BE44" s="247">
        <f t="shared" si="31"/>
        <v>17207.081382472003</v>
      </c>
      <c r="BF44" s="247">
        <f t="shared" si="31"/>
        <v>17207.081382472003</v>
      </c>
      <c r="BG44" s="247">
        <f t="shared" si="31"/>
        <v>17207.081382472003</v>
      </c>
      <c r="BH44" s="247">
        <f t="shared" si="31"/>
        <v>17207.081382472003</v>
      </c>
      <c r="BI44" s="247">
        <f t="shared" si="31"/>
        <v>17207.081382472003</v>
      </c>
      <c r="BJ44" s="247">
        <f t="shared" si="31"/>
        <v>17207.081382472003</v>
      </c>
      <c r="BK44" s="247">
        <f t="shared" si="31"/>
        <v>17207.081382472003</v>
      </c>
      <c r="BL44" s="247">
        <f t="shared" si="20"/>
        <v>625532.60000000009</v>
      </c>
      <c r="BM44" s="247">
        <f t="shared" si="21"/>
        <v>168553.24799999993</v>
      </c>
      <c r="BN44" s="247">
        <f t="shared" si="22"/>
        <v>180351.97536000004</v>
      </c>
      <c r="BO44" s="247">
        <f t="shared" si="23"/>
        <v>192976.61363519996</v>
      </c>
      <c r="BP44" s="247">
        <f t="shared" si="24"/>
        <v>206484.97658966409</v>
      </c>
    </row>
    <row r="45" spans="1:68" x14ac:dyDescent="0.15">
      <c r="A45" s="241" t="s">
        <v>228</v>
      </c>
      <c r="D45" s="249">
        <f t="shared" ref="D45:AI45" si="32">SUM(D40:D44)</f>
        <v>1398284.6</v>
      </c>
      <c r="E45" s="249">
        <f t="shared" si="32"/>
        <v>1398284.6</v>
      </c>
      <c r="F45" s="249">
        <f t="shared" si="32"/>
        <v>2132867.4088596618</v>
      </c>
      <c r="G45" s="249">
        <f t="shared" si="32"/>
        <v>1437657.2571933954</v>
      </c>
      <c r="H45" s="249">
        <f t="shared" si="32"/>
        <v>1835122.2994582693</v>
      </c>
      <c r="I45" s="249">
        <f t="shared" si="32"/>
        <v>1763817.4388238816</v>
      </c>
      <c r="J45" s="249">
        <f t="shared" si="32"/>
        <v>1774545.5709846704</v>
      </c>
      <c r="K45" s="249">
        <f t="shared" si="32"/>
        <v>1427603.8587455619</v>
      </c>
      <c r="L45" s="249">
        <f t="shared" si="32"/>
        <v>1137470.1826663762</v>
      </c>
      <c r="M45" s="249">
        <f t="shared" si="32"/>
        <v>1146140.1220415537</v>
      </c>
      <c r="N45" s="249">
        <f t="shared" si="32"/>
        <v>1169693.4465000469</v>
      </c>
      <c r="O45" s="249">
        <f t="shared" si="32"/>
        <v>1177321.2843660002</v>
      </c>
      <c r="P45" s="249">
        <f t="shared" si="32"/>
        <v>798713.35695382766</v>
      </c>
      <c r="Q45" s="249">
        <f t="shared" si="32"/>
        <v>1447367.5619644464</v>
      </c>
      <c r="R45" s="249">
        <f t="shared" si="32"/>
        <v>849425.1231904967</v>
      </c>
      <c r="S45" s="249">
        <f t="shared" si="32"/>
        <v>850715.87061160407</v>
      </c>
      <c r="T45" s="249">
        <f t="shared" si="32"/>
        <v>851559.58407182177</v>
      </c>
      <c r="U45" s="249">
        <f t="shared" si="32"/>
        <v>852157.75108433608</v>
      </c>
      <c r="V45" s="249">
        <f t="shared" si="32"/>
        <v>852625.48425607302</v>
      </c>
      <c r="W45" s="249">
        <f t="shared" si="32"/>
        <v>769691.9907657234</v>
      </c>
      <c r="X45" s="249">
        <f t="shared" si="32"/>
        <v>770057.04794654599</v>
      </c>
      <c r="Y45" s="249">
        <f t="shared" si="32"/>
        <v>770404.62109177513</v>
      </c>
      <c r="Z45" s="249">
        <f t="shared" si="32"/>
        <v>790898.7876253674</v>
      </c>
      <c r="AA45" s="249">
        <f t="shared" si="32"/>
        <v>791301.02948956774</v>
      </c>
      <c r="AB45" s="249">
        <f t="shared" si="32"/>
        <v>741338.17665187037</v>
      </c>
      <c r="AC45" s="249">
        <f t="shared" si="32"/>
        <v>792393.9028340159</v>
      </c>
      <c r="AD45" s="249">
        <f t="shared" si="32"/>
        <v>792727.82043572597</v>
      </c>
      <c r="AE45" s="249">
        <f t="shared" si="32"/>
        <v>793062.48057937704</v>
      </c>
      <c r="AF45" s="249">
        <f t="shared" si="32"/>
        <v>793398.05570288689</v>
      </c>
      <c r="AG45" s="249">
        <f t="shared" si="32"/>
        <v>793734.63637786894</v>
      </c>
      <c r="AH45" s="249">
        <f t="shared" si="32"/>
        <v>794072.27100813016</v>
      </c>
      <c r="AI45" s="249">
        <f t="shared" si="32"/>
        <v>794410.98628150322</v>
      </c>
      <c r="AJ45" s="249">
        <f t="shared" ref="AJ45:BK45" si="33">SUM(AJ40:AJ44)</f>
        <v>794750.79770540865</v>
      </c>
      <c r="AK45" s="249">
        <f t="shared" si="33"/>
        <v>795091.71503394214</v>
      </c>
      <c r="AL45" s="249">
        <f t="shared" si="33"/>
        <v>816397.30270012142</v>
      </c>
      <c r="AM45" s="249">
        <f t="shared" si="33"/>
        <v>816809.08031096915</v>
      </c>
      <c r="AN45" s="249">
        <f t="shared" si="33"/>
        <v>765461.67720344116</v>
      </c>
      <c r="AO45" s="249">
        <f t="shared" si="33"/>
        <v>818559.67762741842</v>
      </c>
      <c r="AP45" s="249">
        <f t="shared" si="33"/>
        <v>818906.20521222451</v>
      </c>
      <c r="AQ45" s="249">
        <f t="shared" si="33"/>
        <v>819253.86711583554</v>
      </c>
      <c r="AR45" s="249">
        <f t="shared" si="33"/>
        <v>819602.6671110366</v>
      </c>
      <c r="AS45" s="249">
        <f t="shared" si="33"/>
        <v>819952.60895419947</v>
      </c>
      <c r="AT45" s="249">
        <f t="shared" si="33"/>
        <v>820303.69639917626</v>
      </c>
      <c r="AU45" s="249">
        <f t="shared" si="33"/>
        <v>820655.93320447661</v>
      </c>
      <c r="AV45" s="249">
        <f t="shared" si="33"/>
        <v>821009.32313698309</v>
      </c>
      <c r="AW45" s="249">
        <f t="shared" si="33"/>
        <v>821363.86997388524</v>
      </c>
      <c r="AX45" s="249">
        <f t="shared" si="33"/>
        <v>843521.67823211418</v>
      </c>
      <c r="AY45" s="249">
        <f t="shared" si="33"/>
        <v>843949.92465982784</v>
      </c>
      <c r="AZ45" s="249">
        <f t="shared" si="33"/>
        <v>791211.41702896764</v>
      </c>
      <c r="BA45" s="249">
        <f t="shared" si="33"/>
        <v>846433.33748565253</v>
      </c>
      <c r="BB45" s="249">
        <f t="shared" si="33"/>
        <v>846793.72591331811</v>
      </c>
      <c r="BC45" s="249">
        <f t="shared" si="33"/>
        <v>847155.29415887373</v>
      </c>
      <c r="BD45" s="249">
        <f t="shared" si="33"/>
        <v>847518.04608475685</v>
      </c>
      <c r="BE45" s="249">
        <f t="shared" si="33"/>
        <v>847881.98556603945</v>
      </c>
      <c r="BF45" s="249">
        <f t="shared" si="33"/>
        <v>848247.11649047432</v>
      </c>
      <c r="BG45" s="249">
        <f t="shared" si="33"/>
        <v>848613.44275853934</v>
      </c>
      <c r="BH45" s="249">
        <f t="shared" si="33"/>
        <v>848980.96828347992</v>
      </c>
      <c r="BI45" s="249">
        <f t="shared" si="33"/>
        <v>849349.69699135155</v>
      </c>
      <c r="BJ45" s="249">
        <f t="shared" si="33"/>
        <v>872393.81757889269</v>
      </c>
      <c r="BK45" s="249">
        <f t="shared" si="33"/>
        <v>872839.19386291679</v>
      </c>
      <c r="BL45" s="249">
        <f t="shared" si="20"/>
        <v>17798808.069639415</v>
      </c>
      <c r="BM45" s="249">
        <f t="shared" si="21"/>
        <v>10394918.209051585</v>
      </c>
      <c r="BN45" s="249">
        <f t="shared" si="22"/>
        <v>9518187.2256218195</v>
      </c>
      <c r="BO45" s="249">
        <f t="shared" si="23"/>
        <v>9832541.1288306192</v>
      </c>
      <c r="BP45" s="249">
        <f t="shared" si="24"/>
        <v>10167418.042203264</v>
      </c>
    </row>
  </sheetData>
  <mergeCells count="5">
    <mergeCell ref="A4:N4"/>
    <mergeCell ref="A2:N2"/>
    <mergeCell ref="A25:N25"/>
    <mergeCell ref="A36:N36"/>
    <mergeCell ref="A1:N1"/>
  </mergeCells>
  <hyperlinks>
    <hyperlink ref="D6" r:id="rId1" display="СДЭК / Boxberry интеграции для C2C, средняя ставка 30-50 руб/заказ. https://www.cdek.ru/ru/business" xr:uid="{00000000-0004-0000-0300-000000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0"/>
  <sheetViews>
    <sheetView zoomScale="108" workbookViewId="0">
      <selection activeCell="G23" sqref="G23"/>
    </sheetView>
  </sheetViews>
  <sheetFormatPr baseColWidth="10" defaultColWidth="8.83203125" defaultRowHeight="13" x14ac:dyDescent="0.15"/>
  <cols>
    <col min="1" max="1" width="35" customWidth="1"/>
    <col min="2" max="2" width="14" customWidth="1"/>
    <col min="3" max="3" width="18" customWidth="1"/>
    <col min="4" max="4" width="22" customWidth="1"/>
    <col min="5" max="5" width="18" customWidth="1"/>
    <col min="6" max="6" width="22" customWidth="1"/>
    <col min="7" max="7" width="18" customWidth="1"/>
    <col min="8" max="8" width="55" customWidth="1"/>
  </cols>
  <sheetData>
    <row r="1" spans="1:9" ht="18" customHeight="1" x14ac:dyDescent="0.2">
      <c r="A1" s="325" t="s">
        <v>261</v>
      </c>
      <c r="B1" s="315"/>
      <c r="C1" s="315"/>
      <c r="D1" s="315"/>
      <c r="E1" s="315"/>
      <c r="F1" s="315"/>
      <c r="G1" s="315"/>
      <c r="H1" s="315"/>
      <c r="I1" s="315"/>
    </row>
    <row r="2" spans="1:9" x14ac:dyDescent="0.15">
      <c r="A2" s="318" t="s">
        <v>262</v>
      </c>
      <c r="B2" s="315"/>
      <c r="C2" s="315"/>
      <c r="D2" s="315"/>
      <c r="E2" s="315"/>
      <c r="F2" s="315"/>
      <c r="G2" s="315"/>
      <c r="H2" s="315"/>
      <c r="I2" s="315"/>
    </row>
    <row r="4" spans="1:9" ht="16" customHeight="1" x14ac:dyDescent="0.2">
      <c r="A4" s="319" t="s">
        <v>263</v>
      </c>
      <c r="B4" s="315"/>
      <c r="C4" s="315"/>
      <c r="D4" s="315"/>
      <c r="E4" s="315"/>
      <c r="F4" s="315"/>
      <c r="G4" s="315"/>
      <c r="H4" s="315"/>
      <c r="I4" s="315"/>
    </row>
    <row r="5" spans="1:9" x14ac:dyDescent="0.15">
      <c r="A5" t="s">
        <v>264</v>
      </c>
      <c r="B5" s="261">
        <f>PnL!BP39</f>
        <v>33.280838345507973</v>
      </c>
    </row>
    <row r="6" spans="1:9" x14ac:dyDescent="0.15">
      <c r="A6" t="s">
        <v>265</v>
      </c>
      <c r="B6" s="261">
        <f>PnL!BP47</f>
        <v>23.113420303304714</v>
      </c>
    </row>
    <row r="7" spans="1:9" x14ac:dyDescent="0.15">
      <c r="A7" t="s">
        <v>266</v>
      </c>
      <c r="B7" s="261">
        <f>-PnL!BP41</f>
        <v>4.1296995317932801</v>
      </c>
    </row>
    <row r="8" spans="1:9" x14ac:dyDescent="0.15">
      <c r="A8" t="s">
        <v>267</v>
      </c>
      <c r="B8" s="261">
        <f>-PnL!BP42</f>
        <v>3</v>
      </c>
    </row>
    <row r="9" spans="1:9" x14ac:dyDescent="0.15">
      <c r="A9" t="s">
        <v>268</v>
      </c>
      <c r="B9" s="261">
        <f>-PnL!BP40</f>
        <v>1.3312335338203194</v>
      </c>
    </row>
    <row r="10" spans="1:9" x14ac:dyDescent="0.15">
      <c r="A10" t="s">
        <v>269</v>
      </c>
      <c r="B10" s="263">
        <f>(B5-B9)/B5</f>
        <v>0.96</v>
      </c>
    </row>
    <row r="12" spans="1:9" ht="16" customHeight="1" x14ac:dyDescent="0.2">
      <c r="A12" s="319" t="s">
        <v>270</v>
      </c>
      <c r="B12" s="315"/>
      <c r="C12" s="315"/>
      <c r="D12" s="315"/>
      <c r="E12" s="315"/>
      <c r="F12" s="315"/>
      <c r="G12" s="315"/>
      <c r="H12" s="315"/>
      <c r="I12" s="315"/>
    </row>
    <row r="13" spans="1:9" ht="14" customHeight="1" x14ac:dyDescent="0.15">
      <c r="A13" s="224" t="s">
        <v>159</v>
      </c>
      <c r="B13" s="224" t="s">
        <v>271</v>
      </c>
      <c r="C13" s="224" t="s">
        <v>272</v>
      </c>
      <c r="D13" s="224" t="s">
        <v>273</v>
      </c>
      <c r="E13" s="224" t="s">
        <v>274</v>
      </c>
      <c r="F13" s="224" t="s">
        <v>275</v>
      </c>
      <c r="G13" s="224" t="s">
        <v>276</v>
      </c>
      <c r="H13" s="224" t="s">
        <v>277</v>
      </c>
    </row>
    <row r="14" spans="1:9" x14ac:dyDescent="0.15">
      <c r="A14" s="225" t="s">
        <v>278</v>
      </c>
      <c r="B14" s="228">
        <f>'Cost assumptions'!B20</f>
        <v>7.0000000000000007E-2</v>
      </c>
      <c r="C14" s="226" t="s">
        <v>279</v>
      </c>
      <c r="D14" s="276">
        <f>-B7*((1+0.05)^4-(1+'Cost assumptions'!B20)^4)/((1+'Cost assumptions'!B20)^4)</f>
        <v>0.30021305699327999</v>
      </c>
      <c r="E14" s="226" t="s">
        <v>280</v>
      </c>
      <c r="F14" s="277">
        <f>-B7*((1+0.1)^4-(1+'Cost assumptions'!B20)^4)/((1+'Cost assumptions'!B20)^4)</f>
        <v>-0.48298851300672119</v>
      </c>
      <c r="G14" s="278">
        <f>ABS(D14)+ABS(F14)</f>
        <v>0.78320157000000123</v>
      </c>
      <c r="H14" s="229" t="s">
        <v>281</v>
      </c>
    </row>
    <row r="15" spans="1:9" x14ac:dyDescent="0.15">
      <c r="A15" s="225" t="s">
        <v>282</v>
      </c>
      <c r="B15" s="228">
        <f>'Cost assumptions'!C40</f>
        <v>0.04</v>
      </c>
      <c r="C15" s="226" t="s">
        <v>283</v>
      </c>
      <c r="D15" s="276">
        <f>B5*('Cost assumptions'!C40-0.02)</f>
        <v>0.66561676691015947</v>
      </c>
      <c r="E15" s="226" t="s">
        <v>284</v>
      </c>
      <c r="F15" s="277">
        <f>B5*('Cost assumptions'!C40-0.06)</f>
        <v>-0.66561676691015936</v>
      </c>
      <c r="G15" s="278">
        <f>ABS(D15)+ABS(F15)</f>
        <v>1.3312335338203187</v>
      </c>
      <c r="H15" s="229" t="s">
        <v>285</v>
      </c>
    </row>
    <row r="16" spans="1:9" x14ac:dyDescent="0.15">
      <c r="A16" s="225" t="s">
        <v>286</v>
      </c>
      <c r="B16" s="228">
        <f>'Cost assumptions'!B11/1000000</f>
        <v>4</v>
      </c>
      <c r="C16" s="226" t="s">
        <v>287</v>
      </c>
      <c r="D16" s="279">
        <v>0</v>
      </c>
      <c r="E16" s="226" t="s">
        <v>288</v>
      </c>
      <c r="F16" s="279">
        <v>0</v>
      </c>
      <c r="G16" s="278">
        <v>0</v>
      </c>
      <c r="H16" s="229" t="s">
        <v>289</v>
      </c>
    </row>
    <row r="17" spans="1:9" x14ac:dyDescent="0.15">
      <c r="A17" s="225" t="s">
        <v>290</v>
      </c>
      <c r="B17" s="228">
        <f>'Cost assumptions'!B12/1000000</f>
        <v>3</v>
      </c>
      <c r="C17" s="226" t="s">
        <v>291</v>
      </c>
      <c r="D17" s="276">
        <f>2</f>
        <v>2</v>
      </c>
      <c r="E17" s="226" t="s">
        <v>292</v>
      </c>
      <c r="F17" s="277">
        <f>-5</f>
        <v>-5</v>
      </c>
      <c r="G17" s="278">
        <f t="shared" ref="G17:G22" si="0">ABS(D17)+ABS(F17)</f>
        <v>7</v>
      </c>
      <c r="H17" s="229" t="s">
        <v>293</v>
      </c>
    </row>
    <row r="18" spans="1:9" x14ac:dyDescent="0.15">
      <c r="A18" s="225" t="s">
        <v>294</v>
      </c>
      <c r="B18" s="228">
        <f>'Монетизация и юнит'!F23/100</f>
        <v>0.03</v>
      </c>
      <c r="C18" s="226" t="s">
        <v>295</v>
      </c>
      <c r="D18" s="276">
        <f>B5*(-1/3)*0.7*B10</f>
        <v>-7.4549077893937845</v>
      </c>
      <c r="E18" s="226" t="s">
        <v>296</v>
      </c>
      <c r="F18" s="277">
        <f>B5*(2/3)*0.7*B10</f>
        <v>14.909815578787569</v>
      </c>
      <c r="G18" s="278">
        <f t="shared" si="0"/>
        <v>22.364723368181352</v>
      </c>
      <c r="H18" s="229" t="s">
        <v>297</v>
      </c>
    </row>
    <row r="19" spans="1:9" x14ac:dyDescent="0.15">
      <c r="A19" s="225" t="s">
        <v>298</v>
      </c>
      <c r="B19" s="228">
        <f>'Монетизация и юнит'!F19</f>
        <v>1700</v>
      </c>
      <c r="C19" s="226" t="s">
        <v>299</v>
      </c>
      <c r="D19" s="276">
        <f>B5*(-200/'Монетизация и юнит'!F19)*0.7*B10</f>
        <v>-2.6311439256683951</v>
      </c>
      <c r="E19" s="226" t="s">
        <v>300</v>
      </c>
      <c r="F19" s="277">
        <f>B5*(300/'Монетизация и юнит'!F19)*0.7*B10</f>
        <v>3.9467158885025926</v>
      </c>
      <c r="G19" s="278">
        <f t="shared" si="0"/>
        <v>6.5778598141709876</v>
      </c>
      <c r="H19" s="229" t="s">
        <v>301</v>
      </c>
    </row>
    <row r="20" spans="1:9" x14ac:dyDescent="0.15">
      <c r="A20" s="225" t="s">
        <v>302</v>
      </c>
      <c r="B20" s="228">
        <f>0.5833</f>
        <v>0.58330000000000004</v>
      </c>
      <c r="C20" s="226" t="s">
        <v>303</v>
      </c>
      <c r="D20" s="276">
        <f>B5*(-0.2/0.5833)*B10</f>
        <v>-10.95477620836196</v>
      </c>
      <c r="E20" s="226" t="s">
        <v>304</v>
      </c>
      <c r="F20" s="277">
        <f>B5*(0.15/0.5833)*B10</f>
        <v>8.216082156271467</v>
      </c>
      <c r="G20" s="278">
        <f t="shared" si="0"/>
        <v>19.170858364633425</v>
      </c>
      <c r="H20" s="229" t="s">
        <v>305</v>
      </c>
    </row>
    <row r="21" spans="1:9" x14ac:dyDescent="0.15">
      <c r="A21" s="225" t="s">
        <v>306</v>
      </c>
      <c r="B21" s="228">
        <f>'Команда и TtM'!BP40</f>
        <v>1.0999999999999999</v>
      </c>
      <c r="C21" s="226" t="s">
        <v>307</v>
      </c>
      <c r="D21" s="276">
        <f>B7*0.2</f>
        <v>0.82593990635865611</v>
      </c>
      <c r="E21" s="226" t="s">
        <v>308</v>
      </c>
      <c r="F21" s="277">
        <f>-B7*0.2</f>
        <v>-0.82593990635865611</v>
      </c>
      <c r="G21" s="278">
        <f t="shared" si="0"/>
        <v>1.6518798127173122</v>
      </c>
      <c r="H21" s="229" t="s">
        <v>309</v>
      </c>
    </row>
    <row r="22" spans="1:9" x14ac:dyDescent="0.15">
      <c r="A22" s="225" t="s">
        <v>310</v>
      </c>
      <c r="B22" s="228">
        <v>0.15</v>
      </c>
      <c r="C22" s="226" t="s">
        <v>311</v>
      </c>
      <c r="D22" s="276">
        <f>B5*0.05*0.7*B10</f>
        <v>1.1182361684090678</v>
      </c>
      <c r="E22" s="226" t="s">
        <v>312</v>
      </c>
      <c r="F22" s="277">
        <f>-B5*0.05*0.7*B10</f>
        <v>-1.1182361684090678</v>
      </c>
      <c r="G22" s="278">
        <f t="shared" si="0"/>
        <v>2.2364723368181356</v>
      </c>
      <c r="H22" s="229" t="s">
        <v>313</v>
      </c>
    </row>
    <row r="23" spans="1:9" x14ac:dyDescent="0.15">
      <c r="A23" s="225" t="s">
        <v>314</v>
      </c>
      <c r="B23" s="280">
        <f>PnL!B10</f>
        <v>0.26300000000000001</v>
      </c>
      <c r="C23" s="226" t="s">
        <v>315</v>
      </c>
      <c r="D23" s="228" t="s">
        <v>316</v>
      </c>
      <c r="E23" s="226" t="s">
        <v>317</v>
      </c>
      <c r="F23" s="228" t="s">
        <v>318</v>
      </c>
      <c r="G23" s="226" t="s">
        <v>319</v>
      </c>
      <c r="H23" s="229" t="s">
        <v>320</v>
      </c>
    </row>
    <row r="25" spans="1:9" ht="16" customHeight="1" x14ac:dyDescent="0.2">
      <c r="A25" s="319" t="s">
        <v>321</v>
      </c>
      <c r="B25" s="315"/>
      <c r="C25" s="315"/>
      <c r="D25" s="315"/>
      <c r="E25" s="315"/>
      <c r="F25" s="315"/>
      <c r="G25" s="315"/>
      <c r="H25" s="315"/>
      <c r="I25" s="315"/>
    </row>
    <row r="26" spans="1:9" x14ac:dyDescent="0.15">
      <c r="A26" s="315" t="s">
        <v>322</v>
      </c>
      <c r="B26" s="315"/>
      <c r="C26" s="315"/>
      <c r="D26" s="315"/>
      <c r="E26" s="315"/>
      <c r="F26" s="315"/>
      <c r="G26" s="315"/>
      <c r="H26" s="315"/>
      <c r="I26" s="315"/>
    </row>
    <row r="27" spans="1:9" x14ac:dyDescent="0.15">
      <c r="A27" s="315" t="s">
        <v>323</v>
      </c>
      <c r="B27" s="315"/>
      <c r="C27" s="315"/>
      <c r="D27" s="315"/>
      <c r="E27" s="315"/>
      <c r="F27" s="315"/>
      <c r="G27" s="315"/>
      <c r="H27" s="315"/>
      <c r="I27" s="315"/>
    </row>
    <row r="28" spans="1:9" x14ac:dyDescent="0.15">
      <c r="A28" s="315" t="s">
        <v>324</v>
      </c>
      <c r="B28" s="315"/>
      <c r="C28" s="315"/>
      <c r="D28" s="315"/>
      <c r="E28" s="315"/>
      <c r="F28" s="315"/>
      <c r="G28" s="315"/>
      <c r="H28" s="315"/>
      <c r="I28" s="315"/>
    </row>
    <row r="29" spans="1:9" x14ac:dyDescent="0.15">
      <c r="A29" s="315" t="s">
        <v>325</v>
      </c>
      <c r="B29" s="315"/>
      <c r="C29" s="315"/>
      <c r="D29" s="315"/>
      <c r="E29" s="315"/>
      <c r="F29" s="315"/>
      <c r="G29" s="315"/>
      <c r="H29" s="315"/>
      <c r="I29" s="315"/>
    </row>
    <row r="30" spans="1:9" x14ac:dyDescent="0.15">
      <c r="A30" s="315" t="s">
        <v>326</v>
      </c>
      <c r="B30" s="315"/>
      <c r="C30" s="315"/>
      <c r="D30" s="315"/>
      <c r="E30" s="315"/>
      <c r="F30" s="315"/>
      <c r="G30" s="315"/>
      <c r="H30" s="315"/>
      <c r="I30" s="315"/>
    </row>
  </sheetData>
  <mergeCells count="10">
    <mergeCell ref="A1:I1"/>
    <mergeCell ref="A27:I27"/>
    <mergeCell ref="A12:I12"/>
    <mergeCell ref="A4:I4"/>
    <mergeCell ref="A26:I26"/>
    <mergeCell ref="A30:I30"/>
    <mergeCell ref="A29:I29"/>
    <mergeCell ref="A25:I25"/>
    <mergeCell ref="A2:I2"/>
    <mergeCell ref="A28:I2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9"/>
  <sheetViews>
    <sheetView workbookViewId="0">
      <selection activeCell="A32" sqref="A32"/>
    </sheetView>
  </sheetViews>
  <sheetFormatPr baseColWidth="10" defaultColWidth="8.83203125" defaultRowHeight="13" x14ac:dyDescent="0.15"/>
  <cols>
    <col min="1" max="1" width="65" customWidth="1"/>
    <col min="2" max="2" width="30" customWidth="1"/>
    <col min="3" max="3" width="18" customWidth="1"/>
    <col min="4" max="4" width="14" customWidth="1"/>
    <col min="5" max="5" width="12" customWidth="1"/>
  </cols>
  <sheetData>
    <row r="1" spans="1:5" ht="18" customHeight="1" x14ac:dyDescent="0.2">
      <c r="A1" s="325" t="s">
        <v>825</v>
      </c>
      <c r="B1" s="315"/>
      <c r="C1" s="315"/>
      <c r="D1" s="315"/>
      <c r="E1" s="315"/>
    </row>
    <row r="2" spans="1:5" x14ac:dyDescent="0.15">
      <c r="A2" s="318" t="s">
        <v>327</v>
      </c>
      <c r="B2" s="315"/>
      <c r="C2" s="315"/>
      <c r="D2" s="315"/>
      <c r="E2" s="315"/>
    </row>
    <row r="4" spans="1:5" ht="28" customHeight="1" x14ac:dyDescent="0.15">
      <c r="A4" s="224" t="s">
        <v>328</v>
      </c>
      <c r="B4" s="224" t="s">
        <v>329</v>
      </c>
      <c r="C4" s="224" t="s">
        <v>330</v>
      </c>
      <c r="D4" s="224" t="s">
        <v>331</v>
      </c>
      <c r="E4" s="224" t="s">
        <v>332</v>
      </c>
    </row>
    <row r="5" spans="1:5" ht="16" customHeight="1" x14ac:dyDescent="0.2">
      <c r="A5" s="319" t="s">
        <v>333</v>
      </c>
      <c r="B5" s="315"/>
      <c r="C5" s="315"/>
      <c r="D5" s="315"/>
      <c r="E5" s="315"/>
    </row>
    <row r="6" spans="1:5" x14ac:dyDescent="0.15">
      <c r="A6" s="226" t="s">
        <v>334</v>
      </c>
      <c r="B6" s="229" t="s">
        <v>335</v>
      </c>
      <c r="C6" s="226" t="s">
        <v>336</v>
      </c>
      <c r="D6" s="274" t="b">
        <f>ABS(SUM(PnL!D20:O20)-PnL!BL20)&lt;0.1</f>
        <v>1</v>
      </c>
      <c r="E6" s="226" t="str">
        <f>IF(D6,"OK","FAIL")</f>
        <v>OK</v>
      </c>
    </row>
    <row r="7" spans="1:5" x14ac:dyDescent="0.15">
      <c r="A7" s="226" t="s">
        <v>337</v>
      </c>
      <c r="B7" s="229" t="s">
        <v>338</v>
      </c>
      <c r="C7" s="226" t="s">
        <v>336</v>
      </c>
      <c r="D7" s="274" t="b">
        <f>ABS((PnL!BL20+PnL!BL39)-PnL!BL58)&lt;0.1</f>
        <v>1</v>
      </c>
      <c r="E7" s="226" t="str">
        <f>IF(D7,"OK","FAIL")</f>
        <v>OK</v>
      </c>
    </row>
    <row r="8" spans="1:5" x14ac:dyDescent="0.15">
      <c r="A8" s="226" t="s">
        <v>339</v>
      </c>
      <c r="B8" s="229" t="s">
        <v>340</v>
      </c>
      <c r="C8" s="226">
        <f>0</f>
        <v>0</v>
      </c>
      <c r="D8" s="274" t="b">
        <f>ISNUMBER(PnL!BP74)</f>
        <v>1</v>
      </c>
      <c r="E8" s="226" t="str">
        <f>IF(D8,"OK","FAIL")</f>
        <v>OK</v>
      </c>
    </row>
    <row r="9" spans="1:5" x14ac:dyDescent="0.15">
      <c r="A9" s="226" t="s">
        <v>341</v>
      </c>
      <c r="B9" s="229" t="s">
        <v>342</v>
      </c>
      <c r="C9" s="226" t="s">
        <v>336</v>
      </c>
      <c r="D9" s="274" t="b">
        <f>ABS(SUM(PnL!D47:O47)-PnL!BL47)&lt;0.1</f>
        <v>1</v>
      </c>
      <c r="E9" s="226" t="str">
        <f>IF(D9,"OK","FAIL")</f>
        <v>OK</v>
      </c>
    </row>
    <row r="10" spans="1:5" x14ac:dyDescent="0.15">
      <c r="A10" s="226" t="s">
        <v>343</v>
      </c>
      <c r="B10" s="229" t="s">
        <v>344</v>
      </c>
      <c r="C10" s="226" t="s">
        <v>336</v>
      </c>
      <c r="D10" s="274" t="b">
        <f>ABS(CashFlow!BK30-SUM(CashFlow!D29:BK29))&lt;0.1</f>
        <v>1</v>
      </c>
      <c r="E10" s="226" t="str">
        <f>IF(D10,"OK","FAIL")</f>
        <v>OK</v>
      </c>
    </row>
    <row r="12" spans="1:5" ht="16" customHeight="1" x14ac:dyDescent="0.2">
      <c r="A12" s="319" t="s">
        <v>345</v>
      </c>
      <c r="B12" s="315"/>
      <c r="C12" s="315"/>
      <c r="D12" s="315"/>
      <c r="E12" s="315"/>
    </row>
    <row r="13" spans="1:5" x14ac:dyDescent="0.15">
      <c r="A13" s="226" t="s">
        <v>346</v>
      </c>
      <c r="B13" s="229" t="s">
        <v>347</v>
      </c>
      <c r="C13" s="226" t="s">
        <v>348</v>
      </c>
      <c r="D13" s="274" t="b">
        <f>PnL!BL58&lt;'Baseline TOP-down'!O10*12/1000</f>
        <v>1</v>
      </c>
      <c r="E13" s="226" t="str">
        <f t="shared" ref="E13:E18" si="0">IF(D13,"OK","FAIL")</f>
        <v>OK</v>
      </c>
    </row>
    <row r="14" spans="1:5" x14ac:dyDescent="0.15">
      <c r="A14" s="226" t="s">
        <v>349</v>
      </c>
      <c r="B14" s="229" t="s">
        <v>350</v>
      </c>
      <c r="C14" s="226" t="s">
        <v>348</v>
      </c>
      <c r="D14" s="274" t="b">
        <f>PnL!BP58&lt;'Baseline TOP-down'!BK10*12/1000</f>
        <v>1</v>
      </c>
      <c r="E14" s="226" t="str">
        <f t="shared" si="0"/>
        <v>OK</v>
      </c>
    </row>
    <row r="15" spans="1:5" x14ac:dyDescent="0.15">
      <c r="A15" s="226" t="s">
        <v>351</v>
      </c>
      <c r="B15" s="229" t="s">
        <v>352</v>
      </c>
      <c r="C15" s="226" t="s">
        <v>353</v>
      </c>
      <c r="D15" s="274" t="b">
        <f>(PnL!BP66/PnL!BP58)&gt;(PnL!BP28/PnL!BP20)</f>
        <v>1</v>
      </c>
      <c r="E15" s="226" t="str">
        <f t="shared" si="0"/>
        <v>OK</v>
      </c>
    </row>
    <row r="16" spans="1:5" x14ac:dyDescent="0.15">
      <c r="A16" s="226" t="s">
        <v>354</v>
      </c>
      <c r="B16" s="229" t="s">
        <v>355</v>
      </c>
      <c r="C16" s="226" t="s">
        <v>356</v>
      </c>
      <c r="D16" s="274" t="b">
        <f>PnL!BN47&gt;0</f>
        <v>1</v>
      </c>
      <c r="E16" s="226" t="str">
        <f t="shared" si="0"/>
        <v>OK</v>
      </c>
    </row>
    <row r="17" spans="1:5" x14ac:dyDescent="0.15">
      <c r="A17" s="226" t="s">
        <v>357</v>
      </c>
      <c r="B17" s="229" t="s">
        <v>358</v>
      </c>
      <c r="C17" s="226" t="s">
        <v>359</v>
      </c>
      <c r="D17" s="274" t="b">
        <f>CashFlow!BK30&gt;0</f>
        <v>1</v>
      </c>
      <c r="E17" s="226" t="str">
        <f t="shared" si="0"/>
        <v>OK</v>
      </c>
    </row>
    <row r="18" spans="1:5" x14ac:dyDescent="0.15">
      <c r="A18" s="226" t="s">
        <v>360</v>
      </c>
      <c r="B18" s="229" t="s">
        <v>361</v>
      </c>
      <c r="C18" s="226" t="s">
        <v>362</v>
      </c>
      <c r="D18" s="274" t="b">
        <f>IFERROR(-PnL!BP41/PnL!BP39,1)&lt;0.5</f>
        <v>1</v>
      </c>
      <c r="E18" s="226" t="str">
        <f t="shared" si="0"/>
        <v>OK</v>
      </c>
    </row>
    <row r="20" spans="1:5" ht="16" customHeight="1" x14ac:dyDescent="0.2">
      <c r="A20" s="319" t="s">
        <v>363</v>
      </c>
      <c r="B20" s="315"/>
      <c r="C20" s="315"/>
      <c r="D20" s="315"/>
      <c r="E20" s="315"/>
    </row>
    <row r="21" spans="1:5" x14ac:dyDescent="0.15">
      <c r="A21" s="226" t="s">
        <v>364</v>
      </c>
      <c r="B21" s="229" t="s">
        <v>365</v>
      </c>
      <c r="C21" s="226" t="s">
        <v>366</v>
      </c>
      <c r="D21" s="274" t="b">
        <f>AND('Команда и TtM'!C9&gt;=250000,'Команда и TtM'!C9&lt;=350000)</f>
        <v>1</v>
      </c>
      <c r="E21" s="226" t="str">
        <f t="shared" ref="E21:E26" si="1">IF(D21,"OK","FAIL")</f>
        <v>OK</v>
      </c>
    </row>
    <row r="22" spans="1:5" x14ac:dyDescent="0.15">
      <c r="A22" s="226" t="s">
        <v>367</v>
      </c>
      <c r="B22" s="229" t="s">
        <v>368</v>
      </c>
      <c r="C22" s="226" t="s">
        <v>369</v>
      </c>
      <c r="D22" s="274" t="b">
        <f>AND('Команда и TtM'!C10&gt;=200000,'Команда и TtM'!C10&lt;=320000)</f>
        <v>1</v>
      </c>
      <c r="E22" s="226" t="str">
        <f t="shared" si="1"/>
        <v>OK</v>
      </c>
    </row>
    <row r="23" spans="1:5" x14ac:dyDescent="0.15">
      <c r="A23" s="226" t="s">
        <v>370</v>
      </c>
      <c r="B23" s="229" t="s">
        <v>371</v>
      </c>
      <c r="C23" s="226" t="s">
        <v>372</v>
      </c>
      <c r="D23" s="274" t="b">
        <f>AND((PnL!BL28/PnL!BL20)&gt;=0.4,(PnL!BL28/PnL!BL20)&lt;=0.7)</f>
        <v>0</v>
      </c>
      <c r="E23" s="226" t="str">
        <f t="shared" si="1"/>
        <v>FAIL</v>
      </c>
    </row>
    <row r="24" spans="1:5" x14ac:dyDescent="0.15">
      <c r="A24" s="226" t="s">
        <v>373</v>
      </c>
      <c r="B24" s="229" t="s">
        <v>374</v>
      </c>
      <c r="C24" s="226" t="s">
        <v>375</v>
      </c>
      <c r="D24" s="274" t="b">
        <f>IFERROR(-PnL!BP41/PnL!BP39,2)&lt;1</f>
        <v>1</v>
      </c>
      <c r="E24" s="226" t="str">
        <f t="shared" si="1"/>
        <v>OK</v>
      </c>
    </row>
    <row r="25" spans="1:5" x14ac:dyDescent="0.15">
      <c r="A25" s="226" t="s">
        <v>376</v>
      </c>
      <c r="B25" s="229" t="s">
        <v>377</v>
      </c>
      <c r="C25" s="226" t="s">
        <v>378</v>
      </c>
      <c r="D25" s="274" t="b">
        <f>IFERROR(-PnL!BP42/PnL!BP39,2)&lt;0.2</f>
        <v>1</v>
      </c>
      <c r="E25" s="226" t="str">
        <f t="shared" si="1"/>
        <v>OK</v>
      </c>
    </row>
    <row r="26" spans="1:5" x14ac:dyDescent="0.15">
      <c r="A26" s="226" t="s">
        <v>379</v>
      </c>
      <c r="B26" s="229" t="s">
        <v>380</v>
      </c>
      <c r="C26" s="226" t="s">
        <v>381</v>
      </c>
      <c r="D26" s="274" t="b">
        <f>AND('Команда и TtM'!B25&gt;=18,'Команда и TtM'!B25&lt;=24)</f>
        <v>0</v>
      </c>
      <c r="E26" s="226" t="str">
        <f t="shared" si="1"/>
        <v>FAIL</v>
      </c>
    </row>
    <row r="28" spans="1:5" ht="16" customHeight="1" x14ac:dyDescent="0.2">
      <c r="A28" s="319" t="s">
        <v>382</v>
      </c>
      <c r="B28" s="315"/>
      <c r="C28" s="315"/>
      <c r="D28" s="315"/>
      <c r="E28" s="315"/>
    </row>
    <row r="29" spans="1:5" x14ac:dyDescent="0.15">
      <c r="A29" s="226" t="s">
        <v>383</v>
      </c>
      <c r="B29" s="229" t="s">
        <v>384</v>
      </c>
      <c r="C29" s="226" t="s">
        <v>385</v>
      </c>
      <c r="D29" s="274" t="b">
        <f>'Монетизация и юнит'!F103/'Монетизация и юнит'!G103&gt;3</f>
        <v>0</v>
      </c>
      <c r="E29" s="226" t="str">
        <f>IF(D29,"OK","FAIL")</f>
        <v>FAIL</v>
      </c>
    </row>
    <row r="30" spans="1:5" x14ac:dyDescent="0.15">
      <c r="A30" s="226" t="s">
        <v>386</v>
      </c>
      <c r="B30" s="229" t="s">
        <v>387</v>
      </c>
      <c r="C30" s="226" t="s">
        <v>388</v>
      </c>
      <c r="D30" s="274" t="b">
        <f>'Монетизация и юнит'!E32&gt;'Монетизация и юнит'!F10</f>
        <v>1</v>
      </c>
      <c r="E30" s="226" t="str">
        <f>IF(D30,"OK","FAIL")</f>
        <v>OK</v>
      </c>
    </row>
    <row r="31" spans="1:5" x14ac:dyDescent="0.15">
      <c r="A31" s="310" t="s">
        <v>389</v>
      </c>
      <c r="B31" s="229" t="s">
        <v>390</v>
      </c>
      <c r="C31" s="226" t="s">
        <v>391</v>
      </c>
      <c r="D31" s="274" t="b" cm="1">
        <f t="array" ref="D31">IFERROR(MATCH(TRUE,INDEX(CashFlow!D30:BK30&gt;=0,0),0),100)&lt;24</f>
        <v>1</v>
      </c>
      <c r="E31" s="226" t="str">
        <f>IF(D31,"OK","FAIL")</f>
        <v>OK</v>
      </c>
    </row>
    <row r="33" spans="1:5" ht="16" customHeight="1" x14ac:dyDescent="0.2">
      <c r="A33" s="223" t="s">
        <v>392</v>
      </c>
    </row>
    <row r="34" spans="1:5" x14ac:dyDescent="0.15">
      <c r="A34" s="232" t="s">
        <v>393</v>
      </c>
      <c r="E34" s="271" t="str">
        <f ca="1">COUNTIF(E5:E39,"OK")</f>
        <v/>
      </c>
    </row>
    <row r="35" spans="1:5" x14ac:dyDescent="0.15">
      <c r="A35" s="232" t="s">
        <v>394</v>
      </c>
      <c r="E35" s="275" t="str">
        <f ca="1">COUNTIF(E5:E39,"FAIL")</f>
        <v/>
      </c>
    </row>
    <row r="37" spans="1:5" ht="16" customHeight="1" x14ac:dyDescent="0.2">
      <c r="A37" s="223" t="s">
        <v>395</v>
      </c>
    </row>
    <row r="38" spans="1:5" x14ac:dyDescent="0.15">
      <c r="A38" s="226" t="s">
        <v>396</v>
      </c>
      <c r="B38" s="229" t="s">
        <v>397</v>
      </c>
      <c r="C38" s="226" t="s">
        <v>385</v>
      </c>
      <c r="D38" s="274" t="b">
        <f>'Монетизация и юнит'!F104/'Монетизация и юнит'!G104&gt;3</f>
        <v>0</v>
      </c>
      <c r="E38" s="226" t="str">
        <f>IF(D38,"OK","FAIL")</f>
        <v>FAIL</v>
      </c>
    </row>
    <row r="39" spans="1:5" x14ac:dyDescent="0.15">
      <c r="A39" s="226" t="s">
        <v>398</v>
      </c>
      <c r="B39" s="229" t="s">
        <v>399</v>
      </c>
      <c r="C39" s="226" t="s">
        <v>388</v>
      </c>
      <c r="D39" s="274" t="b">
        <f>'Монетизация и юнит'!F105&gt;'Монетизация и юнит'!G105</f>
        <v>1</v>
      </c>
      <c r="E39" s="226" t="str">
        <f>IF(D39,"OK","FAIL")</f>
        <v>OK</v>
      </c>
    </row>
  </sheetData>
  <mergeCells count="6">
    <mergeCell ref="A12:E12"/>
    <mergeCell ref="A20:E20"/>
    <mergeCell ref="A2:E2"/>
    <mergeCell ref="A28:E28"/>
    <mergeCell ref="A1:E1"/>
    <mergeCell ref="A5:E5"/>
  </mergeCells>
  <conditionalFormatting sqref="E5:E32">
    <cfRule type="cellIs" dxfId="6" priority="1" operator="equal">
      <formula>"OK"</formula>
    </cfRule>
    <cfRule type="cellIs" dxfId="5" priority="2" operator="equal">
      <formula>"FAIL"</formula>
    </cfRule>
  </conditionalFormatting>
  <conditionalFormatting sqref="E38:E39">
    <cfRule type="cellIs" dxfId="4" priority="3" operator="equal">
      <formula>"OK"</formula>
    </cfRule>
    <cfRule type="cellIs" dxfId="3" priority="4" operator="equal">
      <formula>"FAIL"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I23"/>
  <sheetViews>
    <sheetView zoomScale="56" workbookViewId="0">
      <selection activeCell="Z52" sqref="Z52"/>
    </sheetView>
  </sheetViews>
  <sheetFormatPr baseColWidth="10" defaultColWidth="8.83203125" defaultRowHeight="13" x14ac:dyDescent="0.15"/>
  <cols>
    <col min="1" max="1" width="15.83203125" customWidth="1"/>
  </cols>
  <sheetData>
    <row r="1" spans="1:61" ht="18" customHeight="1" x14ac:dyDescent="0.2">
      <c r="A1" s="325" t="s">
        <v>400</v>
      </c>
      <c r="B1" s="315"/>
      <c r="C1" s="315"/>
      <c r="D1" s="315"/>
      <c r="E1" s="315"/>
      <c r="F1" s="315"/>
      <c r="G1" s="315"/>
      <c r="H1" s="315"/>
    </row>
    <row r="3" spans="1:61" ht="16" customHeight="1" x14ac:dyDescent="0.2">
      <c r="A3" s="327" t="s">
        <v>401</v>
      </c>
      <c r="B3" s="315"/>
      <c r="C3" s="315"/>
      <c r="D3" s="315"/>
      <c r="E3" s="315"/>
      <c r="F3" s="315"/>
      <c r="G3" s="315"/>
      <c r="H3" s="315"/>
    </row>
    <row r="4" spans="1:61" x14ac:dyDescent="0.15">
      <c r="A4" s="285" t="s">
        <v>402</v>
      </c>
      <c r="B4" s="285" t="s">
        <v>403</v>
      </c>
      <c r="C4" s="285" t="s">
        <v>404</v>
      </c>
      <c r="D4" s="285" t="s">
        <v>405</v>
      </c>
      <c r="E4" s="285" t="s">
        <v>406</v>
      </c>
      <c r="F4" s="285" t="s">
        <v>407</v>
      </c>
      <c r="G4" s="285" t="s">
        <v>408</v>
      </c>
      <c r="H4" s="285" t="s">
        <v>409</v>
      </c>
    </row>
    <row r="5" spans="1:61" x14ac:dyDescent="0.15">
      <c r="A5" s="232">
        <v>2026</v>
      </c>
      <c r="B5" s="286">
        <f>PnL!BL20</f>
        <v>409.36014353987309</v>
      </c>
      <c r="C5" s="286">
        <f>PnL!BL39</f>
        <v>12.398920074318761</v>
      </c>
      <c r="D5" s="286">
        <f>PnL!BL58</f>
        <v>421.75906361419186</v>
      </c>
      <c r="E5" s="286">
        <f>PnL!BL28</f>
        <v>289.50493349208205</v>
      </c>
      <c r="F5" s="286">
        <f>PnL!BL47</f>
        <v>-5.3998879953206576</v>
      </c>
      <c r="G5" s="286">
        <f>PnL!BL66</f>
        <v>284.10504549676136</v>
      </c>
      <c r="H5" s="286">
        <f>PnL!BL55</f>
        <v>-9.5668113542441091</v>
      </c>
    </row>
    <row r="6" spans="1:61" x14ac:dyDescent="0.15">
      <c r="A6" s="232">
        <v>2027</v>
      </c>
      <c r="B6" s="286">
        <f>PnL!BM20</f>
        <v>412.94305636841261</v>
      </c>
      <c r="C6" s="286">
        <f>PnL!BM39</f>
        <v>29.299166692956312</v>
      </c>
      <c r="D6" s="286">
        <f>PnL!BM58</f>
        <v>442.24222306136892</v>
      </c>
      <c r="E6" s="286">
        <f>PnL!BM28</f>
        <v>286.66304242262368</v>
      </c>
      <c r="F6" s="286">
        <f>PnL!BM47</f>
        <v>18.904248483904723</v>
      </c>
      <c r="G6" s="286">
        <f>PnL!BM66</f>
        <v>305.5672909065284</v>
      </c>
      <c r="H6" s="286">
        <f>PnL!BM55</f>
        <v>16.893696667111584</v>
      </c>
    </row>
    <row r="7" spans="1:61" x14ac:dyDescent="0.15">
      <c r="A7" s="232">
        <v>2028</v>
      </c>
      <c r="B7" s="286">
        <f>PnL!BN20</f>
        <v>429.46077862314945</v>
      </c>
      <c r="C7" s="286">
        <f>PnL!BN39</f>
        <v>30.769893576545474</v>
      </c>
      <c r="D7" s="286">
        <f>PnL!BN58</f>
        <v>460.23067219969494</v>
      </c>
      <c r="E7" s="286">
        <f>PnL!BN28</f>
        <v>295.41834411952902</v>
      </c>
      <c r="F7" s="286">
        <f>PnL!BN47</f>
        <v>21.251706350923655</v>
      </c>
      <c r="G7" s="286">
        <f>PnL!BN66</f>
        <v>316.67005047045268</v>
      </c>
      <c r="H7" s="286">
        <f>PnL!BN55</f>
        <v>19.957794146750203</v>
      </c>
    </row>
    <row r="8" spans="1:61" x14ac:dyDescent="0.15">
      <c r="A8" s="232">
        <v>2029</v>
      </c>
      <c r="B8" s="286">
        <f>PnL!BO20</f>
        <v>446.63920976807572</v>
      </c>
      <c r="C8" s="286">
        <f>PnL!BO39</f>
        <v>32.000806062285463</v>
      </c>
      <c r="D8" s="286">
        <f>PnL!BO58</f>
        <v>478.64001583036116</v>
      </c>
      <c r="E8" s="286">
        <f>PnL!BO28</f>
        <v>304.32567248431036</v>
      </c>
      <c r="F8" s="286">
        <f>PnL!BO47</f>
        <v>22.168264933454843</v>
      </c>
      <c r="G8" s="286">
        <f>PnL!BO66</f>
        <v>326.49393741776521</v>
      </c>
      <c r="H8" s="286">
        <f>PnL!BO55</f>
        <v>20.819664879532887</v>
      </c>
    </row>
    <row r="9" spans="1:61" x14ac:dyDescent="0.15">
      <c r="A9" s="232">
        <v>2030</v>
      </c>
      <c r="B9" s="286">
        <f>PnL!BP20</f>
        <v>464.50477815879924</v>
      </c>
      <c r="C9" s="286">
        <f>PnL!BP39</f>
        <v>33.280838345507973</v>
      </c>
      <c r="D9" s="286">
        <f>PnL!BP58</f>
        <v>497.7856165043072</v>
      </c>
      <c r="E9" s="286">
        <f>PnL!BP28</f>
        <v>313.37723560568321</v>
      </c>
      <c r="F9" s="286">
        <f>PnL!BP47</f>
        <v>23.113420303304714</v>
      </c>
      <c r="G9" s="286">
        <f>PnL!BP66</f>
        <v>336.49065590898795</v>
      </c>
      <c r="H9" s="286">
        <f>PnL!BP55</f>
        <v>21.708018248391923</v>
      </c>
    </row>
    <row r="11" spans="1:61" ht="16" customHeight="1" x14ac:dyDescent="0.2">
      <c r="A11" s="327" t="s">
        <v>410</v>
      </c>
      <c r="B11" s="315"/>
      <c r="C11" s="315"/>
      <c r="D11" s="315"/>
      <c r="E11" s="315"/>
      <c r="F11" s="315"/>
      <c r="G11" s="315"/>
      <c r="H11" s="315"/>
    </row>
    <row r="12" spans="1:61" x14ac:dyDescent="0.15">
      <c r="A12" s="232" t="s">
        <v>411</v>
      </c>
      <c r="B12" t="s">
        <v>412</v>
      </c>
      <c r="C12" t="s">
        <v>413</v>
      </c>
      <c r="D12" t="s">
        <v>414</v>
      </c>
      <c r="E12" t="s">
        <v>415</v>
      </c>
      <c r="F12" t="s">
        <v>416</v>
      </c>
      <c r="G12" t="s">
        <v>417</v>
      </c>
      <c r="H12" t="s">
        <v>418</v>
      </c>
      <c r="I12" t="s">
        <v>419</v>
      </c>
      <c r="J12" t="s">
        <v>420</v>
      </c>
      <c r="K12" t="s">
        <v>421</v>
      </c>
      <c r="L12" t="s">
        <v>422</v>
      </c>
      <c r="M12" t="s">
        <v>423</v>
      </c>
      <c r="N12" t="s">
        <v>424</v>
      </c>
      <c r="O12" t="s">
        <v>425</v>
      </c>
      <c r="P12" t="s">
        <v>426</v>
      </c>
      <c r="Q12" t="s">
        <v>427</v>
      </c>
      <c r="R12" t="s">
        <v>428</v>
      </c>
      <c r="S12" t="s">
        <v>429</v>
      </c>
      <c r="T12" t="s">
        <v>430</v>
      </c>
      <c r="U12" t="s">
        <v>431</v>
      </c>
      <c r="V12" t="s">
        <v>432</v>
      </c>
      <c r="W12" t="s">
        <v>433</v>
      </c>
      <c r="X12" t="s">
        <v>434</v>
      </c>
      <c r="Y12" t="s">
        <v>435</v>
      </c>
      <c r="Z12" t="s">
        <v>436</v>
      </c>
      <c r="AA12" t="s">
        <v>437</v>
      </c>
      <c r="AB12" t="s">
        <v>438</v>
      </c>
      <c r="AC12" t="s">
        <v>439</v>
      </c>
      <c r="AD12" t="s">
        <v>440</v>
      </c>
      <c r="AE12" t="s">
        <v>441</v>
      </c>
      <c r="AF12" t="s">
        <v>442</v>
      </c>
      <c r="AG12" t="s">
        <v>443</v>
      </c>
      <c r="AH12" t="s">
        <v>444</v>
      </c>
      <c r="AI12" t="s">
        <v>445</v>
      </c>
      <c r="AJ12" t="s">
        <v>446</v>
      </c>
      <c r="AK12" t="s">
        <v>447</v>
      </c>
      <c r="AL12" t="s">
        <v>448</v>
      </c>
      <c r="AM12" t="s">
        <v>449</v>
      </c>
      <c r="AN12" t="s">
        <v>450</v>
      </c>
      <c r="AO12" t="s">
        <v>451</v>
      </c>
      <c r="AP12" t="s">
        <v>452</v>
      </c>
      <c r="AQ12" t="s">
        <v>453</v>
      </c>
      <c r="AR12" t="s">
        <v>454</v>
      </c>
      <c r="AS12" t="s">
        <v>455</v>
      </c>
      <c r="AT12" t="s">
        <v>456</v>
      </c>
      <c r="AU12" t="s">
        <v>457</v>
      </c>
      <c r="AV12" t="s">
        <v>458</v>
      </c>
      <c r="AW12" t="s">
        <v>459</v>
      </c>
      <c r="AX12" t="s">
        <v>460</v>
      </c>
      <c r="AY12" t="s">
        <v>461</v>
      </c>
      <c r="AZ12" t="s">
        <v>462</v>
      </c>
      <c r="BA12" t="s">
        <v>463</v>
      </c>
      <c r="BB12" t="s">
        <v>464</v>
      </c>
      <c r="BC12" t="s">
        <v>465</v>
      </c>
      <c r="BD12" t="s">
        <v>466</v>
      </c>
      <c r="BE12" t="s">
        <v>467</v>
      </c>
      <c r="BF12" t="s">
        <v>468</v>
      </c>
      <c r="BG12" t="s">
        <v>469</v>
      </c>
      <c r="BH12" t="s">
        <v>470</v>
      </c>
      <c r="BI12" t="s">
        <v>471</v>
      </c>
    </row>
    <row r="13" spans="1:61" x14ac:dyDescent="0.15">
      <c r="A13" s="232" t="s">
        <v>472</v>
      </c>
      <c r="B13" s="286">
        <f>CashFlow!D30</f>
        <v>-1.2126520000000001</v>
      </c>
      <c r="C13" s="286">
        <f>CashFlow!E30</f>
        <v>-2.4253040000000001</v>
      </c>
      <c r="D13" s="286">
        <f>CashFlow!F30</f>
        <v>-3.6974808542101489</v>
      </c>
      <c r="E13" s="286">
        <f>CashFlow!G30</f>
        <v>-4.82596225840829</v>
      </c>
      <c r="F13" s="286">
        <f>CashFlow!H30</f>
        <v>-6.909391765291808</v>
      </c>
      <c r="G13" s="286">
        <f>CashFlow!I30</f>
        <v>-7.7798749092074342</v>
      </c>
      <c r="H13" s="286">
        <f>CashFlow!J30</f>
        <v>-8.361299339017247</v>
      </c>
      <c r="I13" s="286">
        <f>CashFlow!K30</f>
        <v>-7.6197457032390501</v>
      </c>
      <c r="J13" s="286">
        <f>CashFlow!L30</f>
        <v>-6.5950761084293639</v>
      </c>
      <c r="K13" s="286">
        <f>CashFlow!M30</f>
        <v>-6.0513143802104139</v>
      </c>
      <c r="L13" s="286">
        <f>CashFlow!N30</f>
        <v>-4.4304212044086597</v>
      </c>
      <c r="M13" s="286">
        <f>CashFlow!O30</f>
        <v>-2.5910968198785156</v>
      </c>
      <c r="N13" s="286">
        <f>CashFlow!P30</f>
        <v>-2.3508930007426168</v>
      </c>
      <c r="O13" s="286">
        <f>CashFlow!Q30</f>
        <v>-0.47188226073286632</v>
      </c>
      <c r="P13" s="286">
        <f>CashFlow!R30</f>
        <v>1.547260280026947</v>
      </c>
      <c r="Q13" s="286">
        <f>CashFlow!S30</f>
        <v>2.6746859264870584</v>
      </c>
      <c r="R13" s="286">
        <f>CashFlow!T30</f>
        <v>4.6970611693185518</v>
      </c>
      <c r="S13" s="286">
        <f>CashFlow!U30</f>
        <v>6.7361057941779805</v>
      </c>
      <c r="T13" s="286">
        <f>CashFlow!V30</f>
        <v>8.5479477934326038</v>
      </c>
      <c r="U13" s="286">
        <f>CashFlow!W30</f>
        <v>10.611694301064277</v>
      </c>
      <c r="V13" s="286">
        <f>CashFlow!X30</f>
        <v>12.686004418241524</v>
      </c>
      <c r="W13" s="286">
        <f>CashFlow!Y30</f>
        <v>14.617792307511138</v>
      </c>
      <c r="X13" s="286">
        <f>CashFlow!Z30</f>
        <v>17.428508977190056</v>
      </c>
      <c r="Y13" s="286">
        <f>CashFlow!AA30</f>
        <v>20.251069984489902</v>
      </c>
      <c r="Z13" s="286">
        <f>CashFlow!AB30</f>
        <v>20.564594842780949</v>
      </c>
      <c r="AA13" s="286">
        <f>CashFlow!AC30</f>
        <v>22.745573250401158</v>
      </c>
      <c r="AB13" s="286">
        <f>CashFlow!AD30</f>
        <v>25.021681570967516</v>
      </c>
      <c r="AC13" s="286">
        <f>CashFlow!AE30</f>
        <v>27.043766998367079</v>
      </c>
      <c r="AD13" s="286">
        <f>CashFlow!AF30</f>
        <v>29.277622129165543</v>
      </c>
      <c r="AE13" s="286">
        <f>CashFlow!AG30</f>
        <v>31.521334685175702</v>
      </c>
      <c r="AF13" s="286">
        <f>CashFlow!AH30</f>
        <v>33.508511326865985</v>
      </c>
      <c r="AG13" s="286">
        <f>CashFlow!AI30</f>
        <v>35.772032524862837</v>
      </c>
      <c r="AH13" s="286">
        <f>CashFlow!AJ30</f>
        <v>38.04550605703988</v>
      </c>
      <c r="AI13" s="286">
        <f>CashFlow!AK30</f>
        <v>40.058893307409626</v>
      </c>
      <c r="AJ13" s="286">
        <f>CashFlow!AL30</f>
        <v>42.991757439354728</v>
      </c>
      <c r="AK13" s="286">
        <f>CashFlow!AM30</f>
        <v>45.936764869289874</v>
      </c>
      <c r="AL13" s="286">
        <f>CashFlow!AN30</f>
        <v>46.270654676407844</v>
      </c>
      <c r="AM13" s="286">
        <f>CashFlow!AO30</f>
        <v>48.547679007125922</v>
      </c>
      <c r="AN13" s="286">
        <f>CashFlow!AP30</f>
        <v>50.923586358798012</v>
      </c>
      <c r="AO13" s="286">
        <f>CashFlow!AQ30</f>
        <v>53.034463792942283</v>
      </c>
      <c r="AP13" s="286">
        <f>CashFlow!AR30</f>
        <v>55.366410908357423</v>
      </c>
      <c r="AQ13" s="286">
        <f>CashFlow!AS30</f>
        <v>57.708607102466623</v>
      </c>
      <c r="AR13" s="286">
        <f>CashFlow!AT30</f>
        <v>59.783173982817189</v>
      </c>
      <c r="AS13" s="286">
        <f>CashFlow!AU30</f>
        <v>62.145969101517039</v>
      </c>
      <c r="AT13" s="286">
        <f>CashFlow!AV30</f>
        <v>64.519114286475471</v>
      </c>
      <c r="AU13" s="286">
        <f>CashFlow!AW30</f>
        <v>66.62093970474919</v>
      </c>
      <c r="AV13" s="286">
        <f>CashFlow!AX30</f>
        <v>69.679850855488993</v>
      </c>
      <c r="AW13" s="286">
        <f>CashFlow!AY30</f>
        <v>72.751390975133035</v>
      </c>
      <c r="AX13" s="286">
        <f>CashFlow!AZ30</f>
        <v>73.105907734550868</v>
      </c>
      <c r="AY13" s="286">
        <f>CashFlow!BA30</f>
        <v>75.482114147713759</v>
      </c>
      <c r="AZ13" s="286">
        <f>CashFlow!BB30</f>
        <v>77.961120391904188</v>
      </c>
      <c r="BA13" s="286">
        <f>CashFlow!BC30</f>
        <v>80.163765206983044</v>
      </c>
      <c r="BB13" s="286">
        <f>CashFlow!BD30</f>
        <v>82.597052799563443</v>
      </c>
      <c r="BC13" s="286">
        <f>CashFlow!BE30</f>
        <v>85.040999433063377</v>
      </c>
      <c r="BD13" s="286">
        <f>CashFlow!BF30</f>
        <v>87.205881270307074</v>
      </c>
      <c r="BE13" s="286">
        <f>CashFlow!BG30</f>
        <v>89.671250784661524</v>
      </c>
      <c r="BF13" s="286">
        <f>CashFlow!BH30</f>
        <v>92.14738436779885</v>
      </c>
      <c r="BG13" s="286">
        <f>CashFlow!BI30</f>
        <v>94.340615084309889</v>
      </c>
      <c r="BH13" s="286">
        <f>CashFlow!BJ30</f>
        <v>97.529945271769833</v>
      </c>
      <c r="BI13" s="286">
        <f>CashFlow!BK30</f>
        <v>100.73240958686891</v>
      </c>
    </row>
    <row r="15" spans="1:61" ht="16" customHeight="1" x14ac:dyDescent="0.2">
      <c r="A15" s="327" t="s">
        <v>473</v>
      </c>
      <c r="B15" s="315"/>
      <c r="C15" s="315"/>
      <c r="D15" s="315"/>
    </row>
    <row r="16" spans="1:61" x14ac:dyDescent="0.15">
      <c r="A16" s="232" t="s">
        <v>210</v>
      </c>
      <c r="B16" s="232" t="s">
        <v>474</v>
      </c>
    </row>
    <row r="17" spans="1:3" x14ac:dyDescent="0.15">
      <c r="A17" t="s">
        <v>125</v>
      </c>
      <c r="B17" s="286">
        <f>-PnL!BP59</f>
        <v>10.621329096996304</v>
      </c>
    </row>
    <row r="18" spans="1:3" x14ac:dyDescent="0.15">
      <c r="A18" t="s">
        <v>126</v>
      </c>
      <c r="B18" s="286">
        <f>-PnL!BP60</f>
        <v>114.23656437179328</v>
      </c>
    </row>
    <row r="19" spans="1:3" x14ac:dyDescent="0.15">
      <c r="A19" t="s">
        <v>127</v>
      </c>
      <c r="B19" s="286">
        <f>-PnL!BP61</f>
        <v>26.225238907939961</v>
      </c>
    </row>
    <row r="20" spans="1:3" x14ac:dyDescent="0.15">
      <c r="A20" t="s">
        <v>475</v>
      </c>
      <c r="B20" s="286">
        <f>-PnL!BP63</f>
        <v>4.5</v>
      </c>
    </row>
    <row r="21" spans="1:3" x14ac:dyDescent="0.15">
      <c r="A21" t="s">
        <v>476</v>
      </c>
      <c r="B21" s="286">
        <f>-PnL!BP64</f>
        <v>5.7118282185896634</v>
      </c>
    </row>
    <row r="23" spans="1:3" ht="28" customHeight="1" x14ac:dyDescent="0.15">
      <c r="A23" s="292" t="s">
        <v>477</v>
      </c>
      <c r="B23">
        <f>CashFlow!C34</f>
        <v>15</v>
      </c>
      <c r="C23" t="s">
        <v>478</v>
      </c>
    </row>
  </sheetData>
  <mergeCells count="4">
    <mergeCell ref="A15:D15"/>
    <mergeCell ref="A3:H3"/>
    <mergeCell ref="A11:H11"/>
    <mergeCell ref="A1:H1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14"/>
  <sheetViews>
    <sheetView zoomScale="110" workbookViewId="0">
      <selection activeCell="E8" sqref="E8"/>
    </sheetView>
  </sheetViews>
  <sheetFormatPr baseColWidth="10" defaultRowHeight="14" outlineLevelRow="1" x14ac:dyDescent="0.15"/>
  <cols>
    <col min="1" max="1" width="15.83203125" style="191" customWidth="1"/>
    <col min="2" max="3" width="10.83203125" style="191" customWidth="1"/>
    <col min="4" max="4" width="16.83203125" style="191" bestFit="1" customWidth="1"/>
    <col min="5" max="8" width="10.83203125" style="191" customWidth="1"/>
    <col min="9" max="9" width="16" customWidth="1"/>
    <col min="10" max="10" width="12.83203125" customWidth="1"/>
    <col min="11" max="11" width="10.83203125" style="191" customWidth="1"/>
    <col min="12" max="12" width="9" style="191" customWidth="1"/>
    <col min="13" max="15" width="10.83203125" style="191" customWidth="1"/>
    <col min="16" max="16384" width="10.83203125" style="191"/>
  </cols>
  <sheetData>
    <row r="1" spans="1:13" s="311" customFormat="1" x14ac:dyDescent="0.15">
      <c r="A1" s="313" t="s">
        <v>479</v>
      </c>
      <c r="I1" s="312"/>
      <c r="J1" s="312"/>
    </row>
    <row r="2" spans="1:13" x14ac:dyDescent="0.15">
      <c r="A2" s="191" t="s">
        <v>480</v>
      </c>
    </row>
    <row r="3" spans="1:13" x14ac:dyDescent="0.15">
      <c r="A3" s="191" t="s">
        <v>481</v>
      </c>
    </row>
    <row r="4" spans="1:13" x14ac:dyDescent="0.15">
      <c r="A4" s="191" t="s">
        <v>482</v>
      </c>
    </row>
    <row r="6" spans="1:13" s="193" customFormat="1" ht="15" customHeight="1" thickBot="1" x14ac:dyDescent="0.2">
      <c r="A6" s="192" t="s">
        <v>483</v>
      </c>
    </row>
    <row r="7" spans="1:13" x14ac:dyDescent="0.15">
      <c r="A7" s="194"/>
      <c r="B7" s="195" t="s">
        <v>484</v>
      </c>
      <c r="C7" s="195" t="s">
        <v>485</v>
      </c>
      <c r="D7" s="195" t="s">
        <v>486</v>
      </c>
      <c r="E7" s="195"/>
      <c r="F7" s="196"/>
      <c r="G7" s="197"/>
      <c r="I7" s="221"/>
      <c r="J7" s="191" t="s">
        <v>487</v>
      </c>
      <c r="L7" s="222"/>
      <c r="M7" s="191" t="s">
        <v>488</v>
      </c>
    </row>
    <row r="8" spans="1:13" ht="15" customHeight="1" thickBot="1" x14ac:dyDescent="0.2">
      <c r="A8" s="198" t="s">
        <v>489</v>
      </c>
      <c r="B8" s="199">
        <f>Assumptions!C11</f>
        <v>0.75</v>
      </c>
      <c r="C8" s="199" t="s">
        <v>485</v>
      </c>
      <c r="D8" s="200">
        <f>Assumptions!C23</f>
        <v>0.05</v>
      </c>
      <c r="E8" s="201" t="s">
        <v>490</v>
      </c>
      <c r="F8" s="202">
        <f>B8*D8*1000</f>
        <v>37.500000000000007</v>
      </c>
      <c r="G8" s="203" t="s">
        <v>491</v>
      </c>
    </row>
    <row r="9" spans="1:13" ht="15" customHeight="1" thickBot="1" x14ac:dyDescent="0.2">
      <c r="B9" s="204"/>
      <c r="C9" s="204"/>
      <c r="D9" s="204"/>
    </row>
    <row r="10" spans="1:13" ht="15" customHeight="1" thickBot="1" x14ac:dyDescent="0.2">
      <c r="A10" s="205" t="s">
        <v>492</v>
      </c>
      <c r="B10" s="206" t="s">
        <v>182</v>
      </c>
      <c r="C10" s="206" t="s">
        <v>493</v>
      </c>
      <c r="D10" s="206"/>
      <c r="E10" s="207" t="s">
        <v>490</v>
      </c>
      <c r="F10" s="208">
        <v>300</v>
      </c>
      <c r="G10" s="209" t="s">
        <v>491</v>
      </c>
    </row>
    <row r="11" spans="1:13" ht="15" customHeight="1" thickBot="1" x14ac:dyDescent="0.2">
      <c r="B11" s="204"/>
      <c r="C11" s="204"/>
      <c r="D11" s="204"/>
    </row>
    <row r="12" spans="1:13" ht="32" customHeight="1" x14ac:dyDescent="0.15">
      <c r="A12" s="210" t="s">
        <v>494</v>
      </c>
      <c r="B12" s="211">
        <v>0.2</v>
      </c>
      <c r="C12" s="334" t="s">
        <v>495</v>
      </c>
      <c r="D12" s="335"/>
      <c r="E12" s="335"/>
      <c r="F12" s="335"/>
      <c r="G12" s="197"/>
    </row>
    <row r="13" spans="1:13" ht="15" customHeight="1" thickBot="1" x14ac:dyDescent="0.2">
      <c r="A13" s="198" t="s">
        <v>496</v>
      </c>
      <c r="B13" s="199">
        <v>1</v>
      </c>
      <c r="C13" s="199" t="s">
        <v>497</v>
      </c>
      <c r="D13" s="200">
        <v>0.2</v>
      </c>
      <c r="E13" s="201" t="s">
        <v>490</v>
      </c>
      <c r="F13" s="202">
        <f>B13/D13</f>
        <v>5</v>
      </c>
      <c r="G13" s="203" t="s">
        <v>171</v>
      </c>
    </row>
    <row r="14" spans="1:13" ht="15" customHeight="1" thickBot="1" x14ac:dyDescent="0.2">
      <c r="B14" s="204"/>
      <c r="C14" s="204"/>
      <c r="D14" s="204"/>
    </row>
    <row r="15" spans="1:13" ht="37" customHeight="1" thickBot="1" x14ac:dyDescent="0.2">
      <c r="A15" s="205" t="s">
        <v>498</v>
      </c>
      <c r="B15" s="329" t="s">
        <v>499</v>
      </c>
      <c r="C15" s="330"/>
      <c r="D15" s="330"/>
      <c r="E15" s="330"/>
      <c r="F15" s="212">
        <v>0.6</v>
      </c>
      <c r="G15" s="213"/>
    </row>
    <row r="16" spans="1:13" x14ac:dyDescent="0.15">
      <c r="B16" s="204"/>
      <c r="C16" s="204"/>
      <c r="D16" s="204"/>
    </row>
    <row r="17" spans="1:14" x14ac:dyDescent="0.15">
      <c r="B17" s="204"/>
      <c r="C17" s="204"/>
      <c r="D17" s="204"/>
    </row>
    <row r="18" spans="1:14" s="193" customFormat="1" ht="15" customHeight="1" thickBot="1" x14ac:dyDescent="0.2">
      <c r="A18" s="192" t="s">
        <v>500</v>
      </c>
      <c r="B18" s="214"/>
      <c r="C18" s="214"/>
      <c r="D18" s="214"/>
    </row>
    <row r="19" spans="1:14" ht="15" customHeight="1" thickBot="1" x14ac:dyDescent="0.2">
      <c r="A19" s="205" t="s">
        <v>501</v>
      </c>
      <c r="B19" s="206" t="s">
        <v>182</v>
      </c>
      <c r="C19" s="336" t="s">
        <v>502</v>
      </c>
      <c r="D19" s="330"/>
      <c r="E19" s="207" t="s">
        <v>490</v>
      </c>
      <c r="F19" s="208">
        <v>1700</v>
      </c>
      <c r="G19" s="209" t="s">
        <v>491</v>
      </c>
    </row>
    <row r="20" spans="1:14" ht="15" customHeight="1" thickBot="1" x14ac:dyDescent="0.2">
      <c r="A20" s="215"/>
    </row>
    <row r="21" spans="1:14" ht="15" customHeight="1" thickBot="1" x14ac:dyDescent="0.2">
      <c r="A21" s="205" t="s">
        <v>503</v>
      </c>
      <c r="B21" s="206" t="s">
        <v>182</v>
      </c>
      <c r="C21" s="216" t="s">
        <v>504</v>
      </c>
      <c r="D21" s="216"/>
      <c r="E21" s="207" t="s">
        <v>490</v>
      </c>
      <c r="F21" s="208">
        <v>2</v>
      </c>
      <c r="G21" s="209" t="s">
        <v>505</v>
      </c>
    </row>
    <row r="22" spans="1:14" ht="15" customHeight="1" thickBot="1" x14ac:dyDescent="0.2"/>
    <row r="23" spans="1:14" ht="15" customHeight="1" thickBot="1" x14ac:dyDescent="0.2">
      <c r="A23" s="205" t="s">
        <v>506</v>
      </c>
      <c r="B23" s="216" t="s">
        <v>182</v>
      </c>
      <c r="C23" s="217" t="s">
        <v>507</v>
      </c>
      <c r="D23" s="216"/>
      <c r="E23" s="207" t="s">
        <v>490</v>
      </c>
      <c r="F23" s="208">
        <v>3</v>
      </c>
      <c r="G23" s="209" t="s">
        <v>134</v>
      </c>
    </row>
    <row r="25" spans="1:14" s="218" customFormat="1" x14ac:dyDescent="0.15">
      <c r="A25" s="218" t="s">
        <v>508</v>
      </c>
    </row>
    <row r="27" spans="1:14" outlineLevel="1" x14ac:dyDescent="0.15">
      <c r="A27" s="191" t="s">
        <v>509</v>
      </c>
      <c r="C27" s="191">
        <f>F8</f>
        <v>37.500000000000007</v>
      </c>
      <c r="D27" s="191" t="s">
        <v>491</v>
      </c>
      <c r="J27" s="126" t="s">
        <v>510</v>
      </c>
      <c r="K27" s="126" t="s">
        <v>511</v>
      </c>
      <c r="L27" s="126" t="s">
        <v>512</v>
      </c>
      <c r="M27" s="126" t="s">
        <v>487</v>
      </c>
      <c r="N27" s="215" t="s">
        <v>492</v>
      </c>
    </row>
    <row r="28" spans="1:14" outlineLevel="1" x14ac:dyDescent="0.15">
      <c r="A28" s="191" t="s">
        <v>513</v>
      </c>
      <c r="C28" s="191">
        <f>F19*F23/100*F21</f>
        <v>102</v>
      </c>
      <c r="D28" s="191" t="s">
        <v>491</v>
      </c>
      <c r="I28" s="191">
        <v>1</v>
      </c>
      <c r="J28" s="219">
        <v>0.95</v>
      </c>
      <c r="K28" s="219">
        <f t="shared" ref="K28:K46" si="0">1-J28</f>
        <v>5.0000000000000044E-2</v>
      </c>
      <c r="L28" s="220">
        <f t="shared" ref="L28:L46" si="1">1/K28</f>
        <v>19.999999999999982</v>
      </c>
      <c r="M28" s="220">
        <f t="shared" ref="M28:M46" si="2">$C$30*L28*$F$15</f>
        <v>1673.9999999999986</v>
      </c>
      <c r="N28" s="191">
        <v>300</v>
      </c>
    </row>
    <row r="29" spans="1:14" outlineLevel="1" x14ac:dyDescent="0.15">
      <c r="I29" s="191">
        <v>2</v>
      </c>
      <c r="J29" s="219">
        <v>0.9</v>
      </c>
      <c r="K29" s="219">
        <f t="shared" si="0"/>
        <v>9.9999999999999978E-2</v>
      </c>
      <c r="L29" s="220">
        <f t="shared" si="1"/>
        <v>10.000000000000002</v>
      </c>
      <c r="M29" s="220">
        <f t="shared" si="2"/>
        <v>837.00000000000011</v>
      </c>
      <c r="N29" s="191">
        <v>300</v>
      </c>
    </row>
    <row r="30" spans="1:14" ht="15" customHeight="1" outlineLevel="1" thickBot="1" x14ac:dyDescent="0.2">
      <c r="A30" s="191" t="s">
        <v>489</v>
      </c>
      <c r="C30" s="191">
        <f>C27+C28</f>
        <v>139.5</v>
      </c>
      <c r="D30" s="191" t="s">
        <v>491</v>
      </c>
      <c r="I30" s="191">
        <v>3</v>
      </c>
      <c r="J30" s="219">
        <v>0.85</v>
      </c>
      <c r="K30" s="219">
        <f t="shared" si="0"/>
        <v>0.15000000000000002</v>
      </c>
      <c r="L30" s="220">
        <f t="shared" si="1"/>
        <v>6.6666666666666661</v>
      </c>
      <c r="M30" s="220">
        <f t="shared" si="2"/>
        <v>557.99999999999989</v>
      </c>
      <c r="N30" s="191">
        <v>300</v>
      </c>
    </row>
    <row r="31" spans="1:14" outlineLevel="1" x14ac:dyDescent="0.15">
      <c r="A31" s="194"/>
      <c r="B31" s="195" t="s">
        <v>489</v>
      </c>
      <c r="C31" s="195" t="s">
        <v>496</v>
      </c>
      <c r="D31" s="195" t="s">
        <v>498</v>
      </c>
      <c r="E31" s="196" t="s">
        <v>498</v>
      </c>
      <c r="F31" s="197"/>
      <c r="I31" s="191">
        <v>4</v>
      </c>
      <c r="J31" s="219">
        <v>0.8</v>
      </c>
      <c r="K31" s="219">
        <f t="shared" si="0"/>
        <v>0.19999999999999996</v>
      </c>
      <c r="L31" s="220">
        <f t="shared" si="1"/>
        <v>5.0000000000000009</v>
      </c>
      <c r="M31" s="220">
        <f t="shared" si="2"/>
        <v>418.50000000000006</v>
      </c>
      <c r="N31" s="191">
        <v>300</v>
      </c>
    </row>
    <row r="32" spans="1:14" ht="15" customHeight="1" outlineLevel="1" thickBot="1" x14ac:dyDescent="0.2">
      <c r="A32" s="198" t="s">
        <v>487</v>
      </c>
      <c r="B32" s="199">
        <f>C30</f>
        <v>139.5</v>
      </c>
      <c r="C32" s="199">
        <f>F13</f>
        <v>5</v>
      </c>
      <c r="D32" s="200">
        <f>F15</f>
        <v>0.6</v>
      </c>
      <c r="E32" s="202">
        <f>B32*C32*D32</f>
        <v>418.5</v>
      </c>
      <c r="F32" s="203" t="s">
        <v>491</v>
      </c>
      <c r="I32" s="191">
        <v>5</v>
      </c>
      <c r="J32" s="219">
        <v>0.75</v>
      </c>
      <c r="K32" s="219">
        <f t="shared" si="0"/>
        <v>0.25</v>
      </c>
      <c r="L32" s="220">
        <f t="shared" si="1"/>
        <v>4</v>
      </c>
      <c r="M32" s="220">
        <f t="shared" si="2"/>
        <v>334.8</v>
      </c>
      <c r="N32" s="191">
        <v>300</v>
      </c>
    </row>
    <row r="33" spans="1:14" ht="15" customHeight="1" outlineLevel="1" thickBot="1" x14ac:dyDescent="0.2">
      <c r="B33" s="204"/>
      <c r="C33" s="204"/>
      <c r="D33" s="204"/>
      <c r="I33" s="191">
        <v>6</v>
      </c>
      <c r="J33" s="219">
        <v>0.7</v>
      </c>
      <c r="K33" s="219">
        <f t="shared" si="0"/>
        <v>0.30000000000000004</v>
      </c>
      <c r="L33" s="220">
        <f t="shared" si="1"/>
        <v>3.333333333333333</v>
      </c>
      <c r="M33" s="220">
        <f t="shared" si="2"/>
        <v>278.99999999999994</v>
      </c>
      <c r="N33" s="191">
        <v>300</v>
      </c>
    </row>
    <row r="34" spans="1:14" outlineLevel="1" x14ac:dyDescent="0.15">
      <c r="A34" s="194"/>
      <c r="B34" s="195" t="s">
        <v>487</v>
      </c>
      <c r="C34" s="195" t="s">
        <v>514</v>
      </c>
      <c r="D34" s="195" t="s">
        <v>488</v>
      </c>
      <c r="E34" s="196"/>
      <c r="F34" s="197"/>
      <c r="I34" s="191">
        <v>7</v>
      </c>
      <c r="J34" s="219">
        <v>0.65</v>
      </c>
      <c r="K34" s="219">
        <f t="shared" si="0"/>
        <v>0.35</v>
      </c>
      <c r="L34" s="220">
        <f t="shared" si="1"/>
        <v>2.8571428571428572</v>
      </c>
      <c r="M34" s="220">
        <f t="shared" si="2"/>
        <v>239.14285714285711</v>
      </c>
      <c r="N34" s="191">
        <v>300</v>
      </c>
    </row>
    <row r="35" spans="1:14" ht="15" customHeight="1" outlineLevel="1" thickBot="1" x14ac:dyDescent="0.2">
      <c r="A35" s="198" t="s">
        <v>515</v>
      </c>
      <c r="B35" s="199">
        <f>E32</f>
        <v>418.5</v>
      </c>
      <c r="C35" s="199" t="s">
        <v>514</v>
      </c>
      <c r="D35" s="199">
        <f>F10</f>
        <v>300</v>
      </c>
      <c r="E35" s="202">
        <f>B35-D35</f>
        <v>118.5</v>
      </c>
      <c r="F35" s="203" t="s">
        <v>491</v>
      </c>
      <c r="G35" s="191" t="s">
        <v>516</v>
      </c>
      <c r="I35" s="191">
        <v>8</v>
      </c>
      <c r="J35" s="219">
        <v>0.6</v>
      </c>
      <c r="K35" s="219">
        <f t="shared" si="0"/>
        <v>0.4</v>
      </c>
      <c r="L35" s="220">
        <f t="shared" si="1"/>
        <v>2.5</v>
      </c>
      <c r="M35" s="220">
        <f t="shared" si="2"/>
        <v>209.25</v>
      </c>
      <c r="N35" s="191">
        <v>300</v>
      </c>
    </row>
    <row r="36" spans="1:14" outlineLevel="1" x14ac:dyDescent="0.15">
      <c r="B36" s="204"/>
      <c r="C36" s="204"/>
      <c r="D36" s="204"/>
      <c r="I36" s="191">
        <v>9</v>
      </c>
      <c r="J36" s="219">
        <v>0.55000000000000104</v>
      </c>
      <c r="K36" s="219">
        <f t="shared" si="0"/>
        <v>0.44999999999999896</v>
      </c>
      <c r="L36" s="220">
        <f t="shared" si="1"/>
        <v>2.2222222222222272</v>
      </c>
      <c r="M36" s="220">
        <f t="shared" si="2"/>
        <v>186.0000000000004</v>
      </c>
      <c r="N36" s="191">
        <v>300</v>
      </c>
    </row>
    <row r="37" spans="1:14" outlineLevel="1" x14ac:dyDescent="0.15">
      <c r="A37" s="215" t="s">
        <v>517</v>
      </c>
      <c r="B37" s="204"/>
      <c r="C37" s="204"/>
      <c r="D37" s="204"/>
      <c r="I37" s="191">
        <v>10</v>
      </c>
      <c r="J37" s="219">
        <v>0.500000000000001</v>
      </c>
      <c r="K37" s="219">
        <f t="shared" si="0"/>
        <v>0.499999999999999</v>
      </c>
      <c r="L37" s="220">
        <f t="shared" si="1"/>
        <v>2.000000000000004</v>
      </c>
      <c r="M37" s="220">
        <f t="shared" si="2"/>
        <v>167.40000000000035</v>
      </c>
      <c r="N37" s="191">
        <v>300</v>
      </c>
    </row>
    <row r="38" spans="1:14" outlineLevel="1" x14ac:dyDescent="0.15">
      <c r="A38" s="215" t="s">
        <v>518</v>
      </c>
      <c r="B38" s="204"/>
      <c r="C38" s="204"/>
      <c r="D38" s="204"/>
      <c r="I38" s="191">
        <v>11</v>
      </c>
      <c r="J38" s="219">
        <v>0.45000000000000101</v>
      </c>
      <c r="K38" s="219">
        <f t="shared" si="0"/>
        <v>0.54999999999999893</v>
      </c>
      <c r="L38" s="220">
        <f t="shared" si="1"/>
        <v>1.8181818181818217</v>
      </c>
      <c r="M38" s="220">
        <f t="shared" si="2"/>
        <v>152.18181818181847</v>
      </c>
      <c r="N38" s="191">
        <v>300</v>
      </c>
    </row>
    <row r="39" spans="1:14" outlineLevel="1" x14ac:dyDescent="0.15">
      <c r="A39" s="191" t="s">
        <v>519</v>
      </c>
      <c r="I39" s="191">
        <v>12</v>
      </c>
      <c r="J39" s="219">
        <v>0.40000000000000102</v>
      </c>
      <c r="K39" s="219">
        <f t="shared" si="0"/>
        <v>0.59999999999999898</v>
      </c>
      <c r="L39" s="220">
        <f t="shared" si="1"/>
        <v>1.6666666666666694</v>
      </c>
      <c r="M39" s="220">
        <f t="shared" si="2"/>
        <v>139.50000000000023</v>
      </c>
      <c r="N39" s="191">
        <v>300</v>
      </c>
    </row>
    <row r="40" spans="1:14" outlineLevel="1" x14ac:dyDescent="0.15">
      <c r="A40" s="191" t="s">
        <v>520</v>
      </c>
      <c r="I40" s="191">
        <v>13</v>
      </c>
      <c r="J40" s="219">
        <v>0.35000000000000098</v>
      </c>
      <c r="K40" s="219">
        <f t="shared" si="0"/>
        <v>0.64999999999999902</v>
      </c>
      <c r="L40" s="220">
        <f t="shared" si="1"/>
        <v>1.5384615384615408</v>
      </c>
      <c r="M40" s="220">
        <f t="shared" si="2"/>
        <v>128.76923076923094</v>
      </c>
      <c r="N40" s="191">
        <v>300</v>
      </c>
    </row>
    <row r="41" spans="1:14" outlineLevel="1" x14ac:dyDescent="0.15">
      <c r="I41" s="191">
        <v>14</v>
      </c>
      <c r="J41" s="219">
        <v>0.30000000000000099</v>
      </c>
      <c r="K41" s="219">
        <f t="shared" si="0"/>
        <v>0.69999999999999907</v>
      </c>
      <c r="L41" s="220">
        <f t="shared" si="1"/>
        <v>1.4285714285714304</v>
      </c>
      <c r="M41" s="220">
        <f t="shared" si="2"/>
        <v>119.57142857142871</v>
      </c>
      <c r="N41" s="191">
        <v>300</v>
      </c>
    </row>
    <row r="42" spans="1:14" outlineLevel="1" x14ac:dyDescent="0.15">
      <c r="A42" s="215" t="s">
        <v>521</v>
      </c>
      <c r="I42" s="191">
        <v>15</v>
      </c>
      <c r="J42" s="219">
        <v>0.250000000000001</v>
      </c>
      <c r="K42" s="219">
        <f t="shared" si="0"/>
        <v>0.749999999999999</v>
      </c>
      <c r="L42" s="220">
        <f t="shared" si="1"/>
        <v>1.333333333333335</v>
      </c>
      <c r="M42" s="220">
        <f t="shared" si="2"/>
        <v>111.60000000000014</v>
      </c>
      <c r="N42" s="191">
        <v>300</v>
      </c>
    </row>
    <row r="43" spans="1:14" outlineLevel="1" x14ac:dyDescent="0.15">
      <c r="A43" s="191" t="s">
        <v>522</v>
      </c>
      <c r="I43" s="191">
        <v>16</v>
      </c>
      <c r="J43" s="219">
        <v>0.20000000000000101</v>
      </c>
      <c r="K43" s="219">
        <f t="shared" si="0"/>
        <v>0.79999999999999893</v>
      </c>
      <c r="L43" s="220">
        <f t="shared" si="1"/>
        <v>1.2500000000000018</v>
      </c>
      <c r="M43" s="220">
        <f t="shared" si="2"/>
        <v>104.62500000000016</v>
      </c>
      <c r="N43" s="191">
        <v>300</v>
      </c>
    </row>
    <row r="44" spans="1:14" outlineLevel="1" x14ac:dyDescent="0.15">
      <c r="A44" s="191" t="s">
        <v>523</v>
      </c>
      <c r="I44" s="191">
        <v>17</v>
      </c>
      <c r="J44" s="219">
        <v>0.15000000000000099</v>
      </c>
      <c r="K44" s="219">
        <f t="shared" si="0"/>
        <v>0.84999999999999898</v>
      </c>
      <c r="L44" s="220">
        <f t="shared" si="1"/>
        <v>1.1764705882352955</v>
      </c>
      <c r="M44" s="220">
        <f t="shared" si="2"/>
        <v>98.470588235294215</v>
      </c>
      <c r="N44" s="191">
        <v>300</v>
      </c>
    </row>
    <row r="45" spans="1:14" outlineLevel="1" x14ac:dyDescent="0.15">
      <c r="A45" s="191" t="s">
        <v>524</v>
      </c>
      <c r="I45" s="191">
        <v>18</v>
      </c>
      <c r="J45" s="219">
        <v>0.100000000000001</v>
      </c>
      <c r="K45" s="219">
        <f t="shared" si="0"/>
        <v>0.89999999999999902</v>
      </c>
      <c r="L45" s="220">
        <f t="shared" si="1"/>
        <v>1.1111111111111123</v>
      </c>
      <c r="M45" s="220">
        <f t="shared" si="2"/>
        <v>93.000000000000099</v>
      </c>
      <c r="N45" s="191">
        <v>300</v>
      </c>
    </row>
    <row r="46" spans="1:14" outlineLevel="1" x14ac:dyDescent="0.15">
      <c r="I46" s="191">
        <v>19</v>
      </c>
      <c r="J46" s="219">
        <v>5.0000000000000898E-2</v>
      </c>
      <c r="K46" s="219">
        <f t="shared" si="0"/>
        <v>0.94999999999999907</v>
      </c>
      <c r="L46" s="220">
        <f t="shared" si="1"/>
        <v>1.0526315789473695</v>
      </c>
      <c r="M46" s="220">
        <f t="shared" si="2"/>
        <v>88.105263157894811</v>
      </c>
      <c r="N46" s="191">
        <v>300</v>
      </c>
    </row>
    <row r="47" spans="1:14" outlineLevel="1" x14ac:dyDescent="0.15">
      <c r="A47" s="333" t="s">
        <v>525</v>
      </c>
      <c r="B47" s="328"/>
      <c r="C47" s="328"/>
      <c r="D47" s="328"/>
      <c r="E47" s="328"/>
      <c r="F47" s="328"/>
      <c r="G47" s="328"/>
    </row>
    <row r="48" spans="1:14" outlineLevel="1" x14ac:dyDescent="0.15">
      <c r="A48" s="328"/>
      <c r="B48" s="328"/>
      <c r="C48" s="328"/>
      <c r="D48" s="328"/>
      <c r="E48" s="328"/>
      <c r="F48" s="328"/>
      <c r="G48" s="328"/>
    </row>
    <row r="49" spans="1:7" outlineLevel="1" x14ac:dyDescent="0.15">
      <c r="A49" s="328"/>
      <c r="B49" s="328"/>
      <c r="C49" s="328"/>
      <c r="D49" s="328"/>
      <c r="E49" s="328"/>
      <c r="F49" s="328"/>
      <c r="G49" s="328"/>
    </row>
    <row r="50" spans="1:7" outlineLevel="1" x14ac:dyDescent="0.15">
      <c r="A50" s="328"/>
      <c r="B50" s="328"/>
      <c r="C50" s="328"/>
      <c r="D50" s="328"/>
      <c r="E50" s="328"/>
      <c r="F50" s="328"/>
      <c r="G50" s="328"/>
    </row>
    <row r="51" spans="1:7" outlineLevel="1" x14ac:dyDescent="0.15">
      <c r="A51" s="328"/>
      <c r="B51" s="328"/>
      <c r="C51" s="328"/>
      <c r="D51" s="328"/>
      <c r="E51" s="328"/>
      <c r="F51" s="328"/>
      <c r="G51" s="328"/>
    </row>
    <row r="52" spans="1:7" outlineLevel="1" x14ac:dyDescent="0.15">
      <c r="A52" s="328"/>
      <c r="B52" s="328"/>
      <c r="C52" s="328"/>
      <c r="D52" s="328"/>
      <c r="E52" s="328"/>
      <c r="F52" s="328"/>
      <c r="G52" s="328"/>
    </row>
    <row r="53" spans="1:7" outlineLevel="1" x14ac:dyDescent="0.15">
      <c r="A53" s="328"/>
      <c r="B53" s="328"/>
      <c r="C53" s="328"/>
      <c r="D53" s="328"/>
      <c r="E53" s="328"/>
      <c r="F53" s="328"/>
      <c r="G53" s="328"/>
    </row>
    <row r="54" spans="1:7" outlineLevel="1" x14ac:dyDescent="0.15">
      <c r="A54" s="328"/>
      <c r="B54" s="328"/>
      <c r="C54" s="328"/>
      <c r="D54" s="328"/>
      <c r="E54" s="328"/>
      <c r="F54" s="328"/>
      <c r="G54" s="328"/>
    </row>
    <row r="55" spans="1:7" outlineLevel="1" x14ac:dyDescent="0.15">
      <c r="A55" s="328"/>
      <c r="B55" s="328"/>
      <c r="C55" s="328"/>
      <c r="D55" s="328"/>
      <c r="E55" s="328"/>
      <c r="F55" s="328"/>
      <c r="G55" s="328"/>
    </row>
    <row r="56" spans="1:7" outlineLevel="1" x14ac:dyDescent="0.15">
      <c r="A56" s="328"/>
      <c r="B56" s="328"/>
      <c r="C56" s="328"/>
      <c r="D56" s="328"/>
      <c r="E56" s="328"/>
      <c r="F56" s="328"/>
      <c r="G56" s="328"/>
    </row>
    <row r="57" spans="1:7" outlineLevel="1" x14ac:dyDescent="0.15">
      <c r="A57" s="328"/>
      <c r="B57" s="328"/>
      <c r="C57" s="328"/>
      <c r="D57" s="328"/>
      <c r="E57" s="328"/>
      <c r="F57" s="328"/>
      <c r="G57" s="328"/>
    </row>
    <row r="58" spans="1:7" outlineLevel="1" x14ac:dyDescent="0.15">
      <c r="A58" s="328"/>
      <c r="B58" s="328"/>
      <c r="C58" s="328"/>
      <c r="D58" s="328"/>
      <c r="E58" s="328"/>
      <c r="F58" s="328"/>
      <c r="G58" s="328"/>
    </row>
    <row r="59" spans="1:7" outlineLevel="1" x14ac:dyDescent="0.15">
      <c r="A59" s="328"/>
      <c r="B59" s="328"/>
      <c r="C59" s="328"/>
      <c r="D59" s="328"/>
      <c r="E59" s="328"/>
      <c r="F59" s="328"/>
      <c r="G59" s="328"/>
    </row>
    <row r="60" spans="1:7" outlineLevel="1" x14ac:dyDescent="0.15">
      <c r="A60" s="328"/>
      <c r="B60" s="328"/>
      <c r="C60" s="328"/>
      <c r="D60" s="328"/>
      <c r="E60" s="328"/>
      <c r="F60" s="328"/>
      <c r="G60" s="328"/>
    </row>
    <row r="61" spans="1:7" outlineLevel="1" x14ac:dyDescent="0.15">
      <c r="A61" s="328"/>
      <c r="B61" s="328"/>
      <c r="C61" s="328"/>
      <c r="D61" s="328"/>
      <c r="E61" s="328"/>
      <c r="F61" s="328"/>
      <c r="G61" s="328"/>
    </row>
    <row r="62" spans="1:7" outlineLevel="1" x14ac:dyDescent="0.15">
      <c r="A62" s="328"/>
      <c r="B62" s="328"/>
      <c r="C62" s="328"/>
      <c r="D62" s="328"/>
      <c r="E62" s="328"/>
      <c r="F62" s="328"/>
      <c r="G62" s="328"/>
    </row>
    <row r="63" spans="1:7" outlineLevel="1" x14ac:dyDescent="0.15">
      <c r="A63" s="328"/>
      <c r="B63" s="328"/>
      <c r="C63" s="328"/>
      <c r="D63" s="328"/>
      <c r="E63" s="328"/>
      <c r="F63" s="328"/>
      <c r="G63" s="328"/>
    </row>
    <row r="64" spans="1:7" outlineLevel="1" x14ac:dyDescent="0.15">
      <c r="A64" s="328"/>
      <c r="B64" s="328"/>
      <c r="C64" s="328"/>
      <c r="D64" s="328"/>
      <c r="E64" s="328"/>
      <c r="F64" s="328"/>
      <c r="G64" s="328"/>
    </row>
    <row r="65" spans="1:7" outlineLevel="1" x14ac:dyDescent="0.15">
      <c r="A65" s="328"/>
      <c r="B65" s="328"/>
      <c r="C65" s="328"/>
      <c r="D65" s="328"/>
      <c r="E65" s="328"/>
      <c r="F65" s="328"/>
      <c r="G65" s="328"/>
    </row>
    <row r="66" spans="1:7" outlineLevel="1" x14ac:dyDescent="0.15">
      <c r="A66" s="328"/>
      <c r="B66" s="328"/>
      <c r="C66" s="328"/>
      <c r="D66" s="328"/>
      <c r="E66" s="328"/>
      <c r="F66" s="328"/>
      <c r="G66" s="328"/>
    </row>
    <row r="67" spans="1:7" outlineLevel="1" x14ac:dyDescent="0.15">
      <c r="A67" s="328"/>
      <c r="B67" s="328"/>
      <c r="C67" s="328"/>
      <c r="D67" s="328"/>
      <c r="E67" s="328"/>
      <c r="F67" s="328"/>
      <c r="G67" s="328"/>
    </row>
    <row r="68" spans="1:7" ht="3" customHeight="1" outlineLevel="1" x14ac:dyDescent="0.15">
      <c r="A68" s="328"/>
      <c r="B68" s="328"/>
      <c r="C68" s="328"/>
      <c r="D68" s="328"/>
      <c r="E68" s="328"/>
      <c r="F68" s="328"/>
      <c r="G68" s="328"/>
    </row>
    <row r="69" spans="1:7" outlineLevel="1" x14ac:dyDescent="0.15">
      <c r="A69" s="328"/>
      <c r="B69" s="328"/>
      <c r="C69" s="328"/>
      <c r="D69" s="328"/>
      <c r="E69" s="328"/>
      <c r="F69" s="328"/>
      <c r="G69" s="328"/>
    </row>
    <row r="70" spans="1:7" outlineLevel="1" x14ac:dyDescent="0.15">
      <c r="A70" s="328"/>
      <c r="B70" s="328"/>
      <c r="C70" s="328"/>
      <c r="D70" s="328"/>
      <c r="E70" s="328"/>
      <c r="F70" s="328"/>
      <c r="G70" s="328"/>
    </row>
    <row r="71" spans="1:7" outlineLevel="1" x14ac:dyDescent="0.15">
      <c r="A71" s="328"/>
      <c r="B71" s="328"/>
      <c r="C71" s="328"/>
      <c r="D71" s="328"/>
      <c r="E71" s="328"/>
      <c r="F71" s="328"/>
      <c r="G71" s="328"/>
    </row>
    <row r="72" spans="1:7" outlineLevel="1" x14ac:dyDescent="0.15">
      <c r="A72" s="332" t="s">
        <v>526</v>
      </c>
      <c r="B72" s="328"/>
      <c r="C72" s="328"/>
      <c r="D72" s="328"/>
      <c r="E72" s="328"/>
      <c r="F72" s="328"/>
      <c r="G72" s="328"/>
    </row>
    <row r="73" spans="1:7" outlineLevel="1" x14ac:dyDescent="0.15">
      <c r="A73" s="333" t="s">
        <v>527</v>
      </c>
      <c r="B73" s="328"/>
      <c r="C73" s="328"/>
      <c r="D73" s="328"/>
      <c r="E73" s="328"/>
      <c r="F73" s="328"/>
      <c r="G73" s="328"/>
    </row>
    <row r="74" spans="1:7" outlineLevel="1" x14ac:dyDescent="0.15">
      <c r="A74" s="328"/>
      <c r="B74" s="328"/>
      <c r="C74" s="328"/>
      <c r="D74" s="328"/>
      <c r="E74" s="328"/>
      <c r="F74" s="328"/>
      <c r="G74" s="328"/>
    </row>
    <row r="75" spans="1:7" outlineLevel="1" x14ac:dyDescent="0.15">
      <c r="A75" s="328"/>
      <c r="B75" s="328"/>
      <c r="C75" s="328"/>
      <c r="D75" s="328"/>
      <c r="E75" s="328"/>
      <c r="F75" s="328"/>
      <c r="G75" s="328"/>
    </row>
    <row r="76" spans="1:7" outlineLevel="1" x14ac:dyDescent="0.15">
      <c r="A76" s="328"/>
      <c r="B76" s="328"/>
      <c r="C76" s="328"/>
      <c r="D76" s="328"/>
      <c r="E76" s="328"/>
      <c r="F76" s="328"/>
      <c r="G76" s="328"/>
    </row>
    <row r="77" spans="1:7" outlineLevel="1" x14ac:dyDescent="0.15">
      <c r="A77" s="328"/>
      <c r="B77" s="328"/>
      <c r="C77" s="328"/>
      <c r="D77" s="328"/>
      <c r="E77" s="328"/>
      <c r="F77" s="328"/>
      <c r="G77" s="328"/>
    </row>
    <row r="78" spans="1:7" outlineLevel="1" x14ac:dyDescent="0.15">
      <c r="A78" s="328"/>
      <c r="B78" s="328"/>
      <c r="C78" s="328"/>
      <c r="D78" s="328"/>
      <c r="E78" s="328"/>
      <c r="F78" s="328"/>
      <c r="G78" s="328"/>
    </row>
    <row r="79" spans="1:7" outlineLevel="1" x14ac:dyDescent="0.15">
      <c r="A79" s="328"/>
      <c r="B79" s="328"/>
      <c r="C79" s="328"/>
      <c r="D79" s="328"/>
      <c r="E79" s="328"/>
      <c r="F79" s="328"/>
      <c r="G79" s="328"/>
    </row>
    <row r="80" spans="1:7" outlineLevel="1" x14ac:dyDescent="0.15">
      <c r="A80" s="328"/>
      <c r="B80" s="328"/>
      <c r="C80" s="328"/>
      <c r="D80" s="328"/>
      <c r="E80" s="328"/>
      <c r="F80" s="328"/>
      <c r="G80" s="328"/>
    </row>
    <row r="81" spans="1:7" outlineLevel="1" x14ac:dyDescent="0.15">
      <c r="A81" s="328"/>
      <c r="B81" s="328"/>
      <c r="C81" s="328"/>
      <c r="D81" s="328"/>
      <c r="E81" s="328"/>
      <c r="F81" s="328"/>
      <c r="G81" s="328"/>
    </row>
    <row r="82" spans="1:7" outlineLevel="1" x14ac:dyDescent="0.15">
      <c r="A82" s="328"/>
      <c r="B82" s="328"/>
      <c r="C82" s="328"/>
      <c r="D82" s="328"/>
      <c r="E82" s="328"/>
      <c r="F82" s="328"/>
      <c r="G82" s="328"/>
    </row>
    <row r="83" spans="1:7" outlineLevel="1" x14ac:dyDescent="0.15">
      <c r="A83" s="328"/>
      <c r="B83" s="328"/>
      <c r="C83" s="328"/>
      <c r="D83" s="328"/>
      <c r="E83" s="328"/>
      <c r="F83" s="328"/>
      <c r="G83" s="328"/>
    </row>
    <row r="84" spans="1:7" outlineLevel="1" x14ac:dyDescent="0.15">
      <c r="A84" s="328"/>
      <c r="B84" s="328"/>
      <c r="C84" s="328"/>
      <c r="D84" s="328"/>
      <c r="E84" s="328"/>
      <c r="F84" s="328"/>
      <c r="G84" s="328"/>
    </row>
    <row r="85" spans="1:7" outlineLevel="1" x14ac:dyDescent="0.15">
      <c r="A85" s="328"/>
      <c r="B85" s="328"/>
      <c r="C85" s="328"/>
      <c r="D85" s="328"/>
      <c r="E85" s="328"/>
      <c r="F85" s="328"/>
      <c r="G85" s="328"/>
    </row>
    <row r="86" spans="1:7" ht="12" customHeight="1" outlineLevel="1" x14ac:dyDescent="0.15">
      <c r="A86" s="328"/>
      <c r="B86" s="328"/>
      <c r="C86" s="328"/>
      <c r="D86" s="328"/>
      <c r="E86" s="328"/>
      <c r="F86" s="328"/>
      <c r="G86" s="328"/>
    </row>
    <row r="87" spans="1:7" hidden="1" x14ac:dyDescent="0.15">
      <c r="A87" s="328"/>
      <c r="B87" s="328"/>
      <c r="C87" s="328"/>
      <c r="D87" s="328"/>
      <c r="E87" s="328"/>
      <c r="F87" s="328"/>
      <c r="G87" s="328"/>
    </row>
    <row r="88" spans="1:7" ht="1" hidden="1" customHeight="1" x14ac:dyDescent="0.15">
      <c r="A88" s="328"/>
      <c r="B88" s="328"/>
      <c r="C88" s="328"/>
      <c r="D88" s="328"/>
      <c r="E88" s="328"/>
      <c r="F88" s="328"/>
      <c r="G88" s="328"/>
    </row>
    <row r="89" spans="1:7" hidden="1" x14ac:dyDescent="0.15">
      <c r="A89" s="328"/>
      <c r="B89" s="328"/>
      <c r="C89" s="328"/>
      <c r="D89" s="328"/>
      <c r="E89" s="328"/>
      <c r="F89" s="328"/>
      <c r="G89" s="328"/>
    </row>
    <row r="90" spans="1:7" hidden="1" x14ac:dyDescent="0.15">
      <c r="A90" s="328"/>
      <c r="B90" s="328"/>
      <c r="C90" s="328"/>
      <c r="D90" s="328"/>
      <c r="E90" s="328"/>
      <c r="F90" s="328"/>
      <c r="G90" s="328"/>
    </row>
    <row r="91" spans="1:7" hidden="1" x14ac:dyDescent="0.15">
      <c r="A91" s="328"/>
      <c r="B91" s="328"/>
      <c r="C91" s="328"/>
      <c r="D91" s="328"/>
      <c r="E91" s="328"/>
      <c r="F91" s="328"/>
      <c r="G91" s="328"/>
    </row>
    <row r="92" spans="1:7" hidden="1" x14ac:dyDescent="0.15">
      <c r="A92" s="328"/>
      <c r="B92" s="328"/>
      <c r="C92" s="328"/>
      <c r="D92" s="328"/>
      <c r="E92" s="328"/>
      <c r="F92" s="328"/>
      <c r="G92" s="328"/>
    </row>
    <row r="93" spans="1:7" hidden="1" x14ac:dyDescent="0.15">
      <c r="A93" s="328"/>
      <c r="B93" s="328"/>
      <c r="C93" s="328"/>
      <c r="D93" s="328"/>
      <c r="E93" s="328"/>
      <c r="F93" s="328"/>
      <c r="G93" s="328"/>
    </row>
    <row r="94" spans="1:7" hidden="1" x14ac:dyDescent="0.15">
      <c r="A94" s="328"/>
      <c r="B94" s="328"/>
      <c r="C94" s="328"/>
      <c r="D94" s="328"/>
      <c r="E94" s="328"/>
      <c r="F94" s="328"/>
      <c r="G94" s="328"/>
    </row>
    <row r="95" spans="1:7" hidden="1" x14ac:dyDescent="0.15">
      <c r="A95" s="328"/>
      <c r="B95" s="328"/>
      <c r="C95" s="328"/>
      <c r="D95" s="328"/>
      <c r="E95" s="328"/>
      <c r="F95" s="328"/>
      <c r="G95" s="328"/>
    </row>
    <row r="96" spans="1:7" hidden="1" x14ac:dyDescent="0.15">
      <c r="A96" s="328"/>
      <c r="B96" s="328"/>
      <c r="C96" s="328"/>
      <c r="D96" s="328"/>
      <c r="E96" s="328"/>
      <c r="F96" s="328"/>
      <c r="G96" s="328"/>
    </row>
    <row r="98" spans="1:10" ht="16" customHeight="1" x14ac:dyDescent="0.2">
      <c r="A98" s="319" t="s">
        <v>528</v>
      </c>
      <c r="B98" s="328"/>
      <c r="C98" s="328"/>
      <c r="D98" s="328"/>
      <c r="E98" s="328"/>
      <c r="F98" s="328"/>
      <c r="G98" s="328"/>
      <c r="H98" s="328"/>
      <c r="I98" s="315"/>
      <c r="J98" s="315"/>
    </row>
    <row r="99" spans="1:10" x14ac:dyDescent="0.15">
      <c r="A99" s="230" t="s">
        <v>529</v>
      </c>
    </row>
    <row r="101" spans="1:10" ht="28" customHeight="1" x14ac:dyDescent="0.15">
      <c r="A101" s="281" t="s">
        <v>530</v>
      </c>
      <c r="B101" s="281" t="s">
        <v>531</v>
      </c>
      <c r="C101" s="281" t="s">
        <v>532</v>
      </c>
      <c r="D101" s="281" t="s">
        <v>533</v>
      </c>
      <c r="E101" s="281" t="s">
        <v>498</v>
      </c>
      <c r="F101" s="281" t="s">
        <v>534</v>
      </c>
      <c r="G101" s="281" t="s">
        <v>535</v>
      </c>
      <c r="H101" s="281" t="s">
        <v>536</v>
      </c>
      <c r="I101" s="281" t="s">
        <v>537</v>
      </c>
      <c r="J101" s="281" t="s">
        <v>538</v>
      </c>
    </row>
    <row r="102" spans="1:10" ht="208" customHeight="1" x14ac:dyDescent="0.15">
      <c r="A102" s="74" t="s">
        <v>539</v>
      </c>
      <c r="B102" s="258">
        <v>0</v>
      </c>
      <c r="C102" s="258">
        <v>0</v>
      </c>
      <c r="D102" s="258">
        <v>0.5</v>
      </c>
      <c r="E102" s="258">
        <v>0</v>
      </c>
      <c r="F102" s="234">
        <f>B102*D102*E102</f>
        <v>0</v>
      </c>
      <c r="G102" s="258">
        <v>0</v>
      </c>
      <c r="H102" t="str">
        <f>IFERROR(F102/G102,"n/a")</f>
        <v>n/a</v>
      </c>
      <c r="I102" s="127" t="s">
        <v>540</v>
      </c>
      <c r="J102" s="282" t="s">
        <v>541</v>
      </c>
    </row>
    <row r="103" spans="1:10" ht="247" customHeight="1" x14ac:dyDescent="0.15">
      <c r="A103" s="74" t="s">
        <v>542</v>
      </c>
      <c r="B103" s="234">
        <f>F19*F23/100*F21</f>
        <v>102</v>
      </c>
      <c r="C103" s="258">
        <v>1</v>
      </c>
      <c r="D103" s="258">
        <v>8</v>
      </c>
      <c r="E103" s="258">
        <v>0.4</v>
      </c>
      <c r="F103" s="234">
        <f>B103*D103*E103</f>
        <v>326.40000000000003</v>
      </c>
      <c r="G103" s="258">
        <v>200</v>
      </c>
      <c r="H103" s="234">
        <f>F103/G103</f>
        <v>1.6320000000000001</v>
      </c>
      <c r="I103" s="294" t="s">
        <v>543</v>
      </c>
      <c r="J103" s="282" t="s">
        <v>544</v>
      </c>
    </row>
    <row r="104" spans="1:10" ht="208" customHeight="1" x14ac:dyDescent="0.15">
      <c r="A104" s="74" t="s">
        <v>545</v>
      </c>
      <c r="B104" s="234">
        <f>Assumptions!C11*1000</f>
        <v>750</v>
      </c>
      <c r="C104" s="234">
        <f>Assumptions!C23</f>
        <v>0.05</v>
      </c>
      <c r="D104" s="258">
        <v>20</v>
      </c>
      <c r="E104" s="258">
        <v>0.85</v>
      </c>
      <c r="F104" s="234">
        <f>B104*C104*D104*E104</f>
        <v>637.5</v>
      </c>
      <c r="G104" s="258">
        <v>400</v>
      </c>
      <c r="H104" s="234">
        <f>F104/G104</f>
        <v>1.59375</v>
      </c>
      <c r="I104" s="294" t="s">
        <v>543</v>
      </c>
      <c r="J104" s="282" t="s">
        <v>546</v>
      </c>
    </row>
    <row r="105" spans="1:10" ht="28" customHeight="1" x14ac:dyDescent="0.15">
      <c r="A105" s="293" t="s">
        <v>547</v>
      </c>
      <c r="B105" t="s">
        <v>319</v>
      </c>
      <c r="D105" t="s">
        <v>319</v>
      </c>
      <c r="E105" t="s">
        <v>319</v>
      </c>
      <c r="F105" s="283">
        <f>0.3*F102+0.5*F103+0.2*F104</f>
        <v>290.70000000000005</v>
      </c>
      <c r="G105" s="283">
        <f>0.3*G102+0.5*G103+0.2*G104</f>
        <v>180</v>
      </c>
      <c r="H105" s="283">
        <f>F105/G105</f>
        <v>1.6150000000000002</v>
      </c>
      <c r="I105" s="294" t="s">
        <v>543</v>
      </c>
      <c r="J105" s="230" t="s">
        <v>548</v>
      </c>
    </row>
    <row r="107" spans="1:10" x14ac:dyDescent="0.15">
      <c r="A107" s="244" t="s">
        <v>549</v>
      </c>
      <c r="F107" s="284">
        <f>E32</f>
        <v>418.5</v>
      </c>
      <c r="G107" s="284">
        <f>F10</f>
        <v>300</v>
      </c>
      <c r="H107" s="284">
        <f>F107/G107</f>
        <v>1.395</v>
      </c>
      <c r="J107" s="230"/>
    </row>
    <row r="109" spans="1:10" x14ac:dyDescent="0.15">
      <c r="A109" s="331" t="s">
        <v>550</v>
      </c>
      <c r="B109" s="328"/>
      <c r="C109" s="328"/>
      <c r="D109" s="328"/>
      <c r="E109" s="328"/>
      <c r="F109" s="328"/>
      <c r="G109" s="328"/>
      <c r="H109" s="328"/>
      <c r="I109" s="315"/>
      <c r="J109" s="315"/>
    </row>
    <row r="110" spans="1:10" x14ac:dyDescent="0.15">
      <c r="A110" s="328"/>
      <c r="B110" s="328"/>
      <c r="C110" s="328"/>
      <c r="D110" s="328"/>
      <c r="E110" s="328"/>
      <c r="F110" s="328"/>
      <c r="G110" s="328"/>
      <c r="H110" s="328"/>
      <c r="I110" s="315"/>
      <c r="J110" s="315"/>
    </row>
    <row r="111" spans="1:10" x14ac:dyDescent="0.15">
      <c r="A111" s="326"/>
      <c r="B111" s="328"/>
      <c r="C111" s="328"/>
      <c r="D111" s="328"/>
      <c r="E111" s="328"/>
      <c r="F111" s="328"/>
      <c r="G111" s="328"/>
      <c r="H111" s="328"/>
      <c r="I111" s="315"/>
      <c r="J111" s="315"/>
    </row>
    <row r="112" spans="1:10" x14ac:dyDescent="0.15">
      <c r="A112" s="326" t="s">
        <v>551</v>
      </c>
      <c r="B112" s="328"/>
      <c r="C112" s="328"/>
      <c r="D112" s="328"/>
      <c r="E112" s="328"/>
      <c r="F112" s="328"/>
      <c r="G112" s="328"/>
      <c r="H112" s="328"/>
      <c r="I112" s="315"/>
      <c r="J112" s="315"/>
    </row>
    <row r="113" spans="1:10" x14ac:dyDescent="0.15">
      <c r="A113" s="315" t="s">
        <v>552</v>
      </c>
      <c r="B113" s="328"/>
      <c r="C113" s="328"/>
      <c r="D113" s="328"/>
      <c r="E113" s="328"/>
      <c r="F113" s="328"/>
      <c r="G113" s="328"/>
      <c r="H113" s="328"/>
      <c r="I113" s="315"/>
      <c r="J113" s="315"/>
    </row>
    <row r="114" spans="1:10" x14ac:dyDescent="0.15">
      <c r="A114" s="315" t="s">
        <v>553</v>
      </c>
      <c r="B114" s="328"/>
      <c r="C114" s="328"/>
      <c r="D114" s="328"/>
      <c r="E114" s="328"/>
      <c r="F114" s="328"/>
      <c r="G114" s="328"/>
      <c r="H114" s="328"/>
      <c r="I114" s="315"/>
      <c r="J114" s="315"/>
    </row>
  </sheetData>
  <mergeCells count="13">
    <mergeCell ref="C12:F12"/>
    <mergeCell ref="C19:D19"/>
    <mergeCell ref="A114:J114"/>
    <mergeCell ref="B15:E15"/>
    <mergeCell ref="A109:J109"/>
    <mergeCell ref="A72:G72"/>
    <mergeCell ref="A47:G71"/>
    <mergeCell ref="A73:G96"/>
    <mergeCell ref="A113:J113"/>
    <mergeCell ref="A112:J112"/>
    <mergeCell ref="A111:J111"/>
    <mergeCell ref="A98:J98"/>
    <mergeCell ref="A110:J110"/>
  </mergeCells>
  <conditionalFormatting sqref="I103:I105">
    <cfRule type="cellIs" dxfId="2" priority="1" operator="equal">
      <formula>"OK"</formula>
    </cfRule>
    <cfRule type="cellIs" dxfId="1" priority="2" operator="equal">
      <formula>"weak"</formula>
    </cfRule>
    <cfRule type="cellIs" dxfId="0" priority="3" operator="equal">
      <formula>"FAIL"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8"/>
  <sheetViews>
    <sheetView zoomScale="131" workbookViewId="0">
      <selection activeCell="B5" sqref="B5"/>
    </sheetView>
  </sheetViews>
  <sheetFormatPr baseColWidth="10" defaultRowHeight="13" x14ac:dyDescent="0.15"/>
  <cols>
    <col min="1" max="1" width="51.6640625" customWidth="1"/>
    <col min="2" max="2" width="10.1640625" customWidth="1"/>
    <col min="3" max="3" width="10" customWidth="1"/>
    <col min="4" max="4" width="10.5" customWidth="1"/>
    <col min="5" max="14" width="7.1640625" customWidth="1"/>
    <col min="15" max="18" width="43.6640625" customWidth="1"/>
  </cols>
  <sheetData>
    <row r="1" spans="1:18" ht="16" customHeight="1" x14ac:dyDescent="0.2">
      <c r="A1" s="340" t="s">
        <v>554</v>
      </c>
      <c r="B1" s="340" t="s">
        <v>329</v>
      </c>
      <c r="C1" s="340" t="s">
        <v>23</v>
      </c>
      <c r="D1" s="346" t="s">
        <v>555</v>
      </c>
      <c r="E1" s="340" t="s">
        <v>556</v>
      </c>
      <c r="F1" s="341"/>
      <c r="G1" s="341"/>
      <c r="H1" s="341"/>
      <c r="I1" s="342"/>
      <c r="J1" s="340" t="s">
        <v>557</v>
      </c>
      <c r="K1" s="341"/>
      <c r="L1" s="341"/>
      <c r="M1" s="341"/>
      <c r="N1" s="342"/>
      <c r="O1" s="340" t="s">
        <v>162</v>
      </c>
      <c r="P1" s="340" t="s">
        <v>558</v>
      </c>
      <c r="Q1" s="340" t="s">
        <v>559</v>
      </c>
      <c r="R1" s="340" t="s">
        <v>560</v>
      </c>
    </row>
    <row r="2" spans="1:18" ht="16" customHeight="1" x14ac:dyDescent="0.2">
      <c r="A2" s="343"/>
      <c r="B2" s="343"/>
      <c r="C2" s="343"/>
      <c r="D2" s="343"/>
      <c r="E2" s="134">
        <v>2026</v>
      </c>
      <c r="F2" s="134">
        <v>2027</v>
      </c>
      <c r="G2" s="134">
        <v>2028</v>
      </c>
      <c r="H2" s="134">
        <v>2029</v>
      </c>
      <c r="I2" s="134">
        <v>2030</v>
      </c>
      <c r="J2" s="145">
        <v>2026</v>
      </c>
      <c r="K2" s="145">
        <v>2027</v>
      </c>
      <c r="L2" s="145">
        <v>2028</v>
      </c>
      <c r="M2" s="145">
        <v>2029</v>
      </c>
      <c r="N2" s="145">
        <v>2030</v>
      </c>
      <c r="O2" s="343"/>
      <c r="P2" s="343"/>
      <c r="Q2" s="343"/>
      <c r="R2" s="343"/>
    </row>
    <row r="3" spans="1:18" ht="135" customHeight="1" x14ac:dyDescent="0.15">
      <c r="A3" s="152" t="s">
        <v>561</v>
      </c>
      <c r="B3" s="153" t="s">
        <v>484</v>
      </c>
      <c r="C3" s="153" t="s">
        <v>562</v>
      </c>
      <c r="D3" s="154">
        <v>0.75</v>
      </c>
      <c r="E3" s="344">
        <v>0.1</v>
      </c>
      <c r="F3" s="345"/>
      <c r="G3" s="345"/>
      <c r="H3" s="345"/>
      <c r="I3" s="345"/>
      <c r="J3" s="155">
        <v>0.3</v>
      </c>
      <c r="K3" s="155">
        <v>0.7</v>
      </c>
      <c r="L3" s="155">
        <v>1</v>
      </c>
      <c r="M3" s="155">
        <v>1</v>
      </c>
      <c r="N3" s="155">
        <v>1</v>
      </c>
      <c r="O3" s="147" t="s">
        <v>563</v>
      </c>
      <c r="P3" s="146" t="s">
        <v>564</v>
      </c>
      <c r="Q3" s="146" t="s">
        <v>565</v>
      </c>
      <c r="R3" s="146" t="s">
        <v>566</v>
      </c>
    </row>
    <row r="4" spans="1:18" ht="135" customHeight="1" x14ac:dyDescent="0.15">
      <c r="A4" s="156" t="s">
        <v>567</v>
      </c>
      <c r="B4" s="157" t="s">
        <v>484</v>
      </c>
      <c r="C4" s="157" t="s">
        <v>562</v>
      </c>
      <c r="D4" s="158">
        <v>0.6</v>
      </c>
      <c r="E4" s="337">
        <v>0.05</v>
      </c>
      <c r="F4" s="338"/>
      <c r="G4" s="338"/>
      <c r="H4" s="338"/>
      <c r="I4" s="339"/>
      <c r="J4" s="155">
        <v>0.1</v>
      </c>
      <c r="K4" s="155">
        <v>0.5</v>
      </c>
      <c r="L4" s="155">
        <v>1</v>
      </c>
      <c r="M4" s="155">
        <v>1</v>
      </c>
      <c r="N4" s="155">
        <v>1</v>
      </c>
      <c r="O4" s="149" t="s">
        <v>568</v>
      </c>
      <c r="P4" s="150" t="s">
        <v>569</v>
      </c>
      <c r="Q4" s="150" t="s">
        <v>570</v>
      </c>
      <c r="R4" s="150" t="s">
        <v>571</v>
      </c>
    </row>
    <row r="5" spans="1:18" ht="210" customHeight="1" x14ac:dyDescent="0.15">
      <c r="A5" s="156" t="s">
        <v>572</v>
      </c>
      <c r="B5" s="157" t="s">
        <v>573</v>
      </c>
      <c r="C5" s="157" t="s">
        <v>574</v>
      </c>
      <c r="D5" s="158">
        <v>0.4</v>
      </c>
      <c r="E5" s="337">
        <v>0.03</v>
      </c>
      <c r="F5" s="338"/>
      <c r="G5" s="338"/>
      <c r="H5" s="338"/>
      <c r="I5" s="339"/>
      <c r="J5" s="155">
        <v>0.3</v>
      </c>
      <c r="K5" s="155">
        <v>1</v>
      </c>
      <c r="L5" s="155">
        <v>1</v>
      </c>
      <c r="M5" s="155">
        <v>1</v>
      </c>
      <c r="N5" s="155">
        <v>1</v>
      </c>
      <c r="O5" s="151" t="s">
        <v>575</v>
      </c>
      <c r="P5" s="151" t="s">
        <v>576</v>
      </c>
      <c r="Q5" s="159" t="s">
        <v>577</v>
      </c>
      <c r="R5" s="159"/>
    </row>
    <row r="6" spans="1:18" ht="14" customHeight="1" x14ac:dyDescent="0.2">
      <c r="A6" s="140"/>
      <c r="B6" s="141"/>
      <c r="C6" s="141"/>
      <c r="D6" s="142"/>
      <c r="E6" s="142"/>
      <c r="F6" s="142"/>
      <c r="G6" s="142"/>
      <c r="H6" s="142"/>
      <c r="I6" s="142"/>
      <c r="J6" s="144"/>
      <c r="K6" s="144"/>
      <c r="L6" s="144"/>
      <c r="M6" s="144"/>
      <c r="N6" s="144"/>
      <c r="O6" s="143"/>
      <c r="P6" s="143"/>
      <c r="Q6" s="143"/>
      <c r="R6" s="143"/>
    </row>
    <row r="7" spans="1:18" ht="14" customHeight="1" x14ac:dyDescent="0.2">
      <c r="A7" s="140"/>
      <c r="B7" s="141"/>
      <c r="C7" s="141"/>
      <c r="D7" s="142"/>
      <c r="E7" s="142"/>
      <c r="F7" s="142"/>
      <c r="G7" s="142"/>
      <c r="H7" s="142"/>
      <c r="I7" s="142"/>
      <c r="J7" s="144"/>
      <c r="K7" s="144"/>
      <c r="L7" s="144"/>
      <c r="M7" s="144"/>
      <c r="N7" s="144"/>
      <c r="O7" s="143"/>
      <c r="P7" s="143"/>
      <c r="Q7" s="143"/>
      <c r="R7" s="143"/>
    </row>
    <row r="8" spans="1:18" ht="14" customHeight="1" x14ac:dyDescent="0.2">
      <c r="A8" s="140"/>
      <c r="B8" s="141"/>
      <c r="C8" s="141"/>
      <c r="D8" s="142"/>
      <c r="E8" s="142"/>
      <c r="F8" s="142"/>
      <c r="G8" s="142"/>
      <c r="H8" s="142"/>
      <c r="I8" s="142"/>
      <c r="J8" s="144"/>
      <c r="K8" s="144"/>
      <c r="L8" s="144"/>
      <c r="M8" s="144"/>
      <c r="N8" s="144"/>
      <c r="O8" s="143"/>
      <c r="P8" s="143"/>
      <c r="Q8" s="143"/>
      <c r="R8" s="143"/>
    </row>
  </sheetData>
  <mergeCells count="13">
    <mergeCell ref="E5:I5"/>
    <mergeCell ref="J1:N1"/>
    <mergeCell ref="C1:C2"/>
    <mergeCell ref="R1:R2"/>
    <mergeCell ref="A1:A2"/>
    <mergeCell ref="P1:P2"/>
    <mergeCell ref="O1:O2"/>
    <mergeCell ref="Q1:Q2"/>
    <mergeCell ref="E3:I3"/>
    <mergeCell ref="E4:I4"/>
    <mergeCell ref="E1:I1"/>
    <mergeCell ref="D1:D2"/>
    <mergeCell ref="B1:B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zoomScale="125" workbookViewId="0">
      <selection activeCell="D30" sqref="D30"/>
    </sheetView>
  </sheetViews>
  <sheetFormatPr baseColWidth="10" defaultColWidth="8.83203125" defaultRowHeight="13" x14ac:dyDescent="0.15"/>
  <cols>
    <col min="1" max="1" width="42" customWidth="1"/>
    <col min="2" max="2" width="14" customWidth="1"/>
    <col min="3" max="3" width="8" customWidth="1"/>
    <col min="4" max="4" width="70" customWidth="1"/>
  </cols>
  <sheetData>
    <row r="1" spans="1:4" ht="18" customHeight="1" x14ac:dyDescent="0.2">
      <c r="A1" s="314" t="s">
        <v>157</v>
      </c>
      <c r="B1" s="315"/>
      <c r="C1" s="315"/>
      <c r="D1" s="315"/>
    </row>
    <row r="2" spans="1:4" ht="25" customHeight="1" x14ac:dyDescent="0.15">
      <c r="A2" s="316" t="s">
        <v>158</v>
      </c>
      <c r="B2" s="317"/>
      <c r="C2" s="317"/>
      <c r="D2" s="317"/>
    </row>
    <row r="4" spans="1:4" x14ac:dyDescent="0.15">
      <c r="A4" s="295" t="s">
        <v>159</v>
      </c>
      <c r="B4" s="295" t="s">
        <v>160</v>
      </c>
      <c r="C4" s="307" t="s">
        <v>161</v>
      </c>
      <c r="D4" s="300"/>
    </row>
    <row r="5" spans="1:4" x14ac:dyDescent="0.15">
      <c r="A5" s="296" t="s">
        <v>163</v>
      </c>
      <c r="B5" s="297">
        <v>0.2</v>
      </c>
      <c r="C5" s="308" t="s">
        <v>134</v>
      </c>
      <c r="D5" s="309"/>
    </row>
    <row r="6" spans="1:4" x14ac:dyDescent="0.15">
      <c r="A6" s="296" t="s">
        <v>164</v>
      </c>
      <c r="B6" s="297">
        <v>7.0000000000000007E-2</v>
      </c>
      <c r="C6" s="308" t="s">
        <v>134</v>
      </c>
      <c r="D6" s="309"/>
    </row>
    <row r="7" spans="1:4" x14ac:dyDescent="0.15">
      <c r="A7" s="296" t="s">
        <v>165</v>
      </c>
      <c r="B7" s="297">
        <v>0.05</v>
      </c>
      <c r="C7" s="308" t="s">
        <v>134</v>
      </c>
    </row>
    <row r="8" spans="1:4" x14ac:dyDescent="0.15">
      <c r="A8" s="296" t="s">
        <v>166</v>
      </c>
      <c r="B8" s="297">
        <v>0.75</v>
      </c>
      <c r="C8" s="308" t="s">
        <v>134</v>
      </c>
      <c r="D8" s="309"/>
    </row>
    <row r="9" spans="1:4" x14ac:dyDescent="0.15">
      <c r="A9" s="296" t="s">
        <v>167</v>
      </c>
      <c r="B9" s="297">
        <v>0.6</v>
      </c>
      <c r="C9" s="308" t="s">
        <v>134</v>
      </c>
      <c r="D9" s="309"/>
    </row>
    <row r="10" spans="1:4" x14ac:dyDescent="0.15">
      <c r="A10" s="296" t="s">
        <v>168</v>
      </c>
      <c r="B10" s="297">
        <v>0.4</v>
      </c>
      <c r="C10" s="308" t="s">
        <v>134</v>
      </c>
      <c r="D10" s="309"/>
    </row>
    <row r="11" spans="1:4" x14ac:dyDescent="0.15">
      <c r="A11" s="296" t="s">
        <v>169</v>
      </c>
      <c r="B11" s="297">
        <v>0.26900000000000002</v>
      </c>
      <c r="C11" s="308" t="s">
        <v>134</v>
      </c>
      <c r="D11" s="309"/>
    </row>
    <row r="12" spans="1:4" x14ac:dyDescent="0.15">
      <c r="A12" s="296" t="s">
        <v>170</v>
      </c>
      <c r="B12" s="298">
        <v>3</v>
      </c>
      <c r="C12" s="308" t="s">
        <v>171</v>
      </c>
      <c r="D12" s="309"/>
    </row>
    <row r="13" spans="1:4" x14ac:dyDescent="0.15">
      <c r="A13" s="296" t="s">
        <v>172</v>
      </c>
      <c r="B13" s="298">
        <v>5</v>
      </c>
      <c r="C13" s="308" t="s">
        <v>171</v>
      </c>
      <c r="D13" s="309"/>
    </row>
    <row r="14" spans="1:4" x14ac:dyDescent="0.15">
      <c r="A14" s="296" t="s">
        <v>173</v>
      </c>
      <c r="B14" s="298">
        <v>8</v>
      </c>
      <c r="C14" s="308" t="s">
        <v>171</v>
      </c>
      <c r="D14" s="309"/>
    </row>
    <row r="15" spans="1:4" x14ac:dyDescent="0.15">
      <c r="A15" s="296" t="s">
        <v>174</v>
      </c>
      <c r="B15" s="298">
        <v>3</v>
      </c>
      <c r="C15" s="308" t="s">
        <v>171</v>
      </c>
    </row>
    <row r="16" spans="1:4" x14ac:dyDescent="0.15">
      <c r="A16" s="296" t="s">
        <v>175</v>
      </c>
      <c r="B16" s="298">
        <v>1.5</v>
      </c>
      <c r="C16" s="308" t="s">
        <v>171</v>
      </c>
      <c r="D16" s="309"/>
    </row>
    <row r="17" spans="1:4" x14ac:dyDescent="0.15">
      <c r="A17" s="296" t="s">
        <v>176</v>
      </c>
      <c r="B17" s="297">
        <v>0.08</v>
      </c>
      <c r="C17" s="308" t="s">
        <v>134</v>
      </c>
      <c r="D17" s="309"/>
    </row>
  </sheetData>
  <mergeCells count="2">
    <mergeCell ref="A1:D1"/>
    <mergeCell ref="A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I468"/>
  <sheetViews>
    <sheetView topLeftCell="A6" zoomScale="81" zoomScaleNormal="100" workbookViewId="0">
      <selection activeCell="AP52" sqref="AP52"/>
    </sheetView>
  </sheetViews>
  <sheetFormatPr baseColWidth="10" defaultColWidth="12.6640625" defaultRowHeight="13" x14ac:dyDescent="0.15"/>
  <cols>
    <col min="1" max="1" width="25.1640625" customWidth="1"/>
    <col min="2" max="2" width="33.5" bestFit="1" customWidth="1"/>
    <col min="3" max="3" width="8.6640625" bestFit="1" customWidth="1"/>
    <col min="4" max="4" width="14.6640625" bestFit="1" customWidth="1"/>
    <col min="5" max="6" width="14" bestFit="1" customWidth="1"/>
    <col min="7" max="7" width="15.5" bestFit="1" customWidth="1"/>
    <col min="8" max="63" width="14" bestFit="1" customWidth="1"/>
    <col min="64" max="64" width="4.6640625" customWidth="1"/>
    <col min="65" max="65" width="15.5" bestFit="1" customWidth="1"/>
    <col min="66" max="66" width="2.1640625" customWidth="1"/>
    <col min="67" max="67" width="15.5" bestFit="1" customWidth="1"/>
    <col min="68" max="68" width="2.1640625" customWidth="1"/>
    <col min="69" max="69" width="15.5" bestFit="1" customWidth="1"/>
    <col min="70" max="70" width="2.1640625" customWidth="1"/>
    <col min="71" max="71" width="15.5" bestFit="1" customWidth="1"/>
    <col min="72" max="72" width="2.1640625" customWidth="1"/>
    <col min="73" max="73" width="15.5" bestFit="1" customWidth="1"/>
    <col min="74" max="74" width="2.1640625" customWidth="1"/>
    <col min="75" max="75" width="16.6640625" bestFit="1" customWidth="1"/>
  </cols>
  <sheetData>
    <row r="1" spans="1:87" ht="16" customHeight="1" x14ac:dyDescent="0.2">
      <c r="A1" s="348"/>
      <c r="B1" s="315"/>
      <c r="C1" s="315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 t="s">
        <v>578</v>
      </c>
      <c r="V1" s="2" t="s">
        <v>579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</row>
    <row r="2" spans="1:87" ht="16" customHeight="1" x14ac:dyDescent="0.2">
      <c r="A2" s="349"/>
      <c r="B2" s="350"/>
      <c r="C2" s="315"/>
      <c r="D2" s="4">
        <v>2026</v>
      </c>
      <c r="E2" s="5">
        <f t="shared" ref="E2:O2" si="0">D2</f>
        <v>2026</v>
      </c>
      <c r="F2" s="5">
        <f t="shared" si="0"/>
        <v>2026</v>
      </c>
      <c r="G2" s="5">
        <f t="shared" si="0"/>
        <v>2026</v>
      </c>
      <c r="H2" s="5">
        <f t="shared" si="0"/>
        <v>2026</v>
      </c>
      <c r="I2" s="5">
        <f t="shared" si="0"/>
        <v>2026</v>
      </c>
      <c r="J2" s="5">
        <f t="shared" si="0"/>
        <v>2026</v>
      </c>
      <c r="K2" s="5">
        <f t="shared" si="0"/>
        <v>2026</v>
      </c>
      <c r="L2" s="5">
        <f t="shared" si="0"/>
        <v>2026</v>
      </c>
      <c r="M2" s="5">
        <f t="shared" si="0"/>
        <v>2026</v>
      </c>
      <c r="N2" s="5">
        <f t="shared" si="0"/>
        <v>2026</v>
      </c>
      <c r="O2" s="5">
        <f t="shared" si="0"/>
        <v>2026</v>
      </c>
      <c r="P2" s="4">
        <f>D2+1</f>
        <v>2027</v>
      </c>
      <c r="Q2" s="5">
        <f t="shared" ref="Q2:AA2" si="1">P2</f>
        <v>2027</v>
      </c>
      <c r="R2" s="5">
        <f t="shared" si="1"/>
        <v>2027</v>
      </c>
      <c r="S2" s="5">
        <f t="shared" si="1"/>
        <v>2027</v>
      </c>
      <c r="T2" s="5">
        <f t="shared" si="1"/>
        <v>2027</v>
      </c>
      <c r="U2" s="5">
        <f t="shared" si="1"/>
        <v>2027</v>
      </c>
      <c r="V2" s="5">
        <f t="shared" si="1"/>
        <v>2027</v>
      </c>
      <c r="W2" s="5">
        <f t="shared" si="1"/>
        <v>2027</v>
      </c>
      <c r="X2" s="5">
        <f t="shared" si="1"/>
        <v>2027</v>
      </c>
      <c r="Y2" s="5">
        <f t="shared" si="1"/>
        <v>2027</v>
      </c>
      <c r="Z2" s="5">
        <f t="shared" si="1"/>
        <v>2027</v>
      </c>
      <c r="AA2" s="5">
        <f t="shared" si="1"/>
        <v>2027</v>
      </c>
      <c r="AB2" s="4">
        <f>P2+1</f>
        <v>2028</v>
      </c>
      <c r="AC2" s="5">
        <f t="shared" ref="AC2:AM2" si="2">AB2</f>
        <v>2028</v>
      </c>
      <c r="AD2" s="5">
        <f t="shared" si="2"/>
        <v>2028</v>
      </c>
      <c r="AE2" s="5">
        <f t="shared" si="2"/>
        <v>2028</v>
      </c>
      <c r="AF2" s="5">
        <f t="shared" si="2"/>
        <v>2028</v>
      </c>
      <c r="AG2" s="5">
        <f t="shared" si="2"/>
        <v>2028</v>
      </c>
      <c r="AH2" s="5">
        <f t="shared" si="2"/>
        <v>2028</v>
      </c>
      <c r="AI2" s="5">
        <f t="shared" si="2"/>
        <v>2028</v>
      </c>
      <c r="AJ2" s="5">
        <f t="shared" si="2"/>
        <v>2028</v>
      </c>
      <c r="AK2" s="5">
        <f t="shared" si="2"/>
        <v>2028</v>
      </c>
      <c r="AL2" s="5">
        <f t="shared" si="2"/>
        <v>2028</v>
      </c>
      <c r="AM2" s="5">
        <f t="shared" si="2"/>
        <v>2028</v>
      </c>
      <c r="AN2" s="4">
        <f>AB2+1</f>
        <v>2029</v>
      </c>
      <c r="AO2" s="5">
        <f t="shared" ref="AO2:AY2" si="3">AN2</f>
        <v>2029</v>
      </c>
      <c r="AP2" s="5">
        <f t="shared" si="3"/>
        <v>2029</v>
      </c>
      <c r="AQ2" s="5">
        <f t="shared" si="3"/>
        <v>2029</v>
      </c>
      <c r="AR2" s="5">
        <f t="shared" si="3"/>
        <v>2029</v>
      </c>
      <c r="AS2" s="5">
        <f t="shared" si="3"/>
        <v>2029</v>
      </c>
      <c r="AT2" s="5">
        <f t="shared" si="3"/>
        <v>2029</v>
      </c>
      <c r="AU2" s="5">
        <f t="shared" si="3"/>
        <v>2029</v>
      </c>
      <c r="AV2" s="5">
        <f t="shared" si="3"/>
        <v>2029</v>
      </c>
      <c r="AW2" s="5">
        <f t="shared" si="3"/>
        <v>2029</v>
      </c>
      <c r="AX2" s="5">
        <f t="shared" si="3"/>
        <v>2029</v>
      </c>
      <c r="AY2" s="5">
        <f t="shared" si="3"/>
        <v>2029</v>
      </c>
      <c r="AZ2" s="4">
        <f>AN2+1</f>
        <v>2030</v>
      </c>
      <c r="BA2" s="5">
        <f t="shared" ref="BA2:BK2" si="4">AZ2</f>
        <v>2030</v>
      </c>
      <c r="BB2" s="5">
        <f t="shared" si="4"/>
        <v>2030</v>
      </c>
      <c r="BC2" s="5">
        <f t="shared" si="4"/>
        <v>2030</v>
      </c>
      <c r="BD2" s="5">
        <f t="shared" si="4"/>
        <v>2030</v>
      </c>
      <c r="BE2" s="5">
        <f t="shared" si="4"/>
        <v>2030</v>
      </c>
      <c r="BF2" s="5">
        <f t="shared" si="4"/>
        <v>2030</v>
      </c>
      <c r="BG2" s="5">
        <f t="shared" si="4"/>
        <v>2030</v>
      </c>
      <c r="BH2" s="5">
        <f t="shared" si="4"/>
        <v>2030</v>
      </c>
      <c r="BI2" s="5">
        <f t="shared" si="4"/>
        <v>2030</v>
      </c>
      <c r="BJ2" s="5">
        <f t="shared" si="4"/>
        <v>2030</v>
      </c>
      <c r="BK2" s="5">
        <f t="shared" si="4"/>
        <v>2030</v>
      </c>
      <c r="BL2" s="2"/>
      <c r="BM2" s="5">
        <v>2026</v>
      </c>
      <c r="BN2" s="2"/>
      <c r="BO2" s="5">
        <v>2027</v>
      </c>
      <c r="BP2" s="2"/>
      <c r="BQ2" s="5">
        <v>2028</v>
      </c>
      <c r="BR2" s="2"/>
      <c r="BS2" s="5">
        <v>2029</v>
      </c>
      <c r="BT2" s="2"/>
      <c r="BU2" s="5">
        <v>2030</v>
      </c>
      <c r="BV2" s="2"/>
      <c r="BW2" s="5" t="s">
        <v>580</v>
      </c>
      <c r="BX2" s="6"/>
      <c r="BY2" s="6"/>
      <c r="BZ2" s="6"/>
      <c r="CA2" s="6"/>
      <c r="CB2" s="2"/>
      <c r="CC2" s="6"/>
      <c r="CD2" s="6"/>
      <c r="CE2" s="6"/>
      <c r="CF2" s="6"/>
      <c r="CG2" s="6"/>
      <c r="CH2" s="6"/>
      <c r="CI2" s="6"/>
    </row>
    <row r="3" spans="1:87" ht="16" customHeight="1" x14ac:dyDescent="0.2">
      <c r="A3" s="315"/>
      <c r="B3" s="3" t="s">
        <v>103</v>
      </c>
      <c r="C3" s="7" t="s">
        <v>55</v>
      </c>
      <c r="D3" s="4">
        <v>31</v>
      </c>
      <c r="E3" s="5">
        <v>28</v>
      </c>
      <c r="F3" s="5">
        <v>31</v>
      </c>
      <c r="G3" s="5">
        <v>30</v>
      </c>
      <c r="H3" s="5">
        <v>31</v>
      </c>
      <c r="I3" s="5">
        <v>30</v>
      </c>
      <c r="J3" s="5">
        <v>31</v>
      </c>
      <c r="K3" s="5">
        <v>31</v>
      </c>
      <c r="L3" s="5">
        <v>30</v>
      </c>
      <c r="M3" s="5">
        <v>31</v>
      </c>
      <c r="N3" s="5">
        <v>30</v>
      </c>
      <c r="O3" s="8">
        <v>31</v>
      </c>
      <c r="P3" s="5">
        <v>31</v>
      </c>
      <c r="Q3" s="5">
        <v>28</v>
      </c>
      <c r="R3" s="5">
        <v>31</v>
      </c>
      <c r="S3" s="5">
        <v>30</v>
      </c>
      <c r="T3" s="5">
        <v>31</v>
      </c>
      <c r="U3" s="5">
        <v>30</v>
      </c>
      <c r="V3" s="5">
        <v>31</v>
      </c>
      <c r="W3" s="5">
        <v>31</v>
      </c>
      <c r="X3" s="5">
        <v>30</v>
      </c>
      <c r="Y3" s="5">
        <v>31</v>
      </c>
      <c r="Z3" s="5">
        <v>30</v>
      </c>
      <c r="AA3" s="8">
        <v>31</v>
      </c>
      <c r="AB3" s="5">
        <v>31</v>
      </c>
      <c r="AC3" s="5">
        <v>28</v>
      </c>
      <c r="AD3" s="5">
        <v>31</v>
      </c>
      <c r="AE3" s="5">
        <v>30</v>
      </c>
      <c r="AF3" s="5">
        <v>31</v>
      </c>
      <c r="AG3" s="5">
        <v>30</v>
      </c>
      <c r="AH3" s="5">
        <v>31</v>
      </c>
      <c r="AI3" s="5">
        <v>31</v>
      </c>
      <c r="AJ3" s="5">
        <v>30</v>
      </c>
      <c r="AK3" s="5">
        <v>31</v>
      </c>
      <c r="AL3" s="5">
        <v>30</v>
      </c>
      <c r="AM3" s="8">
        <v>31</v>
      </c>
      <c r="AN3" s="5">
        <v>31</v>
      </c>
      <c r="AO3" s="5">
        <v>28</v>
      </c>
      <c r="AP3" s="5">
        <v>31</v>
      </c>
      <c r="AQ3" s="5">
        <v>30</v>
      </c>
      <c r="AR3" s="5">
        <v>31</v>
      </c>
      <c r="AS3" s="5">
        <v>30</v>
      </c>
      <c r="AT3" s="5">
        <v>31</v>
      </c>
      <c r="AU3" s="5">
        <v>31</v>
      </c>
      <c r="AV3" s="5">
        <v>30</v>
      </c>
      <c r="AW3" s="5">
        <v>31</v>
      </c>
      <c r="AX3" s="5">
        <v>30</v>
      </c>
      <c r="AY3" s="8">
        <v>31</v>
      </c>
      <c r="AZ3" s="5">
        <v>31</v>
      </c>
      <c r="BA3" s="5">
        <v>29</v>
      </c>
      <c r="BB3" s="5">
        <v>31</v>
      </c>
      <c r="BC3" s="5">
        <v>30</v>
      </c>
      <c r="BD3" s="5">
        <v>31</v>
      </c>
      <c r="BE3" s="5">
        <v>30</v>
      </c>
      <c r="BF3" s="5">
        <v>31</v>
      </c>
      <c r="BG3" s="5">
        <v>31</v>
      </c>
      <c r="BH3" s="5">
        <v>30</v>
      </c>
      <c r="BI3" s="5">
        <v>31</v>
      </c>
      <c r="BJ3" s="5">
        <v>30</v>
      </c>
      <c r="BK3" s="8">
        <v>31</v>
      </c>
      <c r="BL3" s="2"/>
      <c r="BM3" s="5"/>
      <c r="BN3" s="2"/>
      <c r="BO3" s="5"/>
      <c r="BP3" s="2"/>
      <c r="BQ3" s="5"/>
      <c r="BR3" s="2"/>
      <c r="BS3" s="5"/>
      <c r="BT3" s="2"/>
      <c r="BU3" s="5"/>
      <c r="BV3" s="2"/>
      <c r="BW3" s="5"/>
      <c r="BX3" s="6"/>
      <c r="BY3" s="6"/>
      <c r="BZ3" s="6"/>
      <c r="CA3" s="6"/>
      <c r="CB3" s="2"/>
      <c r="CC3" s="6"/>
      <c r="CD3" s="6"/>
      <c r="CE3" s="6"/>
      <c r="CF3" s="6"/>
      <c r="CG3" s="6"/>
      <c r="CH3" s="6"/>
      <c r="CI3" s="6"/>
    </row>
    <row r="4" spans="1:87" ht="16" customHeight="1" x14ac:dyDescent="0.2">
      <c r="A4" s="315"/>
      <c r="B4" s="350"/>
      <c r="C4" s="315"/>
      <c r="D4" s="4" t="s">
        <v>61</v>
      </c>
      <c r="E4" s="5" t="s">
        <v>62</v>
      </c>
      <c r="F4" s="5" t="s">
        <v>63</v>
      </c>
      <c r="G4" s="5" t="s">
        <v>64</v>
      </c>
      <c r="H4" s="5" t="s">
        <v>65</v>
      </c>
      <c r="I4" s="5" t="s">
        <v>66</v>
      </c>
      <c r="J4" s="5" t="s">
        <v>67</v>
      </c>
      <c r="K4" s="5" t="s">
        <v>68</v>
      </c>
      <c r="L4" s="5" t="s">
        <v>69</v>
      </c>
      <c r="M4" s="5" t="s">
        <v>70</v>
      </c>
      <c r="N4" s="5" t="s">
        <v>71</v>
      </c>
      <c r="O4" s="8" t="s">
        <v>72</v>
      </c>
      <c r="P4" s="5" t="s">
        <v>61</v>
      </c>
      <c r="Q4" s="5" t="s">
        <v>62</v>
      </c>
      <c r="R4" s="5" t="s">
        <v>63</v>
      </c>
      <c r="S4" s="5" t="s">
        <v>64</v>
      </c>
      <c r="T4" s="5" t="s">
        <v>65</v>
      </c>
      <c r="U4" s="5" t="s">
        <v>66</v>
      </c>
      <c r="V4" s="5" t="s">
        <v>67</v>
      </c>
      <c r="W4" s="5" t="s">
        <v>68</v>
      </c>
      <c r="X4" s="5" t="s">
        <v>69</v>
      </c>
      <c r="Y4" s="5" t="s">
        <v>70</v>
      </c>
      <c r="Z4" s="5" t="s">
        <v>71</v>
      </c>
      <c r="AA4" s="8" t="s">
        <v>72</v>
      </c>
      <c r="AB4" s="5" t="s">
        <v>61</v>
      </c>
      <c r="AC4" s="5" t="s">
        <v>62</v>
      </c>
      <c r="AD4" s="5" t="s">
        <v>63</v>
      </c>
      <c r="AE4" s="5" t="s">
        <v>64</v>
      </c>
      <c r="AF4" s="5" t="s">
        <v>65</v>
      </c>
      <c r="AG4" s="5" t="s">
        <v>66</v>
      </c>
      <c r="AH4" s="5" t="s">
        <v>67</v>
      </c>
      <c r="AI4" s="5" t="s">
        <v>68</v>
      </c>
      <c r="AJ4" s="5" t="s">
        <v>69</v>
      </c>
      <c r="AK4" s="5" t="s">
        <v>70</v>
      </c>
      <c r="AL4" s="5" t="s">
        <v>71</v>
      </c>
      <c r="AM4" s="8" t="s">
        <v>72</v>
      </c>
      <c r="AN4" s="5" t="s">
        <v>61</v>
      </c>
      <c r="AO4" s="5" t="s">
        <v>62</v>
      </c>
      <c r="AP4" s="5" t="s">
        <v>63</v>
      </c>
      <c r="AQ4" s="5" t="s">
        <v>64</v>
      </c>
      <c r="AR4" s="5" t="s">
        <v>65</v>
      </c>
      <c r="AS4" s="5" t="s">
        <v>66</v>
      </c>
      <c r="AT4" s="5" t="s">
        <v>67</v>
      </c>
      <c r="AU4" s="5" t="s">
        <v>68</v>
      </c>
      <c r="AV4" s="5" t="s">
        <v>69</v>
      </c>
      <c r="AW4" s="5" t="s">
        <v>70</v>
      </c>
      <c r="AX4" s="5" t="s">
        <v>71</v>
      </c>
      <c r="AY4" s="8" t="s">
        <v>72</v>
      </c>
      <c r="AZ4" s="5" t="s">
        <v>61</v>
      </c>
      <c r="BA4" s="5" t="s">
        <v>62</v>
      </c>
      <c r="BB4" s="5" t="s">
        <v>63</v>
      </c>
      <c r="BC4" s="5" t="s">
        <v>64</v>
      </c>
      <c r="BD4" s="5" t="s">
        <v>65</v>
      </c>
      <c r="BE4" s="5" t="s">
        <v>66</v>
      </c>
      <c r="BF4" s="5" t="s">
        <v>67</v>
      </c>
      <c r="BG4" s="5" t="s">
        <v>68</v>
      </c>
      <c r="BH4" s="5" t="s">
        <v>69</v>
      </c>
      <c r="BI4" s="5" t="s">
        <v>70</v>
      </c>
      <c r="BJ4" s="5" t="s">
        <v>71</v>
      </c>
      <c r="BK4" s="8" t="s">
        <v>72</v>
      </c>
      <c r="BL4" s="2"/>
      <c r="BM4" s="5"/>
      <c r="BN4" s="2"/>
      <c r="BO4" s="5"/>
      <c r="BP4" s="2"/>
      <c r="BQ4" s="5"/>
      <c r="BR4" s="2"/>
      <c r="BS4" s="5"/>
      <c r="BT4" s="2"/>
      <c r="BU4" s="5"/>
      <c r="BV4" s="2"/>
      <c r="BW4" s="5"/>
      <c r="BX4" s="6"/>
      <c r="BY4" s="6"/>
      <c r="BZ4" s="6"/>
      <c r="CA4" s="6"/>
      <c r="CB4" s="2"/>
      <c r="CC4" s="6"/>
      <c r="CD4" s="6"/>
      <c r="CE4" s="6"/>
      <c r="CF4" s="6"/>
      <c r="CG4" s="6"/>
      <c r="CH4" s="6"/>
      <c r="CI4" s="6"/>
    </row>
    <row r="5" spans="1:87" ht="16" customHeight="1" x14ac:dyDescent="0.2">
      <c r="A5" s="315"/>
      <c r="B5" s="9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2"/>
      <c r="BM5" s="6"/>
      <c r="BN5" s="2"/>
      <c r="BO5" s="6"/>
      <c r="BP5" s="2"/>
      <c r="BQ5" s="6"/>
      <c r="BR5" s="2"/>
      <c r="BS5" s="6"/>
      <c r="BT5" s="2"/>
      <c r="BU5" s="6"/>
      <c r="BV5" s="2"/>
      <c r="BW5" s="6"/>
      <c r="BX5" s="6"/>
      <c r="BY5" s="6"/>
      <c r="BZ5" s="6"/>
      <c r="CA5" s="6"/>
      <c r="CB5" s="2"/>
      <c r="CC5" s="6"/>
      <c r="CD5" s="6"/>
      <c r="CE5" s="6"/>
      <c r="CF5" s="6"/>
      <c r="CG5" s="6"/>
      <c r="CH5" s="6"/>
      <c r="CI5" s="6"/>
    </row>
    <row r="6" spans="1:87" ht="16" customHeight="1" x14ac:dyDescent="0.2">
      <c r="A6" s="349"/>
      <c r="B6" s="354" t="s">
        <v>581</v>
      </c>
      <c r="C6" s="315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2"/>
      <c r="BM6" s="10"/>
      <c r="BN6" s="2"/>
      <c r="BO6" s="10"/>
      <c r="BP6" s="2"/>
      <c r="BQ6" s="10"/>
      <c r="BR6" s="2"/>
      <c r="BS6" s="10"/>
      <c r="BT6" s="2"/>
      <c r="BU6" s="10"/>
      <c r="BV6" s="2"/>
      <c r="BW6" s="10"/>
      <c r="BX6" s="6"/>
      <c r="BY6" s="6"/>
      <c r="BZ6" s="6"/>
      <c r="CA6" s="6"/>
      <c r="CB6" s="2"/>
      <c r="CC6" s="6"/>
      <c r="CD6" s="6"/>
      <c r="CE6" s="6"/>
      <c r="CF6" s="6"/>
      <c r="CG6" s="6"/>
      <c r="CH6" s="6"/>
      <c r="CI6" s="6"/>
    </row>
    <row r="7" spans="1:87" ht="16" customHeight="1" x14ac:dyDescent="0.2">
      <c r="A7" s="315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</row>
    <row r="8" spans="1:87" ht="16" customHeight="1" x14ac:dyDescent="0.2">
      <c r="A8" s="355" t="s">
        <v>582</v>
      </c>
      <c r="B8" s="11" t="s">
        <v>583</v>
      </c>
      <c r="C8" s="12" t="s">
        <v>584</v>
      </c>
      <c r="D8" s="85">
        <f>Assumptions!C7*Assumptions!C8/12</f>
        <v>1875000</v>
      </c>
      <c r="E8" s="86">
        <f t="shared" ref="E8:AJ8" si="5">D8*D9</f>
        <v>1895489.2543463304</v>
      </c>
      <c r="F8" s="86">
        <f t="shared" si="5"/>
        <v>1916202.4071159507</v>
      </c>
      <c r="G8" s="86">
        <f t="shared" si="5"/>
        <v>1937141.9049817903</v>
      </c>
      <c r="H8" s="86">
        <f t="shared" si="5"/>
        <v>1958310.2213530473</v>
      </c>
      <c r="I8" s="86">
        <f t="shared" si="5"/>
        <v>1979709.8566673519</v>
      </c>
      <c r="J8" s="86">
        <f t="shared" si="5"/>
        <v>2001343.3386861226</v>
      </c>
      <c r="K8" s="86">
        <f t="shared" si="5"/>
        <v>2023213.2227931488</v>
      </c>
      <c r="L8" s="86">
        <f t="shared" si="5"/>
        <v>2045322.0922964383</v>
      </c>
      <c r="M8" s="86">
        <f t="shared" si="5"/>
        <v>2067672.5587333613</v>
      </c>
      <c r="N8" s="86">
        <f t="shared" si="5"/>
        <v>2090267.2621791298</v>
      </c>
      <c r="O8" s="87">
        <f t="shared" si="5"/>
        <v>2113108.8715586476</v>
      </c>
      <c r="P8" s="86">
        <f t="shared" si="5"/>
        <v>2136200.0849617687</v>
      </c>
      <c r="Q8" s="86">
        <f t="shared" si="5"/>
        <v>2159543.6299620005</v>
      </c>
      <c r="R8" s="86">
        <f t="shared" si="5"/>
        <v>2183142.2639386882</v>
      </c>
      <c r="S8" s="86">
        <f t="shared" si="5"/>
        <v>2206998.7744027223</v>
      </c>
      <c r="T8" s="86">
        <f t="shared" si="5"/>
        <v>2231115.9793258035</v>
      </c>
      <c r="U8" s="86">
        <f t="shared" si="5"/>
        <v>2255496.7274733065</v>
      </c>
      <c r="V8" s="86">
        <f t="shared" si="5"/>
        <v>2280143.8987407819</v>
      </c>
      <c r="W8" s="86">
        <f t="shared" si="5"/>
        <v>2305060.4044941333</v>
      </c>
      <c r="X8" s="86">
        <f t="shared" si="5"/>
        <v>2330249.1879135123</v>
      </c>
      <c r="Y8" s="86">
        <f t="shared" si="5"/>
        <v>2355713.2243409734</v>
      </c>
      <c r="Z8" s="86">
        <f t="shared" si="5"/>
        <v>2381455.5216319263</v>
      </c>
      <c r="AA8" s="87">
        <f t="shared" si="5"/>
        <v>2407479.1205104273</v>
      </c>
      <c r="AB8" s="86">
        <f t="shared" si="5"/>
        <v>2433787.0949283568</v>
      </c>
      <c r="AC8" s="86">
        <f t="shared" si="5"/>
        <v>2460382.5524285189</v>
      </c>
      <c r="AD8" s="86">
        <f t="shared" si="5"/>
        <v>2487268.6345117092</v>
      </c>
      <c r="AE8" s="86">
        <f t="shared" si="5"/>
        <v>2514448.5170077947</v>
      </c>
      <c r="AF8" s="86">
        <f t="shared" si="5"/>
        <v>2541925.4104508488</v>
      </c>
      <c r="AG8" s="86">
        <f t="shared" si="5"/>
        <v>2569702.5604583835</v>
      </c>
      <c r="AH8" s="86">
        <f t="shared" si="5"/>
        <v>2597783.2481147293</v>
      </c>
      <c r="AI8" s="86">
        <f t="shared" si="5"/>
        <v>2626170.7903586007</v>
      </c>
      <c r="AJ8" s="86">
        <f t="shared" si="5"/>
        <v>2654868.5403748997</v>
      </c>
      <c r="AK8" s="86">
        <f t="shared" ref="AK8:BK8" si="6">AJ8*AJ9</f>
        <v>2683879.8879907997</v>
      </c>
      <c r="AL8" s="86">
        <f t="shared" si="6"/>
        <v>2713208.2600761568</v>
      </c>
      <c r="AM8" s="87">
        <f t="shared" si="6"/>
        <v>2742857.1209482984</v>
      </c>
      <c r="AN8" s="86">
        <f t="shared" si="6"/>
        <v>2772829.9727812335</v>
      </c>
      <c r="AO8" s="86">
        <f t="shared" si="6"/>
        <v>2803130.3560193367</v>
      </c>
      <c r="AP8" s="86">
        <f t="shared" si="6"/>
        <v>2833761.8497955501</v>
      </c>
      <c r="AQ8" s="86">
        <f t="shared" si="6"/>
        <v>2864728.0723541575</v>
      </c>
      <c r="AR8" s="86">
        <f t="shared" si="6"/>
        <v>2896032.6814781772</v>
      </c>
      <c r="AS8" s="86">
        <f t="shared" si="6"/>
        <v>2927679.3749214262</v>
      </c>
      <c r="AT8" s="86">
        <f t="shared" si="6"/>
        <v>2959671.8908453039</v>
      </c>
      <c r="AU8" s="86">
        <f t="shared" si="6"/>
        <v>2992014.0082603516</v>
      </c>
      <c r="AV8" s="86">
        <f t="shared" si="6"/>
        <v>3024709.5474726344</v>
      </c>
      <c r="AW8" s="86">
        <f t="shared" si="6"/>
        <v>3057762.370535003</v>
      </c>
      <c r="AX8" s="86">
        <f t="shared" si="6"/>
        <v>3091176.3817032855</v>
      </c>
      <c r="AY8" s="87">
        <f t="shared" si="6"/>
        <v>3124955.527897466</v>
      </c>
      <c r="AZ8" s="86">
        <f t="shared" si="6"/>
        <v>3159103.7991678994</v>
      </c>
      <c r="BA8" s="86">
        <f t="shared" si="6"/>
        <v>3193625.2291666246</v>
      </c>
      <c r="BB8" s="86">
        <f t="shared" si="6"/>
        <v>3228523.895623826</v>
      </c>
      <c r="BC8" s="86">
        <f t="shared" si="6"/>
        <v>3263803.9208295019</v>
      </c>
      <c r="BD8" s="86">
        <f t="shared" si="6"/>
        <v>3299469.4721203959</v>
      </c>
      <c r="BE8" s="86">
        <f t="shared" si="6"/>
        <v>3335524.7623722507</v>
      </c>
      <c r="BF8" s="86">
        <f t="shared" si="6"/>
        <v>3371974.0504974392</v>
      </c>
      <c r="BG8" s="86">
        <f t="shared" si="6"/>
        <v>3408821.6419480355</v>
      </c>
      <c r="BH8" s="86">
        <f t="shared" si="6"/>
        <v>3446071.8892243817</v>
      </c>
      <c r="BI8" s="86">
        <f t="shared" si="6"/>
        <v>3483729.1923892125</v>
      </c>
      <c r="BJ8" s="86">
        <f t="shared" si="6"/>
        <v>3521797.9995873985</v>
      </c>
      <c r="BK8" s="87">
        <f t="shared" si="6"/>
        <v>3560282.8075713688</v>
      </c>
      <c r="BL8" s="2"/>
      <c r="BM8" s="120">
        <f>SUMIF($D$2:$BK$2,BM$2,$D8:$BK8)</f>
        <v>23902780.99071132</v>
      </c>
      <c r="BN8" s="104"/>
      <c r="BO8" s="120">
        <f>SUMIF($D$2:$BK$2,BO2,$D8:$BK8)</f>
        <v>27232598.817696042</v>
      </c>
      <c r="BP8" s="104"/>
      <c r="BQ8" s="120">
        <f>SUMIF($D$2:$BK$2,BQ2,$D8:$BK8)</f>
        <v>31026282.617649097</v>
      </c>
      <c r="BR8" s="104"/>
      <c r="BS8" s="120">
        <f>SUMIF($D$2:$BK$2,BS2,$D8:$BK8)</f>
        <v>35348452.03406392</v>
      </c>
      <c r="BT8" s="104"/>
      <c r="BU8" s="120">
        <f>SUMIF($D$2:$BK$2,BU2,$D8:$BK8)</f>
        <v>40272728.660498336</v>
      </c>
      <c r="BV8" s="104"/>
      <c r="BW8" s="120">
        <f>BM8+BO8+BQ8+BS8+BU8</f>
        <v>157782843.1206187</v>
      </c>
      <c r="BX8" s="6"/>
      <c r="BY8" s="6"/>
      <c r="BZ8" s="6"/>
      <c r="CA8" s="6"/>
      <c r="CB8" s="2"/>
      <c r="CC8" s="6"/>
      <c r="CD8" s="6"/>
      <c r="CE8" s="6"/>
      <c r="CF8" s="6"/>
      <c r="CG8" s="6"/>
      <c r="CH8" s="6"/>
      <c r="CI8" s="6"/>
    </row>
    <row r="9" spans="1:87" ht="16" customHeight="1" x14ac:dyDescent="0.2">
      <c r="A9" s="356"/>
      <c r="B9" s="14" t="s">
        <v>585</v>
      </c>
      <c r="C9" s="92" t="s">
        <v>134</v>
      </c>
      <c r="D9" s="88">
        <f>Assumptions!$C$22</f>
        <v>1.0109276023180429</v>
      </c>
      <c r="E9" s="88">
        <f>Assumptions!$C$22</f>
        <v>1.0109276023180429</v>
      </c>
      <c r="F9" s="88">
        <f>Assumptions!$C$22</f>
        <v>1.0109276023180429</v>
      </c>
      <c r="G9" s="88">
        <f>Assumptions!$C$22</f>
        <v>1.0109276023180429</v>
      </c>
      <c r="H9" s="88">
        <f>Assumptions!$C$22</f>
        <v>1.0109276023180429</v>
      </c>
      <c r="I9" s="88">
        <f>Assumptions!$C$22</f>
        <v>1.0109276023180429</v>
      </c>
      <c r="J9" s="88">
        <f>Assumptions!$C$22</f>
        <v>1.0109276023180429</v>
      </c>
      <c r="K9" s="88">
        <f>Assumptions!$C$22</f>
        <v>1.0109276023180429</v>
      </c>
      <c r="L9" s="88">
        <f>Assumptions!$C$22</f>
        <v>1.0109276023180429</v>
      </c>
      <c r="M9" s="88">
        <f>Assumptions!$C$22</f>
        <v>1.0109276023180429</v>
      </c>
      <c r="N9" s="88">
        <f>Assumptions!$C$22</f>
        <v>1.0109276023180429</v>
      </c>
      <c r="O9" s="89">
        <f>Assumptions!$C$22</f>
        <v>1.0109276023180429</v>
      </c>
      <c r="P9" s="88">
        <f>Assumptions!$C$22</f>
        <v>1.0109276023180429</v>
      </c>
      <c r="Q9" s="88">
        <f>Assumptions!$C$22</f>
        <v>1.0109276023180429</v>
      </c>
      <c r="R9" s="88">
        <f>Assumptions!$C$22</f>
        <v>1.0109276023180429</v>
      </c>
      <c r="S9" s="88">
        <f>Assumptions!$C$22</f>
        <v>1.0109276023180429</v>
      </c>
      <c r="T9" s="88">
        <f>Assumptions!$C$22</f>
        <v>1.0109276023180429</v>
      </c>
      <c r="U9" s="88">
        <f>Assumptions!$C$22</f>
        <v>1.0109276023180429</v>
      </c>
      <c r="V9" s="88">
        <f>Assumptions!$C$22</f>
        <v>1.0109276023180429</v>
      </c>
      <c r="W9" s="88">
        <f>Assumptions!$C$22</f>
        <v>1.0109276023180429</v>
      </c>
      <c r="X9" s="88">
        <f>Assumptions!$C$22</f>
        <v>1.0109276023180429</v>
      </c>
      <c r="Y9" s="88">
        <f>Assumptions!$C$22</f>
        <v>1.0109276023180429</v>
      </c>
      <c r="Z9" s="88">
        <f>Assumptions!$C$22</f>
        <v>1.0109276023180429</v>
      </c>
      <c r="AA9" s="89">
        <f>Assumptions!$C$22</f>
        <v>1.0109276023180429</v>
      </c>
      <c r="AB9" s="88">
        <f>Assumptions!$C$22</f>
        <v>1.0109276023180429</v>
      </c>
      <c r="AC9" s="88">
        <f>Assumptions!$C$22</f>
        <v>1.0109276023180429</v>
      </c>
      <c r="AD9" s="88">
        <f>Assumptions!$C$22</f>
        <v>1.0109276023180429</v>
      </c>
      <c r="AE9" s="88">
        <f>Assumptions!$C$22</f>
        <v>1.0109276023180429</v>
      </c>
      <c r="AF9" s="88">
        <f>Assumptions!$C$22</f>
        <v>1.0109276023180429</v>
      </c>
      <c r="AG9" s="88">
        <f>Assumptions!$C$22</f>
        <v>1.0109276023180429</v>
      </c>
      <c r="AH9" s="88">
        <f>Assumptions!$C$22</f>
        <v>1.0109276023180429</v>
      </c>
      <c r="AI9" s="88">
        <f>Assumptions!$C$22</f>
        <v>1.0109276023180429</v>
      </c>
      <c r="AJ9" s="88">
        <f>Assumptions!$C$22</f>
        <v>1.0109276023180429</v>
      </c>
      <c r="AK9" s="88">
        <f>Assumptions!$C$22</f>
        <v>1.0109276023180429</v>
      </c>
      <c r="AL9" s="88">
        <f>Assumptions!$C$22</f>
        <v>1.0109276023180429</v>
      </c>
      <c r="AM9" s="89">
        <f>Assumptions!$C$22</f>
        <v>1.0109276023180429</v>
      </c>
      <c r="AN9" s="88">
        <f>Assumptions!$C$22</f>
        <v>1.0109276023180429</v>
      </c>
      <c r="AO9" s="88">
        <f>Assumptions!$C$22</f>
        <v>1.0109276023180429</v>
      </c>
      <c r="AP9" s="88">
        <f>Assumptions!$C$22</f>
        <v>1.0109276023180429</v>
      </c>
      <c r="AQ9" s="88">
        <f>Assumptions!$C$22</f>
        <v>1.0109276023180429</v>
      </c>
      <c r="AR9" s="88">
        <f>Assumptions!$C$22</f>
        <v>1.0109276023180429</v>
      </c>
      <c r="AS9" s="88">
        <f>Assumptions!$C$22</f>
        <v>1.0109276023180429</v>
      </c>
      <c r="AT9" s="88">
        <f>Assumptions!$C$22</f>
        <v>1.0109276023180429</v>
      </c>
      <c r="AU9" s="88">
        <f>Assumptions!$C$22</f>
        <v>1.0109276023180429</v>
      </c>
      <c r="AV9" s="88">
        <f>Assumptions!$C$22</f>
        <v>1.0109276023180429</v>
      </c>
      <c r="AW9" s="88">
        <f>Assumptions!$C$22</f>
        <v>1.0109276023180429</v>
      </c>
      <c r="AX9" s="88">
        <f>Assumptions!$C$22</f>
        <v>1.0109276023180429</v>
      </c>
      <c r="AY9" s="89">
        <f>Assumptions!$C$22</f>
        <v>1.0109276023180429</v>
      </c>
      <c r="AZ9" s="88">
        <f>Assumptions!$C$22</f>
        <v>1.0109276023180429</v>
      </c>
      <c r="BA9" s="88">
        <f>Assumptions!$C$22</f>
        <v>1.0109276023180429</v>
      </c>
      <c r="BB9" s="88">
        <f>Assumptions!$C$22</f>
        <v>1.0109276023180429</v>
      </c>
      <c r="BC9" s="88">
        <f>Assumptions!$C$22</f>
        <v>1.0109276023180429</v>
      </c>
      <c r="BD9" s="88">
        <f>Assumptions!$C$22</f>
        <v>1.0109276023180429</v>
      </c>
      <c r="BE9" s="88">
        <f>Assumptions!$C$22</f>
        <v>1.0109276023180429</v>
      </c>
      <c r="BF9" s="88">
        <f>Assumptions!$C$22</f>
        <v>1.0109276023180429</v>
      </c>
      <c r="BG9" s="88">
        <f>Assumptions!$C$22</f>
        <v>1.0109276023180429</v>
      </c>
      <c r="BH9" s="88">
        <f>Assumptions!$C$22</f>
        <v>1.0109276023180429</v>
      </c>
      <c r="BI9" s="88">
        <f>Assumptions!$C$22</f>
        <v>1.0109276023180429</v>
      </c>
      <c r="BJ9" s="88">
        <f>Assumptions!$C$22</f>
        <v>1.0109276023180429</v>
      </c>
      <c r="BK9" s="89">
        <f>Assumptions!$C$22</f>
        <v>1.0109276023180429</v>
      </c>
      <c r="BL9" s="2"/>
      <c r="BM9" s="121"/>
      <c r="BN9" s="102"/>
      <c r="BO9" s="121"/>
      <c r="BP9" s="102"/>
      <c r="BQ9" s="121"/>
      <c r="BR9" s="102"/>
      <c r="BS9" s="121"/>
      <c r="BT9" s="102"/>
      <c r="BU9" s="121"/>
      <c r="BV9" s="102"/>
      <c r="BW9" s="122"/>
      <c r="BX9" s="6"/>
      <c r="BY9" s="6"/>
      <c r="BZ9" s="6"/>
      <c r="CA9" s="6"/>
      <c r="CB9" s="2"/>
      <c r="CC9" s="6"/>
      <c r="CD9" s="6"/>
      <c r="CE9" s="6"/>
      <c r="CF9" s="6"/>
      <c r="CG9" s="6"/>
      <c r="CH9" s="6"/>
      <c r="CI9" s="6"/>
    </row>
    <row r="10" spans="1:87" ht="16" customHeight="1" x14ac:dyDescent="0.2">
      <c r="A10" s="356"/>
      <c r="B10" s="119" t="s">
        <v>586</v>
      </c>
      <c r="C10" s="92" t="s">
        <v>584</v>
      </c>
      <c r="D10" s="128">
        <f>D8*Assumptions!$C$9</f>
        <v>937500</v>
      </c>
      <c r="E10" s="128">
        <f>E8*Assumptions!$C$9</f>
        <v>947744.62717316521</v>
      </c>
      <c r="F10" s="128">
        <f>F8*Assumptions!$C$9</f>
        <v>958101.20355797536</v>
      </c>
      <c r="G10" s="128">
        <f>G8*Assumptions!$C$9</f>
        <v>968570.95249089517</v>
      </c>
      <c r="H10" s="128">
        <f>H8*Assumptions!$C$9</f>
        <v>979155.11067652365</v>
      </c>
      <c r="I10" s="128">
        <f>I8*Assumptions!$C$9</f>
        <v>989854.92833367595</v>
      </c>
      <c r="J10" s="128">
        <f>J8*Assumptions!$C$9</f>
        <v>1000671.6693430613</v>
      </c>
      <c r="K10" s="128">
        <f>K8*Assumptions!$C$9</f>
        <v>1011606.6113965744</v>
      </c>
      <c r="L10" s="128">
        <f>L8*Assumptions!$C$9</f>
        <v>1022661.0461482191</v>
      </c>
      <c r="M10" s="128">
        <f>M8*Assumptions!$C$9</f>
        <v>1033836.2793666807</v>
      </c>
      <c r="N10" s="128">
        <f>N8*Assumptions!$C$9</f>
        <v>1045133.6310895649</v>
      </c>
      <c r="O10" s="129">
        <f>O8*Assumptions!$C$9</f>
        <v>1056554.4357793238</v>
      </c>
      <c r="P10" s="128">
        <f>P8*Assumptions!$C$9</f>
        <v>1068100.0424808844</v>
      </c>
      <c r="Q10" s="128">
        <f>Q8*Assumptions!$C$9</f>
        <v>1079771.8149810003</v>
      </c>
      <c r="R10" s="128">
        <f>R8*Assumptions!$C$9</f>
        <v>1091571.1319693441</v>
      </c>
      <c r="S10" s="128">
        <f>S8*Assumptions!$C$9</f>
        <v>1103499.3872013611</v>
      </c>
      <c r="T10" s="128">
        <f>T8*Assumptions!$C$9</f>
        <v>1115557.9896629017</v>
      </c>
      <c r="U10" s="128">
        <f>U8*Assumptions!$C$9</f>
        <v>1127748.3637366532</v>
      </c>
      <c r="V10" s="128">
        <f>V8*Assumptions!$C$9</f>
        <v>1140071.949370391</v>
      </c>
      <c r="W10" s="128">
        <f>W8*Assumptions!$C$9</f>
        <v>1152530.2022470667</v>
      </c>
      <c r="X10" s="128">
        <f>X8*Assumptions!$C$9</f>
        <v>1165124.5939567562</v>
      </c>
      <c r="Y10" s="128">
        <f>Y8*Assumptions!$C$9</f>
        <v>1177856.6121704867</v>
      </c>
      <c r="Z10" s="128">
        <f>Z8*Assumptions!$C$9</f>
        <v>1190727.7608159631</v>
      </c>
      <c r="AA10" s="129">
        <f>AA8*Assumptions!$C$9</f>
        <v>1203739.5602552136</v>
      </c>
      <c r="AB10" s="128">
        <f>AB8*Assumptions!$C$9</f>
        <v>1216893.5474641784</v>
      </c>
      <c r="AC10" s="128">
        <f>AC8*Assumptions!$C$9</f>
        <v>1230191.2762142594</v>
      </c>
      <c r="AD10" s="128">
        <f>AD8*Assumptions!$C$9</f>
        <v>1243634.3172558546</v>
      </c>
      <c r="AE10" s="128">
        <f>AE8*Assumptions!$C$9</f>
        <v>1257224.2585038973</v>
      </c>
      <c r="AF10" s="128">
        <f>AF8*Assumptions!$C$9</f>
        <v>1270962.7052254244</v>
      </c>
      <c r="AG10" s="128">
        <f>AG8*Assumptions!$C$9</f>
        <v>1284851.2802291918</v>
      </c>
      <c r="AH10" s="128">
        <f>AH8*Assumptions!$C$9</f>
        <v>1298891.6240573647</v>
      </c>
      <c r="AI10" s="128">
        <f>AI8*Assumptions!$C$9</f>
        <v>1313085.3951793003</v>
      </c>
      <c r="AJ10" s="128">
        <f>AJ8*Assumptions!$C$9</f>
        <v>1327434.2701874499</v>
      </c>
      <c r="AK10" s="128">
        <f>AK8*Assumptions!$C$9</f>
        <v>1341939.9439953999</v>
      </c>
      <c r="AL10" s="128">
        <f>AL8*Assumptions!$C$9</f>
        <v>1356604.1300380784</v>
      </c>
      <c r="AM10" s="129">
        <f>AM8*Assumptions!$C$9</f>
        <v>1371428.5604741492</v>
      </c>
      <c r="AN10" s="128">
        <f>AN8*Assumptions!$C$9</f>
        <v>1386414.9863906167</v>
      </c>
      <c r="AO10" s="128">
        <f>AO8*Assumptions!$C$9</f>
        <v>1401565.1780096684</v>
      </c>
      <c r="AP10" s="128">
        <f>AP8*Assumptions!$C$9</f>
        <v>1416880.9248977751</v>
      </c>
      <c r="AQ10" s="128">
        <f>AQ8*Assumptions!$C$9</f>
        <v>1432364.0361770787</v>
      </c>
      <c r="AR10" s="128">
        <f>AR8*Assumptions!$C$9</f>
        <v>1448016.3407390886</v>
      </c>
      <c r="AS10" s="128">
        <f>AS8*Assumptions!$C$9</f>
        <v>1463839.6874607131</v>
      </c>
      <c r="AT10" s="128">
        <f>AT8*Assumptions!$C$9</f>
        <v>1479835.9454226519</v>
      </c>
      <c r="AU10" s="128">
        <f>AU8*Assumptions!$C$9</f>
        <v>1496007.0041301758</v>
      </c>
      <c r="AV10" s="128">
        <f>AV8*Assumptions!$C$9</f>
        <v>1512354.7737363172</v>
      </c>
      <c r="AW10" s="128">
        <f>AW8*Assumptions!$C$9</f>
        <v>1528881.1852675015</v>
      </c>
      <c r="AX10" s="128">
        <f>AX8*Assumptions!$C$9</f>
        <v>1545588.1908516428</v>
      </c>
      <c r="AY10" s="129">
        <f>AY8*Assumptions!$C$9</f>
        <v>1562477.763948733</v>
      </c>
      <c r="AZ10" s="128">
        <f>AZ8*Assumptions!$C$9</f>
        <v>1579551.8995839497</v>
      </c>
      <c r="BA10" s="128">
        <f>BA8*Assumptions!$C$9</f>
        <v>1596812.6145833123</v>
      </c>
      <c r="BB10" s="128">
        <f>BB8*Assumptions!$C$9</f>
        <v>1614261.947811913</v>
      </c>
      <c r="BC10" s="128">
        <f>BC8*Assumptions!$C$9</f>
        <v>1631901.960414751</v>
      </c>
      <c r="BD10" s="128">
        <f>BD8*Assumptions!$C$9</f>
        <v>1649734.7360601979</v>
      </c>
      <c r="BE10" s="128">
        <f>BE8*Assumptions!$C$9</f>
        <v>1667762.3811861253</v>
      </c>
      <c r="BF10" s="128">
        <f>BF8*Assumptions!$C$9</f>
        <v>1685987.0252487196</v>
      </c>
      <c r="BG10" s="128">
        <f>BG8*Assumptions!$C$9</f>
        <v>1704410.8209740177</v>
      </c>
      <c r="BH10" s="128">
        <f>BH8*Assumptions!$C$9</f>
        <v>1723035.9446121908</v>
      </c>
      <c r="BI10" s="128">
        <f>BI8*Assumptions!$C$9</f>
        <v>1741864.5961946063</v>
      </c>
      <c r="BJ10" s="128">
        <f>BJ8*Assumptions!$C$9</f>
        <v>1760898.9997936992</v>
      </c>
      <c r="BK10" s="129">
        <f>BK8*Assumptions!$C$9</f>
        <v>1780141.4037856844</v>
      </c>
      <c r="BL10" s="2"/>
      <c r="BM10" s="121"/>
      <c r="BN10" s="102"/>
      <c r="BO10" s="121"/>
      <c r="BP10" s="102"/>
      <c r="BQ10" s="121"/>
      <c r="BR10" s="102"/>
      <c r="BS10" s="121"/>
      <c r="BT10" s="102"/>
      <c r="BU10" s="121"/>
      <c r="BV10" s="102"/>
      <c r="BW10" s="122"/>
      <c r="BX10" s="6"/>
      <c r="BY10" s="6"/>
      <c r="BZ10" s="6"/>
      <c r="CA10" s="6"/>
      <c r="CB10" s="2"/>
      <c r="CC10" s="6"/>
      <c r="CD10" s="6"/>
      <c r="CE10" s="6"/>
      <c r="CF10" s="6"/>
      <c r="CG10" s="6"/>
      <c r="CH10" s="6"/>
      <c r="CI10" s="6"/>
    </row>
    <row r="11" spans="1:87" ht="16" customHeight="1" x14ac:dyDescent="0.2">
      <c r="A11" s="356"/>
      <c r="B11" s="14" t="s">
        <v>587</v>
      </c>
      <c r="C11" s="92" t="s">
        <v>584</v>
      </c>
      <c r="D11" s="130">
        <f t="shared" ref="D11:AI11" si="7">D10/12</f>
        <v>78125</v>
      </c>
      <c r="E11" s="130">
        <f t="shared" si="7"/>
        <v>78978.718931097101</v>
      </c>
      <c r="F11" s="130">
        <f t="shared" si="7"/>
        <v>79841.766963164613</v>
      </c>
      <c r="G11" s="130">
        <f t="shared" si="7"/>
        <v>80714.246040907936</v>
      </c>
      <c r="H11" s="130">
        <f t="shared" si="7"/>
        <v>81596.259223043642</v>
      </c>
      <c r="I11" s="130">
        <f t="shared" si="7"/>
        <v>82487.910694473001</v>
      </c>
      <c r="J11" s="130">
        <f t="shared" si="7"/>
        <v>83389.305778588445</v>
      </c>
      <c r="K11" s="130">
        <f t="shared" si="7"/>
        <v>84300.550949714539</v>
      </c>
      <c r="L11" s="130">
        <f t="shared" si="7"/>
        <v>85221.753845684929</v>
      </c>
      <c r="M11" s="130">
        <f t="shared" si="7"/>
        <v>86153.023280556721</v>
      </c>
      <c r="N11" s="130">
        <f t="shared" si="7"/>
        <v>87094.469257463745</v>
      </c>
      <c r="O11" s="130">
        <f t="shared" si="7"/>
        <v>88046.202981610317</v>
      </c>
      <c r="P11" s="130">
        <f t="shared" si="7"/>
        <v>89008.336873407025</v>
      </c>
      <c r="Q11" s="130">
        <f t="shared" si="7"/>
        <v>89980.984581750017</v>
      </c>
      <c r="R11" s="130">
        <f t="shared" si="7"/>
        <v>90964.260997445337</v>
      </c>
      <c r="S11" s="130">
        <f t="shared" si="7"/>
        <v>91958.282266780094</v>
      </c>
      <c r="T11" s="130">
        <f t="shared" si="7"/>
        <v>92963.165805241806</v>
      </c>
      <c r="U11" s="130">
        <f t="shared" si="7"/>
        <v>93979.030311387774</v>
      </c>
      <c r="V11" s="130">
        <f t="shared" si="7"/>
        <v>95005.995780865909</v>
      </c>
      <c r="W11" s="130">
        <f t="shared" si="7"/>
        <v>96044.183520588893</v>
      </c>
      <c r="X11" s="130">
        <f t="shared" si="7"/>
        <v>97093.716163063014</v>
      </c>
      <c r="Y11" s="130">
        <f t="shared" si="7"/>
        <v>98154.717680873888</v>
      </c>
      <c r="Z11" s="130">
        <f t="shared" si="7"/>
        <v>99227.313401330262</v>
      </c>
      <c r="AA11" s="130">
        <f t="shared" si="7"/>
        <v>100311.6300212678</v>
      </c>
      <c r="AB11" s="130">
        <f t="shared" si="7"/>
        <v>101407.79562201486</v>
      </c>
      <c r="AC11" s="130">
        <f t="shared" si="7"/>
        <v>102515.93968452163</v>
      </c>
      <c r="AD11" s="130">
        <f t="shared" si="7"/>
        <v>103636.19310465455</v>
      </c>
      <c r="AE11" s="130">
        <f t="shared" si="7"/>
        <v>104768.68820865812</v>
      </c>
      <c r="AF11" s="130">
        <f t="shared" si="7"/>
        <v>105913.55876878537</v>
      </c>
      <c r="AG11" s="130">
        <f t="shared" si="7"/>
        <v>107070.94001909932</v>
      </c>
      <c r="AH11" s="130">
        <f t="shared" si="7"/>
        <v>108240.96867144706</v>
      </c>
      <c r="AI11" s="130">
        <f t="shared" si="7"/>
        <v>109423.78293160837</v>
      </c>
      <c r="AJ11" s="130">
        <f t="shared" ref="AJ11:BK11" si="8">AJ10/12</f>
        <v>110619.52251562082</v>
      </c>
      <c r="AK11" s="130">
        <f t="shared" si="8"/>
        <v>111828.32866628333</v>
      </c>
      <c r="AL11" s="130">
        <f t="shared" si="8"/>
        <v>113050.34416983987</v>
      </c>
      <c r="AM11" s="130">
        <f t="shared" si="8"/>
        <v>114285.71337284577</v>
      </c>
      <c r="AN11" s="130">
        <f t="shared" si="8"/>
        <v>115534.58219921806</v>
      </c>
      <c r="AO11" s="130">
        <f t="shared" si="8"/>
        <v>116797.09816747236</v>
      </c>
      <c r="AP11" s="130">
        <f t="shared" si="8"/>
        <v>118073.41040814792</v>
      </c>
      <c r="AQ11" s="130">
        <f t="shared" si="8"/>
        <v>119363.66968142323</v>
      </c>
      <c r="AR11" s="130">
        <f t="shared" si="8"/>
        <v>120668.02839492405</v>
      </c>
      <c r="AS11" s="130">
        <f t="shared" si="8"/>
        <v>121986.6406217261</v>
      </c>
      <c r="AT11" s="130">
        <f t="shared" si="8"/>
        <v>123319.66211855433</v>
      </c>
      <c r="AU11" s="130">
        <f t="shared" si="8"/>
        <v>124667.25034418132</v>
      </c>
      <c r="AV11" s="130">
        <f t="shared" si="8"/>
        <v>126029.56447802643</v>
      </c>
      <c r="AW11" s="130">
        <f t="shared" si="8"/>
        <v>127406.76543895846</v>
      </c>
      <c r="AX11" s="130">
        <f t="shared" si="8"/>
        <v>128799.01590430357</v>
      </c>
      <c r="AY11" s="130">
        <f t="shared" si="8"/>
        <v>130206.48032906109</v>
      </c>
      <c r="AZ11" s="130">
        <f t="shared" si="8"/>
        <v>131629.32496532914</v>
      </c>
      <c r="BA11" s="130">
        <f t="shared" si="8"/>
        <v>133067.71788194269</v>
      </c>
      <c r="BB11" s="130">
        <f t="shared" si="8"/>
        <v>134521.82898432607</v>
      </c>
      <c r="BC11" s="130">
        <f t="shared" si="8"/>
        <v>135991.83003456259</v>
      </c>
      <c r="BD11" s="130">
        <f t="shared" si="8"/>
        <v>137477.89467168317</v>
      </c>
      <c r="BE11" s="130">
        <f t="shared" si="8"/>
        <v>138980.1984321771</v>
      </c>
      <c r="BF11" s="130">
        <f t="shared" si="8"/>
        <v>140498.91877072662</v>
      </c>
      <c r="BG11" s="130">
        <f t="shared" si="8"/>
        <v>142034.23508116815</v>
      </c>
      <c r="BH11" s="130">
        <f t="shared" si="8"/>
        <v>143586.32871768257</v>
      </c>
      <c r="BI11" s="130">
        <f t="shared" si="8"/>
        <v>145155.38301621718</v>
      </c>
      <c r="BJ11" s="130">
        <f t="shared" si="8"/>
        <v>146741.58331614159</v>
      </c>
      <c r="BK11" s="130">
        <f t="shared" si="8"/>
        <v>148345.11698214037</v>
      </c>
      <c r="BL11" s="2"/>
      <c r="BM11" s="121"/>
      <c r="BN11" s="102"/>
      <c r="BO11" s="121"/>
      <c r="BP11" s="102"/>
      <c r="BQ11" s="121"/>
      <c r="BR11" s="102"/>
      <c r="BS11" s="121"/>
      <c r="BT11" s="102"/>
      <c r="BU11" s="121"/>
      <c r="BV11" s="102"/>
      <c r="BW11" s="122"/>
      <c r="BX11" s="6"/>
      <c r="BY11" s="6"/>
      <c r="BZ11" s="6"/>
      <c r="CA11" s="6"/>
      <c r="CB11" s="2"/>
      <c r="CC11" s="6"/>
      <c r="CD11" s="6"/>
      <c r="CE11" s="6"/>
      <c r="CF11" s="6"/>
      <c r="CG11" s="6"/>
      <c r="CH11" s="6"/>
      <c r="CI11" s="6"/>
    </row>
    <row r="12" spans="1:87" ht="16" customHeight="1" x14ac:dyDescent="0.2">
      <c r="A12" s="356"/>
      <c r="B12" s="17" t="s">
        <v>489</v>
      </c>
      <c r="C12" s="2" t="s">
        <v>584</v>
      </c>
      <c r="D12" s="91">
        <f>Assumptions!$C$11</f>
        <v>0.75</v>
      </c>
      <c r="E12" s="96">
        <f t="shared" ref="E12:AJ12" si="9">D12*D13</f>
        <v>0.75245530483664913</v>
      </c>
      <c r="F12" s="96">
        <f t="shared" si="9"/>
        <v>0.75491864770241945</v>
      </c>
      <c r="G12" s="96">
        <f t="shared" si="9"/>
        <v>0.75739005491172662</v>
      </c>
      <c r="H12" s="96">
        <f t="shared" si="9"/>
        <v>0.75986955286513291</v>
      </c>
      <c r="I12" s="96">
        <f t="shared" si="9"/>
        <v>0.76235716804962916</v>
      </c>
      <c r="J12" s="96">
        <f t="shared" si="9"/>
        <v>0.76485292703891772</v>
      </c>
      <c r="K12" s="96">
        <f t="shared" si="9"/>
        <v>0.76735685649369634</v>
      </c>
      <c r="L12" s="96">
        <f t="shared" si="9"/>
        <v>0.76986898316194285</v>
      </c>
      <c r="M12" s="96">
        <f t="shared" si="9"/>
        <v>0.77238933387920117</v>
      </c>
      <c r="N12" s="96">
        <f t="shared" si="9"/>
        <v>0.77491793556886768</v>
      </c>
      <c r="O12" s="97">
        <f t="shared" si="9"/>
        <v>0.77745481524247895</v>
      </c>
      <c r="P12" s="96">
        <f t="shared" si="9"/>
        <v>0.78000000000000036</v>
      </c>
      <c r="Q12" s="96">
        <f t="shared" si="9"/>
        <v>0.78255351703011555</v>
      </c>
      <c r="R12" s="96">
        <f t="shared" si="9"/>
        <v>0.78511539361051674</v>
      </c>
      <c r="S12" s="96">
        <f t="shared" si="9"/>
        <v>0.78768565710819627</v>
      </c>
      <c r="T12" s="96">
        <f t="shared" si="9"/>
        <v>0.79026433497973891</v>
      </c>
      <c r="U12" s="96">
        <f t="shared" si="9"/>
        <v>0.79285145477161501</v>
      </c>
      <c r="V12" s="96">
        <f t="shared" si="9"/>
        <v>0.79544704412047518</v>
      </c>
      <c r="W12" s="96">
        <f t="shared" si="9"/>
        <v>0.79805113075344492</v>
      </c>
      <c r="X12" s="96">
        <f t="shared" si="9"/>
        <v>0.80066374248842132</v>
      </c>
      <c r="Y12" s="96">
        <f t="shared" si="9"/>
        <v>0.80328490723436996</v>
      </c>
      <c r="Z12" s="96">
        <f t="shared" si="9"/>
        <v>0.80591465299162313</v>
      </c>
      <c r="AA12" s="97">
        <f t="shared" si="9"/>
        <v>0.80855300785217887</v>
      </c>
      <c r="AB12" s="96">
        <f t="shared" si="9"/>
        <v>0.81120000000000114</v>
      </c>
      <c r="AC12" s="96">
        <f t="shared" si="9"/>
        <v>0.81385565771132096</v>
      </c>
      <c r="AD12" s="96">
        <f t="shared" si="9"/>
        <v>0.81652000935493818</v>
      </c>
      <c r="AE12" s="96">
        <f t="shared" si="9"/>
        <v>0.81919308339252483</v>
      </c>
      <c r="AF12" s="96">
        <f t="shared" si="9"/>
        <v>0.82187490837892918</v>
      </c>
      <c r="AG12" s="96">
        <f t="shared" si="9"/>
        <v>0.82456551296248037</v>
      </c>
      <c r="AH12" s="96">
        <f t="shared" si="9"/>
        <v>0.82726492588529488</v>
      </c>
      <c r="AI12" s="96">
        <f t="shared" si="9"/>
        <v>0.82997317598358344</v>
      </c>
      <c r="AJ12" s="96">
        <f t="shared" si="9"/>
        <v>0.83269029218795887</v>
      </c>
      <c r="AK12" s="96">
        <f t="shared" ref="AK12:BK12" si="10">AJ12*AJ13</f>
        <v>0.83541630352374541</v>
      </c>
      <c r="AL12" s="96">
        <f t="shared" si="10"/>
        <v>0.83815123911128864</v>
      </c>
      <c r="AM12" s="97">
        <f t="shared" si="10"/>
        <v>0.84089512816626655</v>
      </c>
      <c r="AN12" s="96">
        <f t="shared" si="10"/>
        <v>0.84364800000000173</v>
      </c>
      <c r="AO12" s="96">
        <f t="shared" si="10"/>
        <v>0.84640988401977424</v>
      </c>
      <c r="AP12" s="96">
        <f t="shared" si="10"/>
        <v>0.84918080972913612</v>
      </c>
      <c r="AQ12" s="96">
        <f t="shared" si="10"/>
        <v>0.85196080672822627</v>
      </c>
      <c r="AR12" s="96">
        <f t="shared" si="10"/>
        <v>0.85474990471408674</v>
      </c>
      <c r="AS12" s="96">
        <f t="shared" si="10"/>
        <v>0.85754813348098002</v>
      </c>
      <c r="AT12" s="96">
        <f t="shared" si="10"/>
        <v>0.86035552292070716</v>
      </c>
      <c r="AU12" s="96">
        <f t="shared" si="10"/>
        <v>0.86317210302292724</v>
      </c>
      <c r="AV12" s="96">
        <f t="shared" si="10"/>
        <v>0.8659979038754777</v>
      </c>
      <c r="AW12" s="96">
        <f t="shared" si="10"/>
        <v>0.86883295566469576</v>
      </c>
      <c r="AX12" s="96">
        <f t="shared" si="10"/>
        <v>0.87167728867574079</v>
      </c>
      <c r="AY12" s="97">
        <f t="shared" si="10"/>
        <v>0.87453093329291787</v>
      </c>
      <c r="AZ12" s="96">
        <f t="shared" si="10"/>
        <v>0.87739392000000249</v>
      </c>
      <c r="BA12" s="96">
        <f t="shared" si="10"/>
        <v>0.8802662793805659</v>
      </c>
      <c r="BB12" s="96">
        <f t="shared" si="10"/>
        <v>0.88314804211830233</v>
      </c>
      <c r="BC12" s="96">
        <f t="shared" si="10"/>
        <v>0.88603923899735615</v>
      </c>
      <c r="BD12" s="96">
        <f t="shared" si="10"/>
        <v>0.88893990090265107</v>
      </c>
      <c r="BE12" s="96">
        <f t="shared" si="10"/>
        <v>0.89185005882022006</v>
      </c>
      <c r="BF12" s="96">
        <f t="shared" si="10"/>
        <v>0.89476974383753627</v>
      </c>
      <c r="BG12" s="96">
        <f t="shared" si="10"/>
        <v>0.89769898714384511</v>
      </c>
      <c r="BH12" s="96">
        <f t="shared" si="10"/>
        <v>0.90063782003049764</v>
      </c>
      <c r="BI12" s="96">
        <f t="shared" si="10"/>
        <v>0.90358627389128443</v>
      </c>
      <c r="BJ12" s="96">
        <f t="shared" si="10"/>
        <v>0.90654438022277117</v>
      </c>
      <c r="BK12" s="97">
        <f t="shared" si="10"/>
        <v>0.9095121706246353</v>
      </c>
      <c r="BL12" s="2"/>
      <c r="BM12" s="123">
        <f>AVERAGEIFS($D12:$BK12,$D$2:$BK$2,BM$2)</f>
        <v>0.76365263164588848</v>
      </c>
      <c r="BN12" s="102"/>
      <c r="BO12" s="123">
        <f>AVERAGEIFS($D12:$BK12,$D2:$BK2,BO2)</f>
        <v>0.79419873691172471</v>
      </c>
      <c r="BP12" s="102"/>
      <c r="BQ12" s="123">
        <f>AVERAGEIFS($D12:$BK12,$D2:$BK2,BQ2)</f>
        <v>0.82596668638819437</v>
      </c>
      <c r="BR12" s="102"/>
      <c r="BS12" s="123">
        <f>AVERAGEIFS($D12:$BK12,$D2:$BK2,BS2)</f>
        <v>0.85900535384372267</v>
      </c>
      <c r="BT12" s="102"/>
      <c r="BU12" s="123">
        <f>AVERAGEIFS($D12:$BK12,$D2:$BK2,BU2)</f>
        <v>0.89336556799747235</v>
      </c>
      <c r="BV12" s="102"/>
      <c r="BW12" s="124">
        <f>AVERAGE(BM12:BU12)</f>
        <v>0.82723779535740039</v>
      </c>
      <c r="BX12" s="2"/>
      <c r="BY12" s="20"/>
      <c r="BZ12" s="20"/>
      <c r="CA12" s="20"/>
      <c r="CB12" s="20"/>
      <c r="CC12" s="20"/>
      <c r="CD12" s="20"/>
      <c r="CE12" s="2"/>
      <c r="CF12" s="2"/>
      <c r="CG12" s="2"/>
      <c r="CH12" s="2"/>
      <c r="CI12" s="2"/>
    </row>
    <row r="13" spans="1:87" ht="16" customHeight="1" x14ac:dyDescent="0.2">
      <c r="A13" s="356"/>
      <c r="B13" s="21" t="s">
        <v>585</v>
      </c>
      <c r="C13" s="22" t="s">
        <v>134</v>
      </c>
      <c r="D13" s="93">
        <f>Assumptions!$C$14</f>
        <v>1.0032737397821989</v>
      </c>
      <c r="E13" s="94">
        <f>Assumptions!$C$14</f>
        <v>1.0032737397821989</v>
      </c>
      <c r="F13" s="94">
        <f>Assumptions!$C$14</f>
        <v>1.0032737397821989</v>
      </c>
      <c r="G13" s="94">
        <f>Assumptions!$C$14</f>
        <v>1.0032737397821989</v>
      </c>
      <c r="H13" s="94">
        <f>Assumptions!$C$14</f>
        <v>1.0032737397821989</v>
      </c>
      <c r="I13" s="94">
        <f>Assumptions!$C$14</f>
        <v>1.0032737397821989</v>
      </c>
      <c r="J13" s="94">
        <f>Assumptions!$C$14</f>
        <v>1.0032737397821989</v>
      </c>
      <c r="K13" s="94">
        <f>Assumptions!$C$14</f>
        <v>1.0032737397821989</v>
      </c>
      <c r="L13" s="94">
        <f>Assumptions!$C$14</f>
        <v>1.0032737397821989</v>
      </c>
      <c r="M13" s="94">
        <f>Assumptions!$C$14</f>
        <v>1.0032737397821989</v>
      </c>
      <c r="N13" s="94">
        <f>Assumptions!$C$14</f>
        <v>1.0032737397821989</v>
      </c>
      <c r="O13" s="95">
        <f>Assumptions!$C$14</f>
        <v>1.0032737397821989</v>
      </c>
      <c r="P13" s="94">
        <f>Assumptions!$C$14</f>
        <v>1.0032737397821989</v>
      </c>
      <c r="Q13" s="94">
        <f>Assumptions!$C$14</f>
        <v>1.0032737397821989</v>
      </c>
      <c r="R13" s="94">
        <f>Assumptions!$C$14</f>
        <v>1.0032737397821989</v>
      </c>
      <c r="S13" s="94">
        <f>Assumptions!$C$14</f>
        <v>1.0032737397821989</v>
      </c>
      <c r="T13" s="94">
        <f>Assumptions!$C$14</f>
        <v>1.0032737397821989</v>
      </c>
      <c r="U13" s="94">
        <f>Assumptions!$C$14</f>
        <v>1.0032737397821989</v>
      </c>
      <c r="V13" s="94">
        <f>Assumptions!$C$14</f>
        <v>1.0032737397821989</v>
      </c>
      <c r="W13" s="94">
        <f>Assumptions!$C$14</f>
        <v>1.0032737397821989</v>
      </c>
      <c r="X13" s="94">
        <f>Assumptions!$C$14</f>
        <v>1.0032737397821989</v>
      </c>
      <c r="Y13" s="94">
        <f>Assumptions!$C$14</f>
        <v>1.0032737397821989</v>
      </c>
      <c r="Z13" s="94">
        <f>Assumptions!$C$14</f>
        <v>1.0032737397821989</v>
      </c>
      <c r="AA13" s="95">
        <f>Assumptions!$C$14</f>
        <v>1.0032737397821989</v>
      </c>
      <c r="AB13" s="94">
        <f>Assumptions!$C$14</f>
        <v>1.0032737397821989</v>
      </c>
      <c r="AC13" s="94">
        <f>Assumptions!$C$14</f>
        <v>1.0032737397821989</v>
      </c>
      <c r="AD13" s="94">
        <f>Assumptions!$C$14</f>
        <v>1.0032737397821989</v>
      </c>
      <c r="AE13" s="94">
        <f>Assumptions!$C$14</f>
        <v>1.0032737397821989</v>
      </c>
      <c r="AF13" s="94">
        <f>Assumptions!$C$14</f>
        <v>1.0032737397821989</v>
      </c>
      <c r="AG13" s="94">
        <f>Assumptions!$C$14</f>
        <v>1.0032737397821989</v>
      </c>
      <c r="AH13" s="94">
        <f>Assumptions!$C$14</f>
        <v>1.0032737397821989</v>
      </c>
      <c r="AI13" s="94">
        <f>Assumptions!$C$14</f>
        <v>1.0032737397821989</v>
      </c>
      <c r="AJ13" s="94">
        <f>Assumptions!$C$14</f>
        <v>1.0032737397821989</v>
      </c>
      <c r="AK13" s="94">
        <f>Assumptions!$C$14</f>
        <v>1.0032737397821989</v>
      </c>
      <c r="AL13" s="94">
        <f>Assumptions!$C$14</f>
        <v>1.0032737397821989</v>
      </c>
      <c r="AM13" s="95">
        <f>Assumptions!$C$14</f>
        <v>1.0032737397821989</v>
      </c>
      <c r="AN13" s="94">
        <f>Assumptions!$C$14</f>
        <v>1.0032737397821989</v>
      </c>
      <c r="AO13" s="94">
        <f>Assumptions!$C$14</f>
        <v>1.0032737397821989</v>
      </c>
      <c r="AP13" s="94">
        <f>Assumptions!$C$14</f>
        <v>1.0032737397821989</v>
      </c>
      <c r="AQ13" s="94">
        <f>Assumptions!$C$14</f>
        <v>1.0032737397821989</v>
      </c>
      <c r="AR13" s="94">
        <f>Assumptions!$C$14</f>
        <v>1.0032737397821989</v>
      </c>
      <c r="AS13" s="94">
        <f>Assumptions!$C$14</f>
        <v>1.0032737397821989</v>
      </c>
      <c r="AT13" s="94">
        <f>Assumptions!$C$14</f>
        <v>1.0032737397821989</v>
      </c>
      <c r="AU13" s="94">
        <f>Assumptions!$C$14</f>
        <v>1.0032737397821989</v>
      </c>
      <c r="AV13" s="94">
        <f>Assumptions!$C$14</f>
        <v>1.0032737397821989</v>
      </c>
      <c r="AW13" s="94">
        <f>Assumptions!$C$14</f>
        <v>1.0032737397821989</v>
      </c>
      <c r="AX13" s="94">
        <f>Assumptions!$C$14</f>
        <v>1.0032737397821989</v>
      </c>
      <c r="AY13" s="95">
        <f>Assumptions!$C$14</f>
        <v>1.0032737397821989</v>
      </c>
      <c r="AZ13" s="94">
        <f>Assumptions!$C$14</f>
        <v>1.0032737397821989</v>
      </c>
      <c r="BA13" s="94">
        <f>Assumptions!$C$14</f>
        <v>1.0032737397821989</v>
      </c>
      <c r="BB13" s="94">
        <f>Assumptions!$C$14</f>
        <v>1.0032737397821989</v>
      </c>
      <c r="BC13" s="94">
        <f>Assumptions!$C$14</f>
        <v>1.0032737397821989</v>
      </c>
      <c r="BD13" s="94">
        <f>Assumptions!$C$14</f>
        <v>1.0032737397821989</v>
      </c>
      <c r="BE13" s="94">
        <f>Assumptions!$C$14</f>
        <v>1.0032737397821989</v>
      </c>
      <c r="BF13" s="94">
        <f>Assumptions!$C$14</f>
        <v>1.0032737397821989</v>
      </c>
      <c r="BG13" s="94">
        <f>Assumptions!$C$14</f>
        <v>1.0032737397821989</v>
      </c>
      <c r="BH13" s="94">
        <f>Assumptions!$C$14</f>
        <v>1.0032737397821989</v>
      </c>
      <c r="BI13" s="94">
        <f>Assumptions!$C$14</f>
        <v>1.0032737397821989</v>
      </c>
      <c r="BJ13" s="94">
        <f>Assumptions!$C$14</f>
        <v>1.0032737397821989</v>
      </c>
      <c r="BK13" s="95">
        <f>Assumptions!$C$14</f>
        <v>1.0032737397821989</v>
      </c>
      <c r="BL13" s="2"/>
      <c r="BM13" s="25"/>
      <c r="BN13" s="2"/>
      <c r="BO13" s="25"/>
      <c r="BP13" s="2"/>
      <c r="BQ13" s="25"/>
      <c r="BR13" s="2"/>
      <c r="BS13" s="25"/>
      <c r="BT13" s="2"/>
      <c r="BU13" s="25"/>
      <c r="BV13" s="2"/>
      <c r="BW13" s="26"/>
      <c r="BX13" s="2"/>
      <c r="BY13" s="20"/>
      <c r="BZ13" s="20"/>
      <c r="CA13" s="20"/>
      <c r="CB13" s="20"/>
      <c r="CC13" s="20"/>
      <c r="CD13" s="20"/>
      <c r="CE13" s="2"/>
      <c r="CF13" s="2"/>
      <c r="CG13" s="2"/>
      <c r="CH13" s="2"/>
      <c r="CI13" s="2"/>
    </row>
    <row r="14" spans="1:87" ht="16" customHeight="1" x14ac:dyDescent="0.2">
      <c r="A14" s="353"/>
      <c r="B14" s="315"/>
      <c r="C14" s="315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7"/>
      <c r="BN14" s="2"/>
      <c r="BO14" s="28"/>
      <c r="BP14" s="2"/>
      <c r="BQ14" s="28"/>
      <c r="BR14" s="2"/>
      <c r="BS14" s="28"/>
      <c r="BT14" s="2"/>
      <c r="BU14" s="28"/>
      <c r="BV14" s="2"/>
      <c r="BW14" s="2"/>
      <c r="BX14" s="2"/>
      <c r="BY14" s="20"/>
      <c r="BZ14" s="20"/>
      <c r="CA14" s="20"/>
      <c r="CB14" s="20"/>
      <c r="CC14" s="20"/>
      <c r="CD14" s="20"/>
      <c r="CE14" s="2"/>
      <c r="CF14" s="2"/>
      <c r="CG14" s="2"/>
      <c r="CH14" s="2"/>
      <c r="CI14" s="2"/>
    </row>
    <row r="15" spans="1:87" ht="17" customHeight="1" x14ac:dyDescent="0.2">
      <c r="A15" s="29" t="s">
        <v>588</v>
      </c>
      <c r="B15" s="30" t="s">
        <v>589</v>
      </c>
      <c r="C15" s="31" t="s">
        <v>134</v>
      </c>
      <c r="D15" s="32">
        <v>0.5</v>
      </c>
      <c r="E15" s="32">
        <v>1</v>
      </c>
      <c r="F15" s="32">
        <v>1</v>
      </c>
      <c r="G15" s="32">
        <v>1</v>
      </c>
      <c r="H15" s="32">
        <v>1</v>
      </c>
      <c r="I15" s="32">
        <v>1</v>
      </c>
      <c r="J15" s="32">
        <v>1</v>
      </c>
      <c r="K15" s="32">
        <v>1</v>
      </c>
      <c r="L15" s="32">
        <v>1</v>
      </c>
      <c r="M15" s="32">
        <v>1</v>
      </c>
      <c r="N15" s="32">
        <v>1.2</v>
      </c>
      <c r="O15" s="32">
        <v>1.2</v>
      </c>
      <c r="P15" s="32">
        <v>0.5</v>
      </c>
      <c r="Q15" s="32">
        <v>1</v>
      </c>
      <c r="R15" s="32">
        <v>1</v>
      </c>
      <c r="S15" s="32">
        <v>1</v>
      </c>
      <c r="T15" s="32">
        <v>1</v>
      </c>
      <c r="U15" s="32">
        <v>1</v>
      </c>
      <c r="V15" s="32">
        <v>1</v>
      </c>
      <c r="W15" s="32">
        <v>1</v>
      </c>
      <c r="X15" s="32">
        <v>1</v>
      </c>
      <c r="Y15" s="32">
        <v>1</v>
      </c>
      <c r="Z15" s="32">
        <v>1.2</v>
      </c>
      <c r="AA15" s="32">
        <v>1.2</v>
      </c>
      <c r="AB15" s="32">
        <v>0.5</v>
      </c>
      <c r="AC15" s="32">
        <v>1</v>
      </c>
      <c r="AD15" s="32">
        <v>1</v>
      </c>
      <c r="AE15" s="32">
        <v>1</v>
      </c>
      <c r="AF15" s="32">
        <v>1</v>
      </c>
      <c r="AG15" s="32">
        <v>1</v>
      </c>
      <c r="AH15" s="32">
        <v>1</v>
      </c>
      <c r="AI15" s="32">
        <v>1</v>
      </c>
      <c r="AJ15" s="32">
        <v>1</v>
      </c>
      <c r="AK15" s="32">
        <v>1</v>
      </c>
      <c r="AL15" s="32">
        <v>1.2</v>
      </c>
      <c r="AM15" s="32">
        <v>1.2</v>
      </c>
      <c r="AN15" s="32">
        <v>0.5</v>
      </c>
      <c r="AO15" s="32">
        <v>1</v>
      </c>
      <c r="AP15" s="32">
        <v>1</v>
      </c>
      <c r="AQ15" s="32">
        <v>1</v>
      </c>
      <c r="AR15" s="32">
        <v>1</v>
      </c>
      <c r="AS15" s="32">
        <v>1</v>
      </c>
      <c r="AT15" s="32">
        <v>1</v>
      </c>
      <c r="AU15" s="32">
        <v>1</v>
      </c>
      <c r="AV15" s="32">
        <v>1</v>
      </c>
      <c r="AW15" s="32">
        <v>1</v>
      </c>
      <c r="AX15" s="32">
        <v>1.2</v>
      </c>
      <c r="AY15" s="32">
        <v>1.2</v>
      </c>
      <c r="AZ15" s="32">
        <v>0.5</v>
      </c>
      <c r="BA15" s="32">
        <v>1</v>
      </c>
      <c r="BB15" s="32">
        <v>1</v>
      </c>
      <c r="BC15" s="32">
        <v>1</v>
      </c>
      <c r="BD15" s="32">
        <v>1</v>
      </c>
      <c r="BE15" s="32">
        <v>1</v>
      </c>
      <c r="BF15" s="32">
        <v>1</v>
      </c>
      <c r="BG15" s="32">
        <v>1</v>
      </c>
      <c r="BH15" s="32">
        <v>1</v>
      </c>
      <c r="BI15" s="32">
        <v>1</v>
      </c>
      <c r="BJ15" s="32">
        <v>1.2</v>
      </c>
      <c r="BK15" s="32">
        <v>1.2</v>
      </c>
      <c r="BL15" s="2"/>
      <c r="BM15" s="27"/>
      <c r="BN15" s="2"/>
      <c r="BO15" s="28"/>
      <c r="BP15" s="2"/>
      <c r="BQ15" s="28"/>
      <c r="BR15" s="2"/>
      <c r="BS15" s="28"/>
      <c r="BT15" s="2"/>
      <c r="BU15" s="28"/>
      <c r="BV15" s="2"/>
      <c r="BW15" s="2"/>
      <c r="BX15" s="2"/>
      <c r="BY15" s="20"/>
      <c r="BZ15" s="20"/>
      <c r="CA15" s="20"/>
      <c r="CB15" s="20"/>
      <c r="CC15" s="20"/>
      <c r="CD15" s="20"/>
      <c r="CE15" s="2"/>
      <c r="CF15" s="2"/>
      <c r="CG15" s="2"/>
      <c r="CH15" s="2"/>
      <c r="CI15" s="2"/>
    </row>
    <row r="16" spans="1:87" ht="16" customHeight="1" x14ac:dyDescent="0.2">
      <c r="A16" s="349"/>
      <c r="B16" s="357"/>
      <c r="C16" s="315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</row>
    <row r="17" spans="1:87" ht="16" customHeight="1" x14ac:dyDescent="0.2">
      <c r="A17" s="315"/>
      <c r="B17" s="354" t="s">
        <v>590</v>
      </c>
      <c r="C17" s="315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2"/>
      <c r="BM17" s="10"/>
      <c r="BN17" s="2"/>
      <c r="BO17" s="10"/>
      <c r="BP17" s="2"/>
      <c r="BQ17" s="10"/>
      <c r="BR17" s="2"/>
      <c r="BS17" s="10"/>
      <c r="BT17" s="2"/>
      <c r="BU17" s="10"/>
      <c r="BV17" s="2"/>
      <c r="BW17" s="10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</row>
    <row r="18" spans="1:87" ht="16" customHeight="1" x14ac:dyDescent="0.2">
      <c r="A18" s="315"/>
      <c r="B18" s="351"/>
      <c r="C18" s="352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</row>
    <row r="19" spans="1:87" ht="16" customHeight="1" x14ac:dyDescent="0.2">
      <c r="A19" s="160"/>
      <c r="B19" s="17" t="s">
        <v>573</v>
      </c>
      <c r="C19" s="164" t="s">
        <v>591</v>
      </c>
      <c r="D19" s="161">
        <f>Assumptions!$C$2*D15</f>
        <v>3000</v>
      </c>
      <c r="E19" s="99">
        <f>Assumptions!$C$2*E15</f>
        <v>6000</v>
      </c>
      <c r="F19" s="99">
        <f>Assumptions!$C$2*F15</f>
        <v>6000</v>
      </c>
      <c r="G19" s="99">
        <f>Assumptions!$C$2*G15</f>
        <v>6000</v>
      </c>
      <c r="H19" s="99">
        <f>Assumptions!$C$2*H15</f>
        <v>6000</v>
      </c>
      <c r="I19" s="99">
        <f>Assumptions!$C$2*I15</f>
        <v>6000</v>
      </c>
      <c r="J19" s="99">
        <f>Assumptions!$C$2*J15</f>
        <v>6000</v>
      </c>
      <c r="K19" s="99">
        <f>Assumptions!$C$2*K15</f>
        <v>6000</v>
      </c>
      <c r="L19" s="99">
        <f>Assumptions!$C$2*L15</f>
        <v>6000</v>
      </c>
      <c r="M19" s="99">
        <f>Assumptions!$C$2*M15</f>
        <v>6000</v>
      </c>
      <c r="N19" s="99">
        <f>Assumptions!$C$2*N15</f>
        <v>7200</v>
      </c>
      <c r="O19" s="99">
        <f>Assumptions!$C$2*O15</f>
        <v>7200</v>
      </c>
      <c r="P19" s="99">
        <f>Assumptions!$C$2*P15</f>
        <v>3000</v>
      </c>
      <c r="Q19" s="99">
        <f>Assumptions!$C$2*Q15</f>
        <v>6000</v>
      </c>
      <c r="R19" s="99">
        <f>Assumptions!$C$2*R15</f>
        <v>6000</v>
      </c>
      <c r="S19" s="99">
        <f>Assumptions!$C$2*S15</f>
        <v>6000</v>
      </c>
      <c r="T19" s="99">
        <f>Assumptions!$C$2*T15</f>
        <v>6000</v>
      </c>
      <c r="U19" s="99">
        <f>Assumptions!$C$2*U15</f>
        <v>6000</v>
      </c>
      <c r="V19" s="99">
        <f>Assumptions!$C$2*V15</f>
        <v>6000</v>
      </c>
      <c r="W19" s="99">
        <f>Assumptions!$C$2*W15</f>
        <v>6000</v>
      </c>
      <c r="X19" s="99">
        <f>Assumptions!$C$2*X15</f>
        <v>6000</v>
      </c>
      <c r="Y19" s="99">
        <f>Assumptions!$C$2*Y15</f>
        <v>6000</v>
      </c>
      <c r="Z19" s="99">
        <f>Assumptions!$C$2*Z15</f>
        <v>7200</v>
      </c>
      <c r="AA19" s="99">
        <f>Assumptions!$C$2*AA15</f>
        <v>7200</v>
      </c>
      <c r="AB19" s="99">
        <f>Assumptions!$C$2*AB15</f>
        <v>3000</v>
      </c>
      <c r="AC19" s="99">
        <f>Assumptions!$C$2*AC15</f>
        <v>6000</v>
      </c>
      <c r="AD19" s="99">
        <f>Assumptions!$C$2*AD15</f>
        <v>6000</v>
      </c>
      <c r="AE19" s="99">
        <f>Assumptions!$C$2*AE15</f>
        <v>6000</v>
      </c>
      <c r="AF19" s="99">
        <f>Assumptions!$C$2*AF15</f>
        <v>6000</v>
      </c>
      <c r="AG19" s="99">
        <f>Assumptions!$C$2*AG15</f>
        <v>6000</v>
      </c>
      <c r="AH19" s="99">
        <f>Assumptions!$C$2*AH15</f>
        <v>6000</v>
      </c>
      <c r="AI19" s="99">
        <f>Assumptions!$C$2*AI15</f>
        <v>6000</v>
      </c>
      <c r="AJ19" s="99">
        <f>Assumptions!$C$2*AJ15</f>
        <v>6000</v>
      </c>
      <c r="AK19" s="99">
        <f>Assumptions!$C$2*AK15</f>
        <v>6000</v>
      </c>
      <c r="AL19" s="99">
        <f>Assumptions!$C$2*AL15</f>
        <v>7200</v>
      </c>
      <c r="AM19" s="99">
        <f>Assumptions!$C$2*AM15</f>
        <v>7200</v>
      </c>
      <c r="AN19" s="99">
        <f>Assumptions!$C$2*AN15</f>
        <v>3000</v>
      </c>
      <c r="AO19" s="99">
        <f>Assumptions!$C$2*AO15</f>
        <v>6000</v>
      </c>
      <c r="AP19" s="99">
        <f>Assumptions!$C$2*AP15</f>
        <v>6000</v>
      </c>
      <c r="AQ19" s="99">
        <f>Assumptions!$C$2*AQ15</f>
        <v>6000</v>
      </c>
      <c r="AR19" s="99">
        <f>Assumptions!$C$2*AR15</f>
        <v>6000</v>
      </c>
      <c r="AS19" s="99">
        <f>Assumptions!$C$2*AS15</f>
        <v>6000</v>
      </c>
      <c r="AT19" s="99">
        <f>Assumptions!$C$2*AT15</f>
        <v>6000</v>
      </c>
      <c r="AU19" s="99">
        <f>Assumptions!$C$2*AU15</f>
        <v>6000</v>
      </c>
      <c r="AV19" s="99">
        <f>Assumptions!$C$2*AV15</f>
        <v>6000</v>
      </c>
      <c r="AW19" s="99">
        <f>Assumptions!$C$2*AW15</f>
        <v>6000</v>
      </c>
      <c r="AX19" s="99">
        <f>Assumptions!$C$2*AX15</f>
        <v>7200</v>
      </c>
      <c r="AY19" s="99">
        <f>Assumptions!$C$2*AY15</f>
        <v>7200</v>
      </c>
      <c r="AZ19" s="99">
        <f>Assumptions!$C$2*AZ15</f>
        <v>3000</v>
      </c>
      <c r="BA19" s="99">
        <f>Assumptions!$C$2*BA15</f>
        <v>6000</v>
      </c>
      <c r="BB19" s="99">
        <f>Assumptions!$C$2*BB15</f>
        <v>6000</v>
      </c>
      <c r="BC19" s="99">
        <f>Assumptions!$C$2*BC15</f>
        <v>6000</v>
      </c>
      <c r="BD19" s="99">
        <f>Assumptions!$C$2*BD15</f>
        <v>6000</v>
      </c>
      <c r="BE19" s="99">
        <f>Assumptions!$C$2*BE15</f>
        <v>6000</v>
      </c>
      <c r="BF19" s="99">
        <f>Assumptions!$C$2*BF15</f>
        <v>6000</v>
      </c>
      <c r="BG19" s="99">
        <f>Assumptions!$C$2*BG15</f>
        <v>6000</v>
      </c>
      <c r="BH19" s="99">
        <f>Assumptions!$C$2*BH15</f>
        <v>6000</v>
      </c>
      <c r="BI19" s="99">
        <f>Assumptions!$C$2*BI15</f>
        <v>6000</v>
      </c>
      <c r="BJ19" s="99">
        <f>Assumptions!$C$2*BJ15</f>
        <v>7200</v>
      </c>
      <c r="BK19" s="99">
        <f>Assumptions!$C$2*BK15</f>
        <v>7200</v>
      </c>
      <c r="BL19" s="2"/>
      <c r="BM19" s="35">
        <f>AVERAGEIFS($D19:$BK19,$D$2:$BK$2,BM$2)</f>
        <v>5950</v>
      </c>
      <c r="BN19" s="36"/>
      <c r="BO19" s="35">
        <f>AVERAGEIFS($D19:$BK19,$D$2:$BK$2,BO$2)</f>
        <v>5950</v>
      </c>
      <c r="BP19" s="36"/>
      <c r="BQ19" s="35">
        <f>AVERAGEIFS($D19:$BK19,$D$2:$BK$2,BQ$2)</f>
        <v>5950</v>
      </c>
      <c r="BR19" s="36"/>
      <c r="BS19" s="35">
        <f>AVERAGEIFS($D19:$BK19,$D$2:$BK$2,BS$2)</f>
        <v>5950</v>
      </c>
      <c r="BT19" s="36"/>
      <c r="BU19" s="35">
        <f>AVERAGEIFS($D19:$BK19,$D$2:$BK$2,BU$2)</f>
        <v>5950</v>
      </c>
      <c r="BV19" s="36"/>
      <c r="BW19" s="35">
        <f>AVERAGE(BM19:BU19)</f>
        <v>5950</v>
      </c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</row>
    <row r="20" spans="1:87" ht="16" customHeight="1" x14ac:dyDescent="0.2">
      <c r="A20" s="148"/>
      <c r="B20" s="38" t="s">
        <v>592</v>
      </c>
      <c r="C20" s="92" t="s">
        <v>591</v>
      </c>
      <c r="D20" s="162">
        <f t="shared" ref="D20:AI20" si="11">D19/D3</f>
        <v>96.774193548387103</v>
      </c>
      <c r="E20" s="100">
        <f t="shared" si="11"/>
        <v>214.28571428571428</v>
      </c>
      <c r="F20" s="100">
        <f t="shared" si="11"/>
        <v>193.54838709677421</v>
      </c>
      <c r="G20" s="100">
        <f t="shared" si="11"/>
        <v>200</v>
      </c>
      <c r="H20" s="100">
        <f t="shared" si="11"/>
        <v>193.54838709677421</v>
      </c>
      <c r="I20" s="100">
        <f t="shared" si="11"/>
        <v>200</v>
      </c>
      <c r="J20" s="100">
        <f t="shared" si="11"/>
        <v>193.54838709677421</v>
      </c>
      <c r="K20" s="100">
        <f t="shared" si="11"/>
        <v>193.54838709677421</v>
      </c>
      <c r="L20" s="100">
        <f t="shared" si="11"/>
        <v>200</v>
      </c>
      <c r="M20" s="100">
        <f t="shared" si="11"/>
        <v>193.54838709677421</v>
      </c>
      <c r="N20" s="100">
        <f t="shared" si="11"/>
        <v>240</v>
      </c>
      <c r="O20" s="100">
        <f t="shared" si="11"/>
        <v>232.25806451612902</v>
      </c>
      <c r="P20" s="100">
        <f t="shared" si="11"/>
        <v>96.774193548387103</v>
      </c>
      <c r="Q20" s="100">
        <f t="shared" si="11"/>
        <v>214.28571428571428</v>
      </c>
      <c r="R20" s="100">
        <f t="shared" si="11"/>
        <v>193.54838709677421</v>
      </c>
      <c r="S20" s="100">
        <f t="shared" si="11"/>
        <v>200</v>
      </c>
      <c r="T20" s="100">
        <f t="shared" si="11"/>
        <v>193.54838709677421</v>
      </c>
      <c r="U20" s="100">
        <f t="shared" si="11"/>
        <v>200</v>
      </c>
      <c r="V20" s="100">
        <f t="shared" si="11"/>
        <v>193.54838709677421</v>
      </c>
      <c r="W20" s="100">
        <f t="shared" si="11"/>
        <v>193.54838709677421</v>
      </c>
      <c r="X20" s="100">
        <f t="shared" si="11"/>
        <v>200</v>
      </c>
      <c r="Y20" s="100">
        <f t="shared" si="11"/>
        <v>193.54838709677421</v>
      </c>
      <c r="Z20" s="100">
        <f t="shared" si="11"/>
        <v>240</v>
      </c>
      <c r="AA20" s="100">
        <f t="shared" si="11"/>
        <v>232.25806451612902</v>
      </c>
      <c r="AB20" s="100">
        <f t="shared" si="11"/>
        <v>96.774193548387103</v>
      </c>
      <c r="AC20" s="100">
        <f t="shared" si="11"/>
        <v>214.28571428571428</v>
      </c>
      <c r="AD20" s="100">
        <f t="shared" si="11"/>
        <v>193.54838709677421</v>
      </c>
      <c r="AE20" s="100">
        <f t="shared" si="11"/>
        <v>200</v>
      </c>
      <c r="AF20" s="100">
        <f t="shared" si="11"/>
        <v>193.54838709677421</v>
      </c>
      <c r="AG20" s="100">
        <f t="shared" si="11"/>
        <v>200</v>
      </c>
      <c r="AH20" s="100">
        <f t="shared" si="11"/>
        <v>193.54838709677421</v>
      </c>
      <c r="AI20" s="100">
        <f t="shared" si="11"/>
        <v>193.54838709677421</v>
      </c>
      <c r="AJ20" s="100">
        <f t="shared" ref="AJ20:BK20" si="12">AJ19/AJ3</f>
        <v>200</v>
      </c>
      <c r="AK20" s="100">
        <f t="shared" si="12"/>
        <v>193.54838709677421</v>
      </c>
      <c r="AL20" s="100">
        <f t="shared" si="12"/>
        <v>240</v>
      </c>
      <c r="AM20" s="100">
        <f t="shared" si="12"/>
        <v>232.25806451612902</v>
      </c>
      <c r="AN20" s="100">
        <f t="shared" si="12"/>
        <v>96.774193548387103</v>
      </c>
      <c r="AO20" s="100">
        <f t="shared" si="12"/>
        <v>214.28571428571428</v>
      </c>
      <c r="AP20" s="100">
        <f t="shared" si="12"/>
        <v>193.54838709677421</v>
      </c>
      <c r="AQ20" s="100">
        <f t="shared" si="12"/>
        <v>200</v>
      </c>
      <c r="AR20" s="100">
        <f t="shared" si="12"/>
        <v>193.54838709677421</v>
      </c>
      <c r="AS20" s="100">
        <f t="shared" si="12"/>
        <v>200</v>
      </c>
      <c r="AT20" s="100">
        <f t="shared" si="12"/>
        <v>193.54838709677421</v>
      </c>
      <c r="AU20" s="100">
        <f t="shared" si="12"/>
        <v>193.54838709677421</v>
      </c>
      <c r="AV20" s="100">
        <f t="shared" si="12"/>
        <v>200</v>
      </c>
      <c r="AW20" s="100">
        <f t="shared" si="12"/>
        <v>193.54838709677421</v>
      </c>
      <c r="AX20" s="100">
        <f t="shared" si="12"/>
        <v>240</v>
      </c>
      <c r="AY20" s="100">
        <f t="shared" si="12"/>
        <v>232.25806451612902</v>
      </c>
      <c r="AZ20" s="100">
        <f t="shared" si="12"/>
        <v>96.774193548387103</v>
      </c>
      <c r="BA20" s="100">
        <f t="shared" si="12"/>
        <v>206.89655172413794</v>
      </c>
      <c r="BB20" s="100">
        <f t="shared" si="12"/>
        <v>193.54838709677421</v>
      </c>
      <c r="BC20" s="100">
        <f t="shared" si="12"/>
        <v>200</v>
      </c>
      <c r="BD20" s="100">
        <f t="shared" si="12"/>
        <v>193.54838709677421</v>
      </c>
      <c r="BE20" s="100">
        <f t="shared" si="12"/>
        <v>200</v>
      </c>
      <c r="BF20" s="100">
        <f t="shared" si="12"/>
        <v>193.54838709677421</v>
      </c>
      <c r="BG20" s="100">
        <f t="shared" si="12"/>
        <v>193.54838709677421</v>
      </c>
      <c r="BH20" s="100">
        <f t="shared" si="12"/>
        <v>200</v>
      </c>
      <c r="BI20" s="100">
        <f t="shared" si="12"/>
        <v>193.54838709677421</v>
      </c>
      <c r="BJ20" s="100">
        <f t="shared" si="12"/>
        <v>240</v>
      </c>
      <c r="BK20" s="100">
        <f t="shared" si="12"/>
        <v>232.25806451612902</v>
      </c>
      <c r="BL20" s="2"/>
      <c r="BM20" s="18">
        <f>AVERAGEIFS($D20:$BK20,$D$2:$BK$2,BM$2)</f>
        <v>195.92165898617509</v>
      </c>
      <c r="BN20" s="2"/>
      <c r="BO20" s="18">
        <f>AVERAGEIFS($D20:$BK20,$D$2:$BK$2,BO$2)</f>
        <v>195.92165898617509</v>
      </c>
      <c r="BP20" s="2"/>
      <c r="BQ20" s="18">
        <f>AVERAGEIFS($D20:$BK20,$D$2:$BK$2,BQ$2)</f>
        <v>195.92165898617509</v>
      </c>
      <c r="BR20" s="2"/>
      <c r="BS20" s="18">
        <f>AVERAGEIFS($D20:$BK20,$D$2:$BK$2,BS$2)</f>
        <v>195.92165898617509</v>
      </c>
      <c r="BT20" s="2"/>
      <c r="BU20" s="18">
        <f>AVERAGEIFS($D20:$BK20,$D$2:$BK$2,BU$2)</f>
        <v>195.30589543937708</v>
      </c>
      <c r="BV20" s="2"/>
      <c r="BW20" s="18">
        <f>AVERAGE(BM20:BU20)</f>
        <v>195.79850627681549</v>
      </c>
      <c r="BX20" s="2"/>
      <c r="BY20" s="102"/>
      <c r="BZ20" s="2"/>
      <c r="CA20" s="2"/>
      <c r="CB20" s="2"/>
      <c r="CC20" s="2"/>
      <c r="CD20" s="2"/>
      <c r="CE20" s="2"/>
      <c r="CF20" s="2"/>
      <c r="CG20" s="2"/>
      <c r="CH20" s="2"/>
      <c r="CI20" s="2"/>
    </row>
    <row r="21" spans="1:87" ht="16" customHeight="1" x14ac:dyDescent="0.2">
      <c r="A21" s="148"/>
      <c r="B21" s="17" t="s">
        <v>593</v>
      </c>
      <c r="C21" s="92" t="s">
        <v>134</v>
      </c>
      <c r="D21" s="189">
        <f>Assumptions!C24</f>
        <v>0.1818181818181818</v>
      </c>
      <c r="E21" s="189">
        <f t="shared" ref="E21:AJ21" si="13">D21</f>
        <v>0.1818181818181818</v>
      </c>
      <c r="F21" s="189">
        <f t="shared" si="13"/>
        <v>0.1818181818181818</v>
      </c>
      <c r="G21" s="189">
        <f t="shared" si="13"/>
        <v>0.1818181818181818</v>
      </c>
      <c r="H21" s="189">
        <f t="shared" si="13"/>
        <v>0.1818181818181818</v>
      </c>
      <c r="I21" s="189">
        <f t="shared" si="13"/>
        <v>0.1818181818181818</v>
      </c>
      <c r="J21" s="189">
        <f t="shared" si="13"/>
        <v>0.1818181818181818</v>
      </c>
      <c r="K21" s="189">
        <f t="shared" si="13"/>
        <v>0.1818181818181818</v>
      </c>
      <c r="L21" s="189">
        <f t="shared" si="13"/>
        <v>0.1818181818181818</v>
      </c>
      <c r="M21" s="189">
        <f t="shared" si="13"/>
        <v>0.1818181818181818</v>
      </c>
      <c r="N21" s="189">
        <f t="shared" si="13"/>
        <v>0.1818181818181818</v>
      </c>
      <c r="O21" s="189">
        <f t="shared" si="13"/>
        <v>0.1818181818181818</v>
      </c>
      <c r="P21" s="189">
        <f t="shared" si="13"/>
        <v>0.1818181818181818</v>
      </c>
      <c r="Q21" s="189">
        <f t="shared" si="13"/>
        <v>0.1818181818181818</v>
      </c>
      <c r="R21" s="189">
        <f t="shared" si="13"/>
        <v>0.1818181818181818</v>
      </c>
      <c r="S21" s="189">
        <f t="shared" si="13"/>
        <v>0.1818181818181818</v>
      </c>
      <c r="T21" s="189">
        <f t="shared" si="13"/>
        <v>0.1818181818181818</v>
      </c>
      <c r="U21" s="189">
        <f t="shared" si="13"/>
        <v>0.1818181818181818</v>
      </c>
      <c r="V21" s="189">
        <f t="shared" si="13"/>
        <v>0.1818181818181818</v>
      </c>
      <c r="W21" s="189">
        <f t="shared" si="13"/>
        <v>0.1818181818181818</v>
      </c>
      <c r="X21" s="189">
        <f t="shared" si="13"/>
        <v>0.1818181818181818</v>
      </c>
      <c r="Y21" s="189">
        <f t="shared" si="13"/>
        <v>0.1818181818181818</v>
      </c>
      <c r="Z21" s="189">
        <f t="shared" si="13"/>
        <v>0.1818181818181818</v>
      </c>
      <c r="AA21" s="189">
        <f t="shared" si="13"/>
        <v>0.1818181818181818</v>
      </c>
      <c r="AB21" s="189">
        <f t="shared" si="13"/>
        <v>0.1818181818181818</v>
      </c>
      <c r="AC21" s="189">
        <f t="shared" si="13"/>
        <v>0.1818181818181818</v>
      </c>
      <c r="AD21" s="189">
        <f t="shared" si="13"/>
        <v>0.1818181818181818</v>
      </c>
      <c r="AE21" s="189">
        <f t="shared" si="13"/>
        <v>0.1818181818181818</v>
      </c>
      <c r="AF21" s="189">
        <f t="shared" si="13"/>
        <v>0.1818181818181818</v>
      </c>
      <c r="AG21" s="189">
        <f t="shared" si="13"/>
        <v>0.1818181818181818</v>
      </c>
      <c r="AH21" s="189">
        <f t="shared" si="13"/>
        <v>0.1818181818181818</v>
      </c>
      <c r="AI21" s="189">
        <f t="shared" si="13"/>
        <v>0.1818181818181818</v>
      </c>
      <c r="AJ21" s="189">
        <f t="shared" si="13"/>
        <v>0.1818181818181818</v>
      </c>
      <c r="AK21" s="189">
        <f t="shared" ref="AK21:BK21" si="14">AJ21</f>
        <v>0.1818181818181818</v>
      </c>
      <c r="AL21" s="189">
        <f t="shared" si="14"/>
        <v>0.1818181818181818</v>
      </c>
      <c r="AM21" s="189">
        <f t="shared" si="14"/>
        <v>0.1818181818181818</v>
      </c>
      <c r="AN21" s="189">
        <f t="shared" si="14"/>
        <v>0.1818181818181818</v>
      </c>
      <c r="AO21" s="189">
        <f t="shared" si="14"/>
        <v>0.1818181818181818</v>
      </c>
      <c r="AP21" s="189">
        <f t="shared" si="14"/>
        <v>0.1818181818181818</v>
      </c>
      <c r="AQ21" s="189">
        <f t="shared" si="14"/>
        <v>0.1818181818181818</v>
      </c>
      <c r="AR21" s="189">
        <f t="shared" si="14"/>
        <v>0.1818181818181818</v>
      </c>
      <c r="AS21" s="189">
        <f t="shared" si="14"/>
        <v>0.1818181818181818</v>
      </c>
      <c r="AT21" s="189">
        <f t="shared" si="14"/>
        <v>0.1818181818181818</v>
      </c>
      <c r="AU21" s="189">
        <f t="shared" si="14"/>
        <v>0.1818181818181818</v>
      </c>
      <c r="AV21" s="189">
        <f t="shared" si="14"/>
        <v>0.1818181818181818</v>
      </c>
      <c r="AW21" s="189">
        <f t="shared" si="14"/>
        <v>0.1818181818181818</v>
      </c>
      <c r="AX21" s="189">
        <f t="shared" si="14"/>
        <v>0.1818181818181818</v>
      </c>
      <c r="AY21" s="189">
        <f t="shared" si="14"/>
        <v>0.1818181818181818</v>
      </c>
      <c r="AZ21" s="189">
        <f t="shared" si="14"/>
        <v>0.1818181818181818</v>
      </c>
      <c r="BA21" s="189">
        <f t="shared" si="14"/>
        <v>0.1818181818181818</v>
      </c>
      <c r="BB21" s="189">
        <f t="shared" si="14"/>
        <v>0.1818181818181818</v>
      </c>
      <c r="BC21" s="189">
        <f t="shared" si="14"/>
        <v>0.1818181818181818</v>
      </c>
      <c r="BD21" s="189">
        <f t="shared" si="14"/>
        <v>0.1818181818181818</v>
      </c>
      <c r="BE21" s="189">
        <f t="shared" si="14"/>
        <v>0.1818181818181818</v>
      </c>
      <c r="BF21" s="189">
        <f t="shared" si="14"/>
        <v>0.1818181818181818</v>
      </c>
      <c r="BG21" s="189">
        <f t="shared" si="14"/>
        <v>0.1818181818181818</v>
      </c>
      <c r="BH21" s="189">
        <f t="shared" si="14"/>
        <v>0.1818181818181818</v>
      </c>
      <c r="BI21" s="189">
        <f t="shared" si="14"/>
        <v>0.1818181818181818</v>
      </c>
      <c r="BJ21" s="189">
        <f t="shared" si="14"/>
        <v>0.1818181818181818</v>
      </c>
      <c r="BK21" s="189">
        <f t="shared" si="14"/>
        <v>0.1818181818181818</v>
      </c>
      <c r="BL21" s="2"/>
      <c r="BM21" s="19"/>
      <c r="BN21" s="2"/>
      <c r="BO21" s="19"/>
      <c r="BP21" s="2"/>
      <c r="BQ21" s="19"/>
      <c r="BR21" s="2"/>
      <c r="BS21" s="19"/>
      <c r="BT21" s="2"/>
      <c r="BU21" s="19"/>
      <c r="BV21" s="2"/>
      <c r="BW21" s="19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</row>
    <row r="22" spans="1:87" ht="16" customHeight="1" x14ac:dyDescent="0.2">
      <c r="A22" s="148"/>
      <c r="B22" s="38" t="s">
        <v>594</v>
      </c>
      <c r="C22" s="92" t="s">
        <v>584</v>
      </c>
      <c r="D22" s="163">
        <f t="shared" ref="D22:AI22" si="15">D12</f>
        <v>0.75</v>
      </c>
      <c r="E22" s="131">
        <f t="shared" si="15"/>
        <v>0.75245530483664913</v>
      </c>
      <c r="F22" s="131">
        <f t="shared" si="15"/>
        <v>0.75491864770241945</v>
      </c>
      <c r="G22" s="131">
        <f t="shared" si="15"/>
        <v>0.75739005491172662</v>
      </c>
      <c r="H22" s="131">
        <f t="shared" si="15"/>
        <v>0.75986955286513291</v>
      </c>
      <c r="I22" s="131">
        <f t="shared" si="15"/>
        <v>0.76235716804962916</v>
      </c>
      <c r="J22" s="131">
        <f t="shared" si="15"/>
        <v>0.76485292703891772</v>
      </c>
      <c r="K22" s="131">
        <f t="shared" si="15"/>
        <v>0.76735685649369634</v>
      </c>
      <c r="L22" s="131">
        <f t="shared" si="15"/>
        <v>0.76986898316194285</v>
      </c>
      <c r="M22" s="131">
        <f t="shared" si="15"/>
        <v>0.77238933387920117</v>
      </c>
      <c r="N22" s="131">
        <f t="shared" si="15"/>
        <v>0.77491793556886768</v>
      </c>
      <c r="O22" s="131">
        <f t="shared" si="15"/>
        <v>0.77745481524247895</v>
      </c>
      <c r="P22" s="131">
        <f t="shared" si="15"/>
        <v>0.78000000000000036</v>
      </c>
      <c r="Q22" s="131">
        <f t="shared" si="15"/>
        <v>0.78255351703011555</v>
      </c>
      <c r="R22" s="131">
        <f t="shared" si="15"/>
        <v>0.78511539361051674</v>
      </c>
      <c r="S22" s="131">
        <f t="shared" si="15"/>
        <v>0.78768565710819627</v>
      </c>
      <c r="T22" s="131">
        <f t="shared" si="15"/>
        <v>0.79026433497973891</v>
      </c>
      <c r="U22" s="131">
        <f t="shared" si="15"/>
        <v>0.79285145477161501</v>
      </c>
      <c r="V22" s="131">
        <f t="shared" si="15"/>
        <v>0.79544704412047518</v>
      </c>
      <c r="W22" s="131">
        <f t="shared" si="15"/>
        <v>0.79805113075344492</v>
      </c>
      <c r="X22" s="131">
        <f t="shared" si="15"/>
        <v>0.80066374248842132</v>
      </c>
      <c r="Y22" s="131">
        <f t="shared" si="15"/>
        <v>0.80328490723436996</v>
      </c>
      <c r="Z22" s="131">
        <f t="shared" si="15"/>
        <v>0.80591465299162313</v>
      </c>
      <c r="AA22" s="131">
        <f t="shared" si="15"/>
        <v>0.80855300785217887</v>
      </c>
      <c r="AB22" s="131">
        <f t="shared" si="15"/>
        <v>0.81120000000000114</v>
      </c>
      <c r="AC22" s="131">
        <f t="shared" si="15"/>
        <v>0.81385565771132096</v>
      </c>
      <c r="AD22" s="131">
        <f t="shared" si="15"/>
        <v>0.81652000935493818</v>
      </c>
      <c r="AE22" s="131">
        <f t="shared" si="15"/>
        <v>0.81919308339252483</v>
      </c>
      <c r="AF22" s="131">
        <f t="shared" si="15"/>
        <v>0.82187490837892918</v>
      </c>
      <c r="AG22" s="131">
        <f t="shared" si="15"/>
        <v>0.82456551296248037</v>
      </c>
      <c r="AH22" s="131">
        <f t="shared" si="15"/>
        <v>0.82726492588529488</v>
      </c>
      <c r="AI22" s="131">
        <f t="shared" si="15"/>
        <v>0.82997317598358344</v>
      </c>
      <c r="AJ22" s="131">
        <f t="shared" ref="AJ22:BK22" si="16">AJ12</f>
        <v>0.83269029218795887</v>
      </c>
      <c r="AK22" s="131">
        <f t="shared" si="16"/>
        <v>0.83541630352374541</v>
      </c>
      <c r="AL22" s="131">
        <f t="shared" si="16"/>
        <v>0.83815123911128864</v>
      </c>
      <c r="AM22" s="131">
        <f t="shared" si="16"/>
        <v>0.84089512816626655</v>
      </c>
      <c r="AN22" s="131">
        <f t="shared" si="16"/>
        <v>0.84364800000000173</v>
      </c>
      <c r="AO22" s="131">
        <f t="shared" si="16"/>
        <v>0.84640988401977424</v>
      </c>
      <c r="AP22" s="131">
        <f t="shared" si="16"/>
        <v>0.84918080972913612</v>
      </c>
      <c r="AQ22" s="131">
        <f t="shared" si="16"/>
        <v>0.85196080672822627</v>
      </c>
      <c r="AR22" s="131">
        <f t="shared" si="16"/>
        <v>0.85474990471408674</v>
      </c>
      <c r="AS22" s="131">
        <f t="shared" si="16"/>
        <v>0.85754813348098002</v>
      </c>
      <c r="AT22" s="131">
        <f t="shared" si="16"/>
        <v>0.86035552292070716</v>
      </c>
      <c r="AU22" s="131">
        <f t="shared" si="16"/>
        <v>0.86317210302292724</v>
      </c>
      <c r="AV22" s="131">
        <f t="shared" si="16"/>
        <v>0.8659979038754777</v>
      </c>
      <c r="AW22" s="131">
        <f t="shared" si="16"/>
        <v>0.86883295566469576</v>
      </c>
      <c r="AX22" s="131">
        <f t="shared" si="16"/>
        <v>0.87167728867574079</v>
      </c>
      <c r="AY22" s="131">
        <f t="shared" si="16"/>
        <v>0.87453093329291787</v>
      </c>
      <c r="AZ22" s="131">
        <f t="shared" si="16"/>
        <v>0.87739392000000249</v>
      </c>
      <c r="BA22" s="131">
        <f t="shared" si="16"/>
        <v>0.8802662793805659</v>
      </c>
      <c r="BB22" s="131">
        <f t="shared" si="16"/>
        <v>0.88314804211830233</v>
      </c>
      <c r="BC22" s="131">
        <f t="shared" si="16"/>
        <v>0.88603923899735615</v>
      </c>
      <c r="BD22" s="131">
        <f t="shared" si="16"/>
        <v>0.88893990090265107</v>
      </c>
      <c r="BE22" s="131">
        <f t="shared" si="16"/>
        <v>0.89185005882022006</v>
      </c>
      <c r="BF22" s="131">
        <f t="shared" si="16"/>
        <v>0.89476974383753627</v>
      </c>
      <c r="BG22" s="131">
        <f t="shared" si="16"/>
        <v>0.89769898714384511</v>
      </c>
      <c r="BH22" s="131">
        <f t="shared" si="16"/>
        <v>0.90063782003049764</v>
      </c>
      <c r="BI22" s="131">
        <f t="shared" si="16"/>
        <v>0.90358627389128443</v>
      </c>
      <c r="BJ22" s="131">
        <f t="shared" si="16"/>
        <v>0.90654438022277117</v>
      </c>
      <c r="BK22" s="131">
        <f t="shared" si="16"/>
        <v>0.9095121706246353</v>
      </c>
      <c r="BL22" s="2"/>
      <c r="BM22" s="39">
        <f>AVERAGEIFS($D22:$BK22,$D$2:$BK$2,BM$2)</f>
        <v>0.76365263164588848</v>
      </c>
      <c r="BN22" s="36"/>
      <c r="BO22" s="39">
        <v>0.29499999999999998</v>
      </c>
      <c r="BP22" s="36"/>
      <c r="BQ22" s="39">
        <v>0.29899999999999999</v>
      </c>
      <c r="BR22" s="36"/>
      <c r="BS22" s="39">
        <v>0.29899999999999999</v>
      </c>
      <c r="BT22" s="36"/>
      <c r="BU22" s="39">
        <v>0.29899999999999999</v>
      </c>
      <c r="BV22" s="36"/>
      <c r="BW22" s="39">
        <f>AVERAGE(BM22:BU22)</f>
        <v>0.39113052632917766</v>
      </c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</row>
    <row r="23" spans="1:87" ht="16" customHeight="1" x14ac:dyDescent="0.2">
      <c r="A23" s="148"/>
      <c r="B23" s="38" t="s">
        <v>595</v>
      </c>
      <c r="C23" s="92" t="s">
        <v>134</v>
      </c>
      <c r="D23" s="40">
        <f>Assumptions!C23</f>
        <v>0.05</v>
      </c>
      <c r="E23" s="40">
        <f>D23</f>
        <v>0.05</v>
      </c>
      <c r="F23" s="40">
        <v>0.04</v>
      </c>
      <c r="G23" s="40">
        <v>0.04</v>
      </c>
      <c r="H23" s="40">
        <v>0.04</v>
      </c>
      <c r="I23" s="40">
        <v>0.04</v>
      </c>
      <c r="J23" s="40">
        <v>0.04</v>
      </c>
      <c r="K23" s="40">
        <v>0.04</v>
      </c>
      <c r="L23" s="40">
        <v>0.04</v>
      </c>
      <c r="M23" s="40">
        <v>0.04</v>
      </c>
      <c r="N23" s="40">
        <v>0.04</v>
      </c>
      <c r="O23" s="40">
        <v>0.04</v>
      </c>
      <c r="P23" s="40">
        <v>0.04</v>
      </c>
      <c r="Q23" s="40">
        <v>0.04</v>
      </c>
      <c r="R23" s="40">
        <v>0.04</v>
      </c>
      <c r="S23" s="40">
        <v>0.04</v>
      </c>
      <c r="T23" s="40">
        <v>0.04</v>
      </c>
      <c r="U23" s="40">
        <v>0.04</v>
      </c>
      <c r="V23" s="40">
        <v>0.04</v>
      </c>
      <c r="W23" s="40">
        <v>0.04</v>
      </c>
      <c r="X23" s="40">
        <v>0.04</v>
      </c>
      <c r="Y23" s="40">
        <v>0.04</v>
      </c>
      <c r="Z23" s="40">
        <v>0.04</v>
      </c>
      <c r="AA23" s="40">
        <v>0.04</v>
      </c>
      <c r="AB23" s="40">
        <v>0.04</v>
      </c>
      <c r="AC23" s="40">
        <v>0.04</v>
      </c>
      <c r="AD23" s="40">
        <v>0.04</v>
      </c>
      <c r="AE23" s="40">
        <v>0.04</v>
      </c>
      <c r="AF23" s="40">
        <v>0.04</v>
      </c>
      <c r="AG23" s="40">
        <v>0.04</v>
      </c>
      <c r="AH23" s="40">
        <v>0.04</v>
      </c>
      <c r="AI23" s="40">
        <v>0.04</v>
      </c>
      <c r="AJ23" s="40">
        <v>0.04</v>
      </c>
      <c r="AK23" s="40">
        <v>0.04</v>
      </c>
      <c r="AL23" s="40">
        <v>0.04</v>
      </c>
      <c r="AM23" s="40">
        <v>0.04</v>
      </c>
      <c r="AN23" s="40">
        <v>0.04</v>
      </c>
      <c r="AO23" s="40">
        <v>0.04</v>
      </c>
      <c r="AP23" s="40">
        <v>0.04</v>
      </c>
      <c r="AQ23" s="40">
        <v>0.04</v>
      </c>
      <c r="AR23" s="40">
        <v>0.04</v>
      </c>
      <c r="AS23" s="40">
        <v>0.04</v>
      </c>
      <c r="AT23" s="40">
        <v>0.04</v>
      </c>
      <c r="AU23" s="40">
        <v>0.04</v>
      </c>
      <c r="AV23" s="40">
        <v>0.04</v>
      </c>
      <c r="AW23" s="40">
        <v>0.04</v>
      </c>
      <c r="AX23" s="40">
        <v>0.04</v>
      </c>
      <c r="AY23" s="40">
        <v>0.04</v>
      </c>
      <c r="AZ23" s="40">
        <v>0.04</v>
      </c>
      <c r="BA23" s="40">
        <v>0.04</v>
      </c>
      <c r="BB23" s="40">
        <v>0.04</v>
      </c>
      <c r="BC23" s="40">
        <v>0.04</v>
      </c>
      <c r="BD23" s="40">
        <v>0.04</v>
      </c>
      <c r="BE23" s="40">
        <v>0.04</v>
      </c>
      <c r="BF23" s="40">
        <v>0.04</v>
      </c>
      <c r="BG23" s="40">
        <v>0.04</v>
      </c>
      <c r="BH23" s="40">
        <v>0.04</v>
      </c>
      <c r="BI23" s="40">
        <v>0.04</v>
      </c>
      <c r="BJ23" s="40">
        <v>0.04</v>
      </c>
      <c r="BK23" s="40">
        <v>0.04</v>
      </c>
      <c r="BL23" s="2"/>
      <c r="BM23" s="41"/>
      <c r="BN23" s="2"/>
      <c r="BO23" s="41"/>
      <c r="BP23" s="2"/>
      <c r="BQ23" s="41"/>
      <c r="BR23" s="2"/>
      <c r="BS23" s="41"/>
      <c r="BT23" s="2"/>
      <c r="BU23" s="41"/>
      <c r="BV23" s="2"/>
      <c r="BW23" s="41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</row>
    <row r="24" spans="1:87" ht="16" customHeight="1" x14ac:dyDescent="0.2">
      <c r="A24" s="148"/>
      <c r="B24" s="38" t="s">
        <v>596</v>
      </c>
      <c r="C24" s="92" t="s">
        <v>584</v>
      </c>
      <c r="D24" s="132">
        <f t="shared" ref="D24:AI24" si="17">D19*D21*D23*D22*1000</f>
        <v>20454.545454545452</v>
      </c>
      <c r="E24" s="132">
        <f t="shared" si="17"/>
        <v>41043.01662745358</v>
      </c>
      <c r="F24" s="132">
        <f t="shared" si="17"/>
        <v>32941.904627014665</v>
      </c>
      <c r="G24" s="132">
        <f t="shared" si="17"/>
        <v>33049.747850693522</v>
      </c>
      <c r="H24" s="132">
        <f t="shared" si="17"/>
        <v>33157.944125023983</v>
      </c>
      <c r="I24" s="132">
        <f t="shared" si="17"/>
        <v>33266.494605801992</v>
      </c>
      <c r="J24" s="132">
        <f t="shared" si="17"/>
        <v>33375.400452607319</v>
      </c>
      <c r="K24" s="132">
        <f t="shared" si="17"/>
        <v>33484.662828815839</v>
      </c>
      <c r="L24" s="132">
        <f t="shared" si="17"/>
        <v>33594.282901612045</v>
      </c>
      <c r="M24" s="132">
        <f t="shared" si="17"/>
        <v>33704.261842001499</v>
      </c>
      <c r="N24" s="132">
        <f t="shared" si="17"/>
        <v>40577.520989787976</v>
      </c>
      <c r="O24" s="132">
        <f t="shared" si="17"/>
        <v>40710.361234515258</v>
      </c>
      <c r="P24" s="132">
        <f t="shared" si="17"/>
        <v>17018.181818181827</v>
      </c>
      <c r="Q24" s="132">
        <f t="shared" si="17"/>
        <v>34147.789834041403</v>
      </c>
      <c r="R24" s="132">
        <f t="shared" si="17"/>
        <v>34259.580812095272</v>
      </c>
      <c r="S24" s="132">
        <f t="shared" si="17"/>
        <v>34371.737764721285</v>
      </c>
      <c r="T24" s="132">
        <f t="shared" si="17"/>
        <v>34484.261890024965</v>
      </c>
      <c r="U24" s="132">
        <f t="shared" si="17"/>
        <v>34597.154390034106</v>
      </c>
      <c r="V24" s="132">
        <f t="shared" si="17"/>
        <v>34710.416470711643</v>
      </c>
      <c r="W24" s="132">
        <f t="shared" si="17"/>
        <v>34824.049341968501</v>
      </c>
      <c r="X24" s="132">
        <f t="shared" si="17"/>
        <v>34938.054217676567</v>
      </c>
      <c r="Y24" s="132">
        <f t="shared" si="17"/>
        <v>35052.432315681595</v>
      </c>
      <c r="Z24" s="132">
        <f t="shared" si="17"/>
        <v>42200.621829379539</v>
      </c>
      <c r="AA24" s="132">
        <f t="shared" si="17"/>
        <v>42338.77568389591</v>
      </c>
      <c r="AB24" s="132">
        <f t="shared" si="17"/>
        <v>17698.909090909114</v>
      </c>
      <c r="AC24" s="132">
        <f t="shared" si="17"/>
        <v>35513.701427403095</v>
      </c>
      <c r="AD24" s="132">
        <f t="shared" si="17"/>
        <v>35629.964044579116</v>
      </c>
      <c r="AE24" s="132">
        <f t="shared" si="17"/>
        <v>35746.607275310169</v>
      </c>
      <c r="AF24" s="132">
        <f t="shared" si="17"/>
        <v>35863.632365625999</v>
      </c>
      <c r="AG24" s="132">
        <f t="shared" si="17"/>
        <v>35981.0405656355</v>
      </c>
      <c r="AH24" s="132">
        <f t="shared" si="17"/>
        <v>36098.833129540137</v>
      </c>
      <c r="AI24" s="132">
        <f t="shared" si="17"/>
        <v>36217.01131564728</v>
      </c>
      <c r="AJ24" s="132">
        <f t="shared" ref="AJ24:BK24" si="18">AJ19*AJ21*AJ23*AJ22*1000</f>
        <v>36335.576386383655</v>
      </c>
      <c r="AK24" s="132">
        <f t="shared" si="18"/>
        <v>36454.529608308891</v>
      </c>
      <c r="AL24" s="132">
        <f t="shared" si="18"/>
        <v>43888.646702554746</v>
      </c>
      <c r="AM24" s="132">
        <f t="shared" si="18"/>
        <v>44032.326711251771</v>
      </c>
      <c r="AN24" s="132">
        <f t="shared" si="18"/>
        <v>18406.865454545492</v>
      </c>
      <c r="AO24" s="132">
        <f t="shared" si="18"/>
        <v>36934.24948449924</v>
      </c>
      <c r="AP24" s="132">
        <f t="shared" si="18"/>
        <v>37055.162606362304</v>
      </c>
      <c r="AQ24" s="132">
        <f t="shared" si="18"/>
        <v>37176.471566322594</v>
      </c>
      <c r="AR24" s="132">
        <f t="shared" si="18"/>
        <v>37298.177660251058</v>
      </c>
      <c r="AS24" s="132">
        <f t="shared" si="18"/>
        <v>37420.282188260942</v>
      </c>
      <c r="AT24" s="132">
        <f t="shared" si="18"/>
        <v>37542.786454721761</v>
      </c>
      <c r="AU24" s="132">
        <f t="shared" si="18"/>
        <v>37665.691768273187</v>
      </c>
      <c r="AV24" s="132">
        <f t="shared" si="18"/>
        <v>37788.999441839027</v>
      </c>
      <c r="AW24" s="132">
        <f t="shared" si="18"/>
        <v>37912.710792641265</v>
      </c>
      <c r="AX24" s="132">
        <f t="shared" si="18"/>
        <v>45644.192570656967</v>
      </c>
      <c r="AY24" s="132">
        <f t="shared" si="18"/>
        <v>45793.619779701876</v>
      </c>
      <c r="AZ24" s="132">
        <f t="shared" si="18"/>
        <v>19143.140072727329</v>
      </c>
      <c r="BA24" s="132">
        <f t="shared" si="18"/>
        <v>38411.619463879237</v>
      </c>
      <c r="BB24" s="132">
        <f t="shared" si="18"/>
        <v>38537.369110616826</v>
      </c>
      <c r="BC24" s="132">
        <f t="shared" si="18"/>
        <v>38663.530428975544</v>
      </c>
      <c r="BD24" s="132">
        <f t="shared" si="18"/>
        <v>38790.104766661141</v>
      </c>
      <c r="BE24" s="132">
        <f t="shared" si="18"/>
        <v>38917.093475791415</v>
      </c>
      <c r="BF24" s="132">
        <f t="shared" si="18"/>
        <v>39044.497912910672</v>
      </c>
      <c r="BG24" s="132">
        <f t="shared" si="18"/>
        <v>39172.319439004146</v>
      </c>
      <c r="BH24" s="132">
        <f t="shared" si="18"/>
        <v>39300.559419512625</v>
      </c>
      <c r="BI24" s="132">
        <f t="shared" si="18"/>
        <v>39429.219224346954</v>
      </c>
      <c r="BJ24" s="132">
        <f t="shared" si="18"/>
        <v>47469.960273483288</v>
      </c>
      <c r="BK24" s="132">
        <f t="shared" si="18"/>
        <v>47625.364570889993</v>
      </c>
      <c r="BL24" s="102"/>
      <c r="BM24" s="103">
        <f>SUMIF($D$2:$BK$2,BM$2,$D24:$BK24)</f>
        <v>409360.14353987318</v>
      </c>
      <c r="BN24" s="104"/>
      <c r="BO24" s="103">
        <f>SUMIF($D$2:$BK$2,BO$2,$D24:$BK24)</f>
        <v>412943.05636841262</v>
      </c>
      <c r="BP24" s="104"/>
      <c r="BQ24" s="103">
        <f>SUMIF($D$2:$BK$2,BQ$2,$D24:$BK24)</f>
        <v>429460.7786231495</v>
      </c>
      <c r="BR24" s="104"/>
      <c r="BS24" s="103">
        <f>SUMIF($D$2:$BK$2,BS$2,$D24:$BK24)</f>
        <v>446639.20976807573</v>
      </c>
      <c r="BT24" s="104"/>
      <c r="BU24" s="103">
        <f>SUMIF($D$2:$BK$2,BU$2,$D24:$BK24)</f>
        <v>464504.77815879922</v>
      </c>
      <c r="BV24" s="105"/>
      <c r="BW24" s="103">
        <f>BM24+BO24+BQ24+BS24+BU24</f>
        <v>2162907.9664583104</v>
      </c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</row>
    <row r="25" spans="1:87" ht="16" customHeight="1" x14ac:dyDescent="0.2">
      <c r="A25" s="135"/>
      <c r="B25" s="133"/>
      <c r="C25" s="92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O25" s="132"/>
      <c r="P25" s="132"/>
      <c r="Q25" s="132"/>
      <c r="R25" s="132"/>
      <c r="S25" s="132"/>
      <c r="T25" s="132"/>
      <c r="U25" s="132"/>
      <c r="V25" s="132"/>
      <c r="W25" s="132"/>
      <c r="X25" s="132"/>
      <c r="Y25" s="132"/>
      <c r="Z25" s="132"/>
      <c r="AA25" s="132"/>
      <c r="AB25" s="132"/>
      <c r="AC25" s="132"/>
      <c r="AD25" s="132"/>
      <c r="AE25" s="132"/>
      <c r="AF25" s="132"/>
      <c r="AG25" s="132"/>
      <c r="AH25" s="132"/>
      <c r="AI25" s="132"/>
      <c r="AJ25" s="132"/>
      <c r="AK25" s="132"/>
      <c r="AL25" s="132"/>
      <c r="AM25" s="132"/>
      <c r="AN25" s="132"/>
      <c r="AO25" s="132"/>
      <c r="AP25" s="132"/>
      <c r="AQ25" s="132"/>
      <c r="AR25" s="132"/>
      <c r="AS25" s="132"/>
      <c r="AT25" s="132"/>
      <c r="AU25" s="132"/>
      <c r="AV25" s="132"/>
      <c r="AW25" s="132"/>
      <c r="AX25" s="132"/>
      <c r="AY25" s="132"/>
      <c r="AZ25" s="132"/>
      <c r="BA25" s="132"/>
      <c r="BB25" s="132"/>
      <c r="BC25" s="132"/>
      <c r="BD25" s="132"/>
      <c r="BE25" s="132"/>
      <c r="BF25" s="132"/>
      <c r="BG25" s="132"/>
      <c r="BH25" s="132"/>
      <c r="BI25" s="132"/>
      <c r="BJ25" s="132"/>
      <c r="BK25" s="132"/>
      <c r="BL25" s="102"/>
      <c r="BM25" s="103"/>
      <c r="BN25" s="104"/>
      <c r="BO25" s="136"/>
      <c r="BP25" s="104"/>
      <c r="BQ25" s="136"/>
      <c r="BR25" s="104"/>
      <c r="BS25" s="136"/>
      <c r="BT25" s="104"/>
      <c r="BU25" s="136"/>
      <c r="BV25" s="105"/>
      <c r="BW25" s="136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</row>
    <row r="26" spans="1:87" ht="16" customHeight="1" x14ac:dyDescent="0.2">
      <c r="A26" s="135"/>
      <c r="B26" s="133" t="s">
        <v>597</v>
      </c>
      <c r="C26" s="92" t="s">
        <v>598</v>
      </c>
      <c r="D26" s="132">
        <v>1200</v>
      </c>
      <c r="E26" s="132">
        <v>1200</v>
      </c>
      <c r="F26" s="132">
        <v>1200</v>
      </c>
      <c r="G26" s="132">
        <v>1200</v>
      </c>
      <c r="H26" s="132">
        <v>1200</v>
      </c>
      <c r="I26" s="132">
        <v>1200</v>
      </c>
      <c r="J26" s="132">
        <v>1200</v>
      </c>
      <c r="K26" s="132">
        <v>1200</v>
      </c>
      <c r="L26" s="132">
        <v>1200</v>
      </c>
      <c r="M26" s="132">
        <v>1200</v>
      </c>
      <c r="N26" s="132">
        <v>1200</v>
      </c>
      <c r="O26" s="132">
        <v>1200</v>
      </c>
      <c r="P26" s="132">
        <v>1200</v>
      </c>
      <c r="Q26" s="132">
        <v>1200</v>
      </c>
      <c r="R26" s="132">
        <v>1200</v>
      </c>
      <c r="S26" s="132">
        <v>1200</v>
      </c>
      <c r="T26" s="132">
        <v>1200</v>
      </c>
      <c r="U26" s="132">
        <v>1200</v>
      </c>
      <c r="V26" s="132">
        <v>1200</v>
      </c>
      <c r="W26" s="132">
        <v>1200</v>
      </c>
      <c r="X26" s="132">
        <v>1200</v>
      </c>
      <c r="Y26" s="132">
        <v>1200</v>
      </c>
      <c r="Z26" s="132">
        <v>1200</v>
      </c>
      <c r="AA26" s="132">
        <v>1200</v>
      </c>
      <c r="AB26" s="132">
        <v>1200</v>
      </c>
      <c r="AC26" s="132">
        <v>1200</v>
      </c>
      <c r="AD26" s="132">
        <v>1200</v>
      </c>
      <c r="AE26" s="132">
        <v>1200</v>
      </c>
      <c r="AF26" s="132">
        <v>1200</v>
      </c>
      <c r="AG26" s="132">
        <v>1200</v>
      </c>
      <c r="AH26" s="132">
        <v>1200</v>
      </c>
      <c r="AI26" s="132">
        <v>1200</v>
      </c>
      <c r="AJ26" s="132">
        <v>1200</v>
      </c>
      <c r="AK26" s="132">
        <v>1200</v>
      </c>
      <c r="AL26" s="132">
        <v>1200</v>
      </c>
      <c r="AM26" s="132">
        <v>1200</v>
      </c>
      <c r="AN26" s="132">
        <v>1200</v>
      </c>
      <c r="AO26" s="132">
        <v>1200</v>
      </c>
      <c r="AP26" s="132">
        <v>1200</v>
      </c>
      <c r="AQ26" s="132">
        <v>1200</v>
      </c>
      <c r="AR26" s="132">
        <v>1200</v>
      </c>
      <c r="AS26" s="132">
        <v>1200</v>
      </c>
      <c r="AT26" s="132">
        <v>1200</v>
      </c>
      <c r="AU26" s="132">
        <v>1200</v>
      </c>
      <c r="AV26" s="132">
        <v>1200</v>
      </c>
      <c r="AW26" s="132">
        <v>1200</v>
      </c>
      <c r="AX26" s="132">
        <v>1200</v>
      </c>
      <c r="AY26" s="132">
        <v>1200</v>
      </c>
      <c r="AZ26" s="132">
        <v>1200</v>
      </c>
      <c r="BA26" s="132">
        <v>1200</v>
      </c>
      <c r="BB26" s="132">
        <v>1200</v>
      </c>
      <c r="BC26" s="132">
        <v>1200</v>
      </c>
      <c r="BD26" s="132">
        <v>1200</v>
      </c>
      <c r="BE26" s="132">
        <v>1200</v>
      </c>
      <c r="BF26" s="132">
        <v>1200</v>
      </c>
      <c r="BG26" s="132">
        <v>1200</v>
      </c>
      <c r="BH26" s="132">
        <v>1200</v>
      </c>
      <c r="BI26" s="132">
        <v>1200</v>
      </c>
      <c r="BJ26" s="132">
        <v>1200</v>
      </c>
      <c r="BK26" s="132">
        <v>1200</v>
      </c>
      <c r="BL26" s="102"/>
      <c r="BM26" s="103">
        <f>SUMIF($D$2:$BK$2,BM$2,$D26:$BK26)</f>
        <v>14400</v>
      </c>
      <c r="BN26" s="104"/>
      <c r="BO26" s="103">
        <f>SUMIF($D$2:$BK$2,BO$2,$D26:$BK26)</f>
        <v>14400</v>
      </c>
      <c r="BP26" s="104"/>
      <c r="BQ26" s="103">
        <f>SUMIF($D$2:$BK$2,BQ$2,$D26:$BK26)</f>
        <v>14400</v>
      </c>
      <c r="BR26" s="104"/>
      <c r="BS26" s="103">
        <f>SUMIF($D$2:$BK$2,BS$2,$D26:$BK26)</f>
        <v>14400</v>
      </c>
      <c r="BT26" s="104"/>
      <c r="BU26" s="103">
        <f>SUMIF($D$2:$BK$2,BU$2,$D26:$BK26)</f>
        <v>14400</v>
      </c>
      <c r="BV26" s="105"/>
      <c r="BW26" s="103">
        <f>BM26+BO26+BQ26+BS26+BU26</f>
        <v>72000</v>
      </c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</row>
    <row r="27" spans="1:87" ht="16" customHeight="1" x14ac:dyDescent="0.2">
      <c r="A27" s="135"/>
      <c r="B27" s="133" t="s">
        <v>599</v>
      </c>
      <c r="C27" s="92" t="s">
        <v>584</v>
      </c>
      <c r="D27" s="139">
        <f t="shared" ref="D27:AI27" si="19">D24/D26/1000</f>
        <v>1.7045454545454544E-2</v>
      </c>
      <c r="E27" s="139">
        <f t="shared" si="19"/>
        <v>3.4202513856211321E-2</v>
      </c>
      <c r="F27" s="139">
        <f t="shared" si="19"/>
        <v>2.7451587189178887E-2</v>
      </c>
      <c r="G27" s="139">
        <f t="shared" si="19"/>
        <v>2.7541456542244602E-2</v>
      </c>
      <c r="H27" s="139">
        <f t="shared" si="19"/>
        <v>2.7631620104186651E-2</v>
      </c>
      <c r="I27" s="139">
        <f t="shared" si="19"/>
        <v>2.7722078838168327E-2</v>
      </c>
      <c r="J27" s="139">
        <f t="shared" si="19"/>
        <v>2.7812833710506097E-2</v>
      </c>
      <c r="K27" s="139">
        <f t="shared" si="19"/>
        <v>2.7903885690679864E-2</v>
      </c>
      <c r="L27" s="139">
        <f t="shared" si="19"/>
        <v>2.7995235751343373E-2</v>
      </c>
      <c r="M27" s="139">
        <f t="shared" si="19"/>
        <v>2.8086884868334581E-2</v>
      </c>
      <c r="N27" s="139">
        <f t="shared" si="19"/>
        <v>3.3814600824823314E-2</v>
      </c>
      <c r="O27" s="139">
        <f t="shared" si="19"/>
        <v>3.3925301028762719E-2</v>
      </c>
      <c r="P27" s="139">
        <f t="shared" si="19"/>
        <v>1.418181818181819E-2</v>
      </c>
      <c r="Q27" s="139">
        <f t="shared" si="19"/>
        <v>2.8456491528367836E-2</v>
      </c>
      <c r="R27" s="139">
        <f t="shared" si="19"/>
        <v>2.8549650676746058E-2</v>
      </c>
      <c r="S27" s="139">
        <f t="shared" si="19"/>
        <v>2.8643114803934406E-2</v>
      </c>
      <c r="T27" s="139">
        <f t="shared" si="19"/>
        <v>2.8736884908354139E-2</v>
      </c>
      <c r="U27" s="139">
        <f t="shared" si="19"/>
        <v>2.8830961991695086E-2</v>
      </c>
      <c r="V27" s="139">
        <f t="shared" si="19"/>
        <v>2.8925347058926371E-2</v>
      </c>
      <c r="W27" s="139">
        <f t="shared" si="19"/>
        <v>2.9020041118307083E-2</v>
      </c>
      <c r="X27" s="139">
        <f t="shared" si="19"/>
        <v>2.9115045181397139E-2</v>
      </c>
      <c r="Y27" s="139">
        <f t="shared" si="19"/>
        <v>2.9210360263067996E-2</v>
      </c>
      <c r="Z27" s="139">
        <f t="shared" si="19"/>
        <v>3.516718485781628E-2</v>
      </c>
      <c r="AA27" s="139">
        <f t="shared" si="19"/>
        <v>3.5282313069913258E-2</v>
      </c>
      <c r="AB27" s="139">
        <f t="shared" si="19"/>
        <v>1.4749090909090927E-2</v>
      </c>
      <c r="AC27" s="139">
        <f t="shared" si="19"/>
        <v>2.9594751189502579E-2</v>
      </c>
      <c r="AD27" s="139">
        <f t="shared" si="19"/>
        <v>2.969163670381593E-2</v>
      </c>
      <c r="AE27" s="139">
        <f t="shared" si="19"/>
        <v>2.9788839396091806E-2</v>
      </c>
      <c r="AF27" s="139">
        <f t="shared" si="19"/>
        <v>2.9886360304688331E-2</v>
      </c>
      <c r="AG27" s="139">
        <f t="shared" si="19"/>
        <v>2.9984200471362916E-2</v>
      </c>
      <c r="AH27" s="139">
        <f t="shared" si="19"/>
        <v>3.0082360941283446E-2</v>
      </c>
      <c r="AI27" s="139">
        <f t="shared" si="19"/>
        <v>3.0180842763039402E-2</v>
      </c>
      <c r="AJ27" s="139">
        <f t="shared" ref="AJ27:BK27" si="20">AJ24/AJ26/1000</f>
        <v>3.0279646988653045E-2</v>
      </c>
      <c r="AK27" s="139">
        <f t="shared" si="20"/>
        <v>3.0378774673590739E-2</v>
      </c>
      <c r="AL27" s="139">
        <f t="shared" si="20"/>
        <v>3.6573872252128957E-2</v>
      </c>
      <c r="AM27" s="139">
        <f t="shared" si="20"/>
        <v>3.6693605592709809E-2</v>
      </c>
      <c r="AN27" s="139">
        <f t="shared" si="20"/>
        <v>1.5339054545454577E-2</v>
      </c>
      <c r="AO27" s="139">
        <f t="shared" si="20"/>
        <v>3.07785412370827E-2</v>
      </c>
      <c r="AP27" s="139">
        <f t="shared" si="20"/>
        <v>3.0879302171968586E-2</v>
      </c>
      <c r="AQ27" s="139">
        <f t="shared" si="20"/>
        <v>3.0980392971935493E-2</v>
      </c>
      <c r="AR27" s="139">
        <f t="shared" si="20"/>
        <v>3.1081814716875884E-2</v>
      </c>
      <c r="AS27" s="139">
        <f t="shared" si="20"/>
        <v>3.1183568490217452E-2</v>
      </c>
      <c r="AT27" s="139">
        <f t="shared" si="20"/>
        <v>3.1285655378934803E-2</v>
      </c>
      <c r="AU27" s="139">
        <f t="shared" si="20"/>
        <v>3.138807647356099E-2</v>
      </c>
      <c r="AV27" s="139">
        <f t="shared" si="20"/>
        <v>3.1490832868199189E-2</v>
      </c>
      <c r="AW27" s="139">
        <f t="shared" si="20"/>
        <v>3.1593925660534386E-2</v>
      </c>
      <c r="AX27" s="139">
        <f t="shared" si="20"/>
        <v>3.8036827142214139E-2</v>
      </c>
      <c r="AY27" s="139">
        <f t="shared" si="20"/>
        <v>3.8161349816418229E-2</v>
      </c>
      <c r="AZ27" s="139">
        <f t="shared" si="20"/>
        <v>1.5952616727272776E-2</v>
      </c>
      <c r="BA27" s="139">
        <f t="shared" si="20"/>
        <v>3.2009682886566033E-2</v>
      </c>
      <c r="BB27" s="139">
        <f t="shared" si="20"/>
        <v>3.211447425884735E-2</v>
      </c>
      <c r="BC27" s="139">
        <f t="shared" si="20"/>
        <v>3.2219608690812952E-2</v>
      </c>
      <c r="BD27" s="139">
        <f t="shared" si="20"/>
        <v>3.2325087305550955E-2</v>
      </c>
      <c r="BE27" s="139">
        <f t="shared" si="20"/>
        <v>3.2430911229826179E-2</v>
      </c>
      <c r="BF27" s="139">
        <f t="shared" si="20"/>
        <v>3.2537081594092229E-2</v>
      </c>
      <c r="BG27" s="139">
        <f t="shared" si="20"/>
        <v>3.264359953250346E-2</v>
      </c>
      <c r="BH27" s="139">
        <f t="shared" si="20"/>
        <v>3.2750466182927193E-2</v>
      </c>
      <c r="BI27" s="139">
        <f t="shared" si="20"/>
        <v>3.2857682686955797E-2</v>
      </c>
      <c r="BJ27" s="139">
        <f t="shared" si="20"/>
        <v>3.9558300227902743E-2</v>
      </c>
      <c r="BK27" s="139">
        <f t="shared" si="20"/>
        <v>3.9687803809074995E-2</v>
      </c>
      <c r="BL27" s="102"/>
      <c r="BM27" s="136"/>
      <c r="BN27" s="104"/>
      <c r="BO27" s="136"/>
      <c r="BP27" s="104"/>
      <c r="BQ27" s="136"/>
      <c r="BR27" s="104"/>
      <c r="BS27" s="136"/>
      <c r="BT27" s="104"/>
      <c r="BU27" s="136"/>
      <c r="BV27" s="105"/>
      <c r="BW27" s="136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</row>
    <row r="28" spans="1:87" ht="16" customHeight="1" x14ac:dyDescent="0.2">
      <c r="A28" s="135"/>
      <c r="B28" s="137"/>
      <c r="C28" s="2"/>
      <c r="D28" s="138"/>
      <c r="E28" s="138"/>
      <c r="F28" s="138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32"/>
      <c r="AA28" s="132"/>
      <c r="AB28" s="132"/>
      <c r="AC28" s="132"/>
      <c r="AD28" s="132"/>
      <c r="AE28" s="132"/>
      <c r="AF28" s="132"/>
      <c r="AG28" s="132"/>
      <c r="AH28" s="132"/>
      <c r="AI28" s="132"/>
      <c r="AJ28" s="132"/>
      <c r="AK28" s="132"/>
      <c r="AL28" s="132"/>
      <c r="AM28" s="132"/>
      <c r="AN28" s="132"/>
      <c r="AO28" s="132"/>
      <c r="AP28" s="132"/>
      <c r="AQ28" s="132"/>
      <c r="AR28" s="132"/>
      <c r="AS28" s="132"/>
      <c r="AT28" s="132"/>
      <c r="AU28" s="132"/>
      <c r="AV28" s="132"/>
      <c r="AW28" s="132"/>
      <c r="AX28" s="132"/>
      <c r="AY28" s="132"/>
      <c r="AZ28" s="132"/>
      <c r="BA28" s="132"/>
      <c r="BB28" s="132"/>
      <c r="BC28" s="132"/>
      <c r="BD28" s="132"/>
      <c r="BE28" s="132"/>
      <c r="BF28" s="132"/>
      <c r="BG28" s="132"/>
      <c r="BH28" s="132"/>
      <c r="BI28" s="132"/>
      <c r="BJ28" s="132"/>
      <c r="BK28" s="132"/>
      <c r="BL28" s="102"/>
      <c r="BM28" s="136"/>
      <c r="BN28" s="104"/>
      <c r="BO28" s="136"/>
      <c r="BP28" s="104"/>
      <c r="BQ28" s="136"/>
      <c r="BR28" s="104"/>
      <c r="BS28" s="136"/>
      <c r="BT28" s="104"/>
      <c r="BU28" s="136"/>
      <c r="BV28" s="105"/>
      <c r="BW28" s="136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</row>
    <row r="29" spans="1:87" ht="16" customHeight="1" x14ac:dyDescent="0.2">
      <c r="A29" s="2"/>
      <c r="B29" s="347"/>
      <c r="C29" s="315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</row>
    <row r="30" spans="1:87" ht="16" customHeight="1" x14ac:dyDescent="0.2">
      <c r="B30" s="354" t="s">
        <v>600</v>
      </c>
      <c r="C30" s="315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2"/>
      <c r="BM30" s="10"/>
      <c r="BN30" s="2"/>
      <c r="BO30" s="10"/>
      <c r="BP30" s="2"/>
      <c r="BQ30" s="10"/>
      <c r="BR30" s="2"/>
      <c r="BS30" s="10"/>
      <c r="BT30" s="2"/>
      <c r="BU30" s="10"/>
      <c r="BV30" s="2"/>
      <c r="BW30" s="10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</row>
    <row r="31" spans="1:87" ht="16" customHeight="1" x14ac:dyDescent="0.2">
      <c r="B31" s="347"/>
      <c r="C31" s="315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</row>
    <row r="32" spans="1:87" ht="16" customHeight="1" x14ac:dyDescent="0.2">
      <c r="B32" s="47"/>
      <c r="C32" s="48"/>
      <c r="D32" s="49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48"/>
      <c r="P32" s="49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48"/>
      <c r="AB32" s="49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48"/>
      <c r="AN32" s="49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48"/>
      <c r="AZ32" s="49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48"/>
      <c r="BL32" s="2"/>
      <c r="BM32" s="50"/>
      <c r="BN32" s="2"/>
      <c r="BO32" s="50"/>
      <c r="BP32" s="2"/>
      <c r="BQ32" s="50"/>
      <c r="BR32" s="2"/>
      <c r="BS32" s="50"/>
      <c r="BT32" s="2"/>
      <c r="BU32" s="50"/>
      <c r="BV32" s="2"/>
      <c r="BW32" s="50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</row>
    <row r="33" spans="2:87" ht="16" customHeight="1" x14ac:dyDescent="0.2">
      <c r="B33" s="37" t="s">
        <v>601</v>
      </c>
      <c r="C33" s="2" t="s">
        <v>556</v>
      </c>
      <c r="D33" s="169">
        <f>Гипотезы!$E$3</f>
        <v>0.1</v>
      </c>
      <c r="E33" s="168">
        <f>Гипотезы!$E$3</f>
        <v>0.1</v>
      </c>
      <c r="F33" s="168">
        <f>Гипотезы!$E$3</f>
        <v>0.1</v>
      </c>
      <c r="G33" s="168">
        <f>Гипотезы!$E$3</f>
        <v>0.1</v>
      </c>
      <c r="H33" s="168">
        <f>Гипотезы!$E$3</f>
        <v>0.1</v>
      </c>
      <c r="I33" s="168">
        <f>Гипотезы!$E$3</f>
        <v>0.1</v>
      </c>
      <c r="J33" s="168">
        <f>Гипотезы!$E$3</f>
        <v>0.1</v>
      </c>
      <c r="K33" s="168">
        <f>Гипотезы!$E$3</f>
        <v>0.1</v>
      </c>
      <c r="L33" s="168">
        <f>Гипотезы!$E$3</f>
        <v>0.1</v>
      </c>
      <c r="M33" s="168">
        <f>Гипотезы!$E$3</f>
        <v>0.1</v>
      </c>
      <c r="N33" s="168">
        <f>Гипотезы!$E$3</f>
        <v>0.1</v>
      </c>
      <c r="O33" s="168">
        <f>Гипотезы!$E$3</f>
        <v>0.1</v>
      </c>
      <c r="P33" s="168">
        <f>Гипотезы!$E$3</f>
        <v>0.1</v>
      </c>
      <c r="Q33" s="168">
        <f>Гипотезы!$E$3</f>
        <v>0.1</v>
      </c>
      <c r="R33" s="168">
        <f>Гипотезы!$E$3</f>
        <v>0.1</v>
      </c>
      <c r="S33" s="168">
        <f>Гипотезы!$E$3</f>
        <v>0.1</v>
      </c>
      <c r="T33" s="168">
        <f>Гипотезы!$E$3</f>
        <v>0.1</v>
      </c>
      <c r="U33" s="168">
        <f>Гипотезы!$E$3</f>
        <v>0.1</v>
      </c>
      <c r="V33" s="168">
        <f>Гипотезы!$E$3</f>
        <v>0.1</v>
      </c>
      <c r="W33" s="168">
        <f>Гипотезы!$E$3</f>
        <v>0.1</v>
      </c>
      <c r="X33" s="168">
        <f>Гипотезы!$E$3</f>
        <v>0.1</v>
      </c>
      <c r="Y33" s="168">
        <f>Гипотезы!$E$3</f>
        <v>0.1</v>
      </c>
      <c r="Z33" s="168">
        <f>Гипотезы!$E$3</f>
        <v>0.1</v>
      </c>
      <c r="AA33" s="168">
        <f>Гипотезы!$E$3</f>
        <v>0.1</v>
      </c>
      <c r="AB33" s="168">
        <f>Гипотезы!$E$3</f>
        <v>0.1</v>
      </c>
      <c r="AC33" s="168">
        <f>Гипотезы!$E$3</f>
        <v>0.1</v>
      </c>
      <c r="AD33" s="168">
        <f>Гипотезы!$E$3</f>
        <v>0.1</v>
      </c>
      <c r="AE33" s="168">
        <f>Гипотезы!$E$3</f>
        <v>0.1</v>
      </c>
      <c r="AF33" s="168">
        <f>Гипотезы!$E$3</f>
        <v>0.1</v>
      </c>
      <c r="AG33" s="168">
        <f>Гипотезы!$E$3</f>
        <v>0.1</v>
      </c>
      <c r="AH33" s="168">
        <f>Гипотезы!$E$3</f>
        <v>0.1</v>
      </c>
      <c r="AI33" s="168">
        <f>Гипотезы!$E$3</f>
        <v>0.1</v>
      </c>
      <c r="AJ33" s="168">
        <f>Гипотезы!$E$3</f>
        <v>0.1</v>
      </c>
      <c r="AK33" s="168">
        <f>Гипотезы!$E$3</f>
        <v>0.1</v>
      </c>
      <c r="AL33" s="168">
        <f>Гипотезы!$E$3</f>
        <v>0.1</v>
      </c>
      <c r="AM33" s="168">
        <f>Гипотезы!$E$3</f>
        <v>0.1</v>
      </c>
      <c r="AN33" s="168">
        <f>Гипотезы!$E$3</f>
        <v>0.1</v>
      </c>
      <c r="AO33" s="168">
        <f>Гипотезы!$E$3</f>
        <v>0.1</v>
      </c>
      <c r="AP33" s="168">
        <f>Гипотезы!$E$3</f>
        <v>0.1</v>
      </c>
      <c r="AQ33" s="168">
        <f>Гипотезы!$E$3</f>
        <v>0.1</v>
      </c>
      <c r="AR33" s="168">
        <f>Гипотезы!$E$3</f>
        <v>0.1</v>
      </c>
      <c r="AS33" s="168">
        <f>Гипотезы!$E$3</f>
        <v>0.1</v>
      </c>
      <c r="AT33" s="168">
        <f>Гипотезы!$E$3</f>
        <v>0.1</v>
      </c>
      <c r="AU33" s="168">
        <f>Гипотезы!$E$3</f>
        <v>0.1</v>
      </c>
      <c r="AV33" s="168">
        <f>Гипотезы!$E$3</f>
        <v>0.1</v>
      </c>
      <c r="AW33" s="168">
        <f>Гипотезы!$E$3</f>
        <v>0.1</v>
      </c>
      <c r="AX33" s="168">
        <f>Гипотезы!$E$3</f>
        <v>0.1</v>
      </c>
      <c r="AY33" s="168">
        <f>Гипотезы!$E$3</f>
        <v>0.1</v>
      </c>
      <c r="AZ33" s="168">
        <f>Гипотезы!$E$3</f>
        <v>0.1</v>
      </c>
      <c r="BA33" s="168">
        <f>Гипотезы!$E$3</f>
        <v>0.1</v>
      </c>
      <c r="BB33" s="168">
        <f>Гипотезы!$E$3</f>
        <v>0.1</v>
      </c>
      <c r="BC33" s="168">
        <f>Гипотезы!$E$3</f>
        <v>0.1</v>
      </c>
      <c r="BD33" s="168">
        <f>Гипотезы!$E$3</f>
        <v>0.1</v>
      </c>
      <c r="BE33" s="168">
        <f>Гипотезы!$E$3</f>
        <v>0.1</v>
      </c>
      <c r="BF33" s="168">
        <f>Гипотезы!$E$3</f>
        <v>0.1</v>
      </c>
      <c r="BG33" s="168">
        <f>Гипотезы!$E$3</f>
        <v>0.1</v>
      </c>
      <c r="BH33" s="168">
        <f>Гипотезы!$E$3</f>
        <v>0.1</v>
      </c>
      <c r="BI33" s="168">
        <f>Гипотезы!$E$3</f>
        <v>0.1</v>
      </c>
      <c r="BJ33" s="168">
        <f>Гипотезы!$E$3</f>
        <v>0.1</v>
      </c>
      <c r="BK33" s="168">
        <f>Гипотезы!$E$3</f>
        <v>0.1</v>
      </c>
      <c r="BL33" s="170"/>
      <c r="BM33" s="51"/>
      <c r="BN33" s="2"/>
      <c r="BO33" s="51"/>
      <c r="BP33" s="2"/>
      <c r="BQ33" s="51"/>
      <c r="BR33" s="2"/>
      <c r="BS33" s="51"/>
      <c r="BT33" s="2"/>
      <c r="BU33" s="51"/>
      <c r="BV33" s="2"/>
      <c r="BW33" s="19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</row>
    <row r="34" spans="2:87" ht="16" customHeight="1" x14ac:dyDescent="0.2">
      <c r="B34" s="37" t="s">
        <v>602</v>
      </c>
      <c r="C34" s="2" t="s">
        <v>556</v>
      </c>
      <c r="D34" s="169">
        <f>Гипотезы!$E$4</f>
        <v>0.05</v>
      </c>
      <c r="E34" s="168">
        <f>Гипотезы!$E$4</f>
        <v>0.05</v>
      </c>
      <c r="F34" s="168">
        <f>Гипотезы!$E$4</f>
        <v>0.05</v>
      </c>
      <c r="G34" s="168">
        <f>Гипотезы!$E$4</f>
        <v>0.05</v>
      </c>
      <c r="H34" s="168">
        <f>Гипотезы!$E$4</f>
        <v>0.05</v>
      </c>
      <c r="I34" s="168">
        <f>Гипотезы!$E$4</f>
        <v>0.05</v>
      </c>
      <c r="J34" s="168">
        <f>Гипотезы!$E$4</f>
        <v>0.05</v>
      </c>
      <c r="K34" s="168">
        <f>Гипотезы!$E$4</f>
        <v>0.05</v>
      </c>
      <c r="L34" s="168">
        <f>Гипотезы!$E$4</f>
        <v>0.05</v>
      </c>
      <c r="M34" s="168">
        <f>Гипотезы!$E$4</f>
        <v>0.05</v>
      </c>
      <c r="N34" s="168">
        <f>Гипотезы!$E$4</f>
        <v>0.05</v>
      </c>
      <c r="O34" s="168">
        <f>Гипотезы!$E$4</f>
        <v>0.05</v>
      </c>
      <c r="P34" s="168">
        <f>Гипотезы!$E$4</f>
        <v>0.05</v>
      </c>
      <c r="Q34" s="168">
        <f>Гипотезы!$E$4</f>
        <v>0.05</v>
      </c>
      <c r="R34" s="168">
        <f>Гипотезы!$E$4</f>
        <v>0.05</v>
      </c>
      <c r="S34" s="168">
        <f>Гипотезы!$E$4</f>
        <v>0.05</v>
      </c>
      <c r="T34" s="168">
        <f>Гипотезы!$E$4</f>
        <v>0.05</v>
      </c>
      <c r="U34" s="168">
        <f>Гипотезы!$E$4</f>
        <v>0.05</v>
      </c>
      <c r="V34" s="168">
        <f>Гипотезы!$E$4</f>
        <v>0.05</v>
      </c>
      <c r="W34" s="168">
        <f>Гипотезы!$E$4</f>
        <v>0.05</v>
      </c>
      <c r="X34" s="168">
        <f>Гипотезы!$E$4</f>
        <v>0.05</v>
      </c>
      <c r="Y34" s="168">
        <f>Гипотезы!$E$4</f>
        <v>0.05</v>
      </c>
      <c r="Z34" s="168">
        <f>Гипотезы!$E$4</f>
        <v>0.05</v>
      </c>
      <c r="AA34" s="168">
        <f>Гипотезы!$E$4</f>
        <v>0.05</v>
      </c>
      <c r="AB34" s="168">
        <f>Гипотезы!$E$4</f>
        <v>0.05</v>
      </c>
      <c r="AC34" s="168">
        <f>Гипотезы!$E$4</f>
        <v>0.05</v>
      </c>
      <c r="AD34" s="168">
        <f>Гипотезы!$E$4</f>
        <v>0.05</v>
      </c>
      <c r="AE34" s="168">
        <f>Гипотезы!$E$4</f>
        <v>0.05</v>
      </c>
      <c r="AF34" s="168">
        <f>Гипотезы!$E$4</f>
        <v>0.05</v>
      </c>
      <c r="AG34" s="168">
        <f>Гипотезы!$E$4</f>
        <v>0.05</v>
      </c>
      <c r="AH34" s="168">
        <f>Гипотезы!$E$4</f>
        <v>0.05</v>
      </c>
      <c r="AI34" s="168">
        <f>Гипотезы!$E$4</f>
        <v>0.05</v>
      </c>
      <c r="AJ34" s="168">
        <f>Гипотезы!$E$4</f>
        <v>0.05</v>
      </c>
      <c r="AK34" s="168">
        <f>Гипотезы!$E$4</f>
        <v>0.05</v>
      </c>
      <c r="AL34" s="168">
        <f>Гипотезы!$E$4</f>
        <v>0.05</v>
      </c>
      <c r="AM34" s="168">
        <f>Гипотезы!$E$4</f>
        <v>0.05</v>
      </c>
      <c r="AN34" s="168">
        <f>Гипотезы!$E$4</f>
        <v>0.05</v>
      </c>
      <c r="AO34" s="168">
        <f>Гипотезы!$E$4</f>
        <v>0.05</v>
      </c>
      <c r="AP34" s="168">
        <f>Гипотезы!$E$4</f>
        <v>0.05</v>
      </c>
      <c r="AQ34" s="168">
        <f>Гипотезы!$E$4</f>
        <v>0.05</v>
      </c>
      <c r="AR34" s="168">
        <f>Гипотезы!$E$4</f>
        <v>0.05</v>
      </c>
      <c r="AS34" s="168">
        <f>Гипотезы!$E$4</f>
        <v>0.05</v>
      </c>
      <c r="AT34" s="168">
        <f>Гипотезы!$E$4</f>
        <v>0.05</v>
      </c>
      <c r="AU34" s="168">
        <f>Гипотезы!$E$4</f>
        <v>0.05</v>
      </c>
      <c r="AV34" s="168">
        <f>Гипотезы!$E$4</f>
        <v>0.05</v>
      </c>
      <c r="AW34" s="168">
        <f>Гипотезы!$E$4</f>
        <v>0.05</v>
      </c>
      <c r="AX34" s="168">
        <f>Гипотезы!$E$4</f>
        <v>0.05</v>
      </c>
      <c r="AY34" s="168">
        <f>Гипотезы!$E$4</f>
        <v>0.05</v>
      </c>
      <c r="AZ34" s="168">
        <f>Гипотезы!$E$4</f>
        <v>0.05</v>
      </c>
      <c r="BA34" s="168">
        <f>Гипотезы!$E$4</f>
        <v>0.05</v>
      </c>
      <c r="BB34" s="168">
        <f>Гипотезы!$E$4</f>
        <v>0.05</v>
      </c>
      <c r="BC34" s="168">
        <f>Гипотезы!$E$4</f>
        <v>0.05</v>
      </c>
      <c r="BD34" s="168">
        <f>Гипотезы!$E$4</f>
        <v>0.05</v>
      </c>
      <c r="BE34" s="168">
        <f>Гипотезы!$E$4</f>
        <v>0.05</v>
      </c>
      <c r="BF34" s="168">
        <f>Гипотезы!$E$4</f>
        <v>0.05</v>
      </c>
      <c r="BG34" s="168">
        <f>Гипотезы!$E$4</f>
        <v>0.05</v>
      </c>
      <c r="BH34" s="168">
        <f>Гипотезы!$E$4</f>
        <v>0.05</v>
      </c>
      <c r="BI34" s="168">
        <f>Гипотезы!$E$4</f>
        <v>0.05</v>
      </c>
      <c r="BJ34" s="168">
        <f>Гипотезы!$E$4</f>
        <v>0.05</v>
      </c>
      <c r="BK34" s="168">
        <f>Гипотезы!$E$4</f>
        <v>0.05</v>
      </c>
      <c r="BL34" s="170"/>
      <c r="BM34" s="51"/>
      <c r="BN34" s="2"/>
      <c r="BO34" s="51"/>
      <c r="BP34" s="2"/>
      <c r="BQ34" s="51"/>
      <c r="BR34" s="2"/>
      <c r="BS34" s="51"/>
      <c r="BT34" s="2"/>
      <c r="BU34" s="51"/>
      <c r="BV34" s="2"/>
      <c r="BW34" s="19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</row>
    <row r="35" spans="2:87" ht="16" customHeight="1" x14ac:dyDescent="0.2">
      <c r="B35" s="37" t="s">
        <v>603</v>
      </c>
      <c r="C35" s="2" t="s">
        <v>556</v>
      </c>
      <c r="D35" s="169">
        <f>Гипотезы!$E$5</f>
        <v>0.03</v>
      </c>
      <c r="E35" s="168">
        <f>Гипотезы!$E$5</f>
        <v>0.03</v>
      </c>
      <c r="F35" s="168">
        <f>Гипотезы!$E$5</f>
        <v>0.03</v>
      </c>
      <c r="G35" s="168">
        <f>Гипотезы!$E$5</f>
        <v>0.03</v>
      </c>
      <c r="H35" s="168">
        <f>Гипотезы!$E$5</f>
        <v>0.03</v>
      </c>
      <c r="I35" s="168">
        <f>Гипотезы!$E$5</f>
        <v>0.03</v>
      </c>
      <c r="J35" s="168">
        <f>Гипотезы!$E$5</f>
        <v>0.03</v>
      </c>
      <c r="K35" s="168">
        <f>Гипотезы!$E$5</f>
        <v>0.03</v>
      </c>
      <c r="L35" s="168">
        <f>Гипотезы!$E$5</f>
        <v>0.03</v>
      </c>
      <c r="M35" s="168">
        <f>Гипотезы!$E$5</f>
        <v>0.03</v>
      </c>
      <c r="N35" s="168">
        <f>Гипотезы!$E$5</f>
        <v>0.03</v>
      </c>
      <c r="O35" s="168">
        <f>Гипотезы!$E$5</f>
        <v>0.03</v>
      </c>
      <c r="P35" s="168">
        <f>Гипотезы!$E$5</f>
        <v>0.03</v>
      </c>
      <c r="Q35" s="168">
        <f>Гипотезы!$E$5</f>
        <v>0.03</v>
      </c>
      <c r="R35" s="168">
        <f>Гипотезы!$E$5</f>
        <v>0.03</v>
      </c>
      <c r="S35" s="168">
        <f>Гипотезы!$E$5</f>
        <v>0.03</v>
      </c>
      <c r="T35" s="168">
        <f>Гипотезы!$E$5</f>
        <v>0.03</v>
      </c>
      <c r="U35" s="168">
        <f>Гипотезы!$E$5</f>
        <v>0.03</v>
      </c>
      <c r="V35" s="168">
        <f>Гипотезы!$E$5</f>
        <v>0.03</v>
      </c>
      <c r="W35" s="168">
        <f>Гипотезы!$E$5</f>
        <v>0.03</v>
      </c>
      <c r="X35" s="168">
        <f>Гипотезы!$E$5</f>
        <v>0.03</v>
      </c>
      <c r="Y35" s="168">
        <f>Гипотезы!$E$5</f>
        <v>0.03</v>
      </c>
      <c r="Z35" s="168">
        <f>Гипотезы!$E$5</f>
        <v>0.03</v>
      </c>
      <c r="AA35" s="168">
        <f>Гипотезы!$E$5</f>
        <v>0.03</v>
      </c>
      <c r="AB35" s="168">
        <f>Гипотезы!$E$5</f>
        <v>0.03</v>
      </c>
      <c r="AC35" s="168">
        <f>Гипотезы!$E$5</f>
        <v>0.03</v>
      </c>
      <c r="AD35" s="168">
        <f>Гипотезы!$E$5</f>
        <v>0.03</v>
      </c>
      <c r="AE35" s="168">
        <f>Гипотезы!$E$5</f>
        <v>0.03</v>
      </c>
      <c r="AF35" s="168">
        <f>Гипотезы!$E$5</f>
        <v>0.03</v>
      </c>
      <c r="AG35" s="168">
        <f>Гипотезы!$E$5</f>
        <v>0.03</v>
      </c>
      <c r="AH35" s="168">
        <f>Гипотезы!$E$5</f>
        <v>0.03</v>
      </c>
      <c r="AI35" s="168">
        <f>Гипотезы!$E$5</f>
        <v>0.03</v>
      </c>
      <c r="AJ35" s="168">
        <f>Гипотезы!$E$5</f>
        <v>0.03</v>
      </c>
      <c r="AK35" s="168">
        <f>Гипотезы!$E$5</f>
        <v>0.03</v>
      </c>
      <c r="AL35" s="168">
        <f>Гипотезы!$E$5</f>
        <v>0.03</v>
      </c>
      <c r="AM35" s="168">
        <f>Гипотезы!$E$5</f>
        <v>0.03</v>
      </c>
      <c r="AN35" s="168">
        <f>Гипотезы!$E$5</f>
        <v>0.03</v>
      </c>
      <c r="AO35" s="168">
        <f>Гипотезы!$E$5</f>
        <v>0.03</v>
      </c>
      <c r="AP35" s="168">
        <f>Гипотезы!$E$5</f>
        <v>0.03</v>
      </c>
      <c r="AQ35" s="168">
        <f>Гипотезы!$E$5</f>
        <v>0.03</v>
      </c>
      <c r="AR35" s="168">
        <f>Гипотезы!$E$5</f>
        <v>0.03</v>
      </c>
      <c r="AS35" s="168">
        <f>Гипотезы!$E$5</f>
        <v>0.03</v>
      </c>
      <c r="AT35" s="168">
        <f>Гипотезы!$E$5</f>
        <v>0.03</v>
      </c>
      <c r="AU35" s="168">
        <f>Гипотезы!$E$5</f>
        <v>0.03</v>
      </c>
      <c r="AV35" s="168">
        <f>Гипотезы!$E$5</f>
        <v>0.03</v>
      </c>
      <c r="AW35" s="168">
        <f>Гипотезы!$E$5</f>
        <v>0.03</v>
      </c>
      <c r="AX35" s="168">
        <f>Гипотезы!$E$5</f>
        <v>0.03</v>
      </c>
      <c r="AY35" s="168">
        <f>Гипотезы!$E$5</f>
        <v>0.03</v>
      </c>
      <c r="AZ35" s="168">
        <f>Гипотезы!$E$5</f>
        <v>0.03</v>
      </c>
      <c r="BA35" s="168">
        <f>Гипотезы!$E$5</f>
        <v>0.03</v>
      </c>
      <c r="BB35" s="168">
        <f>Гипотезы!$E$5</f>
        <v>0.03</v>
      </c>
      <c r="BC35" s="168">
        <f>Гипотезы!$E$5</f>
        <v>0.03</v>
      </c>
      <c r="BD35" s="168">
        <f>Гипотезы!$E$5</f>
        <v>0.03</v>
      </c>
      <c r="BE35" s="168">
        <f>Гипотезы!$E$5</f>
        <v>0.03</v>
      </c>
      <c r="BF35" s="168">
        <f>Гипотезы!$E$5</f>
        <v>0.03</v>
      </c>
      <c r="BG35" s="168">
        <f>Гипотезы!$E$5</f>
        <v>0.03</v>
      </c>
      <c r="BH35" s="168">
        <f>Гипотезы!$E$5</f>
        <v>0.03</v>
      </c>
      <c r="BI35" s="168">
        <f>Гипотезы!$E$5</f>
        <v>0.03</v>
      </c>
      <c r="BJ35" s="168">
        <f>Гипотезы!$E$5</f>
        <v>0.03</v>
      </c>
      <c r="BK35" s="168">
        <f>Гипотезы!$E$5</f>
        <v>0.03</v>
      </c>
      <c r="BL35" s="170"/>
      <c r="BM35" s="51"/>
      <c r="BN35" s="2"/>
      <c r="BO35" s="51"/>
      <c r="BP35" s="2"/>
      <c r="BQ35" s="51"/>
      <c r="BR35" s="2"/>
      <c r="BS35" s="51"/>
      <c r="BT35" s="2"/>
      <c r="BU35" s="51"/>
      <c r="BV35" s="2"/>
      <c r="BW35" s="19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</row>
    <row r="36" spans="2:87" ht="16" customHeight="1" x14ac:dyDescent="0.2">
      <c r="B36" s="46"/>
      <c r="C36" s="22"/>
      <c r="D36" s="23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2"/>
      <c r="P36" s="23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2"/>
      <c r="AB36" s="23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2"/>
      <c r="AN36" s="23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2"/>
      <c r="AZ36" s="23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2"/>
      <c r="BL36" s="2"/>
      <c r="BM36" s="26"/>
      <c r="BN36" s="2"/>
      <c r="BO36" s="52"/>
      <c r="BP36" s="2"/>
      <c r="BQ36" s="52"/>
      <c r="BR36" s="2"/>
      <c r="BS36" s="52"/>
      <c r="BT36" s="2"/>
      <c r="BU36" s="52"/>
      <c r="BV36" s="2"/>
      <c r="BW36" s="26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</row>
    <row r="37" spans="2:87" ht="16" customHeight="1" x14ac:dyDescent="0.2">
      <c r="B37" s="347"/>
      <c r="C37" s="315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</row>
    <row r="38" spans="2:87" ht="16" customHeight="1" x14ac:dyDescent="0.2">
      <c r="B38" s="354" t="s">
        <v>604</v>
      </c>
      <c r="C38" s="315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2"/>
      <c r="BM38" s="10"/>
      <c r="BN38" s="2"/>
      <c r="BO38" s="10"/>
      <c r="BP38" s="2"/>
      <c r="BQ38" s="10"/>
      <c r="BR38" s="2"/>
      <c r="BS38" s="10"/>
      <c r="BT38" s="2"/>
      <c r="BU38" s="10"/>
      <c r="BV38" s="2"/>
      <c r="BW38" s="10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</row>
    <row r="39" spans="2:87" ht="16" customHeight="1" x14ac:dyDescent="0.2">
      <c r="B39" s="347"/>
      <c r="C39" s="315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</row>
    <row r="40" spans="2:87" ht="16" customHeight="1" x14ac:dyDescent="0.2">
      <c r="B40" s="47"/>
      <c r="C40" s="48"/>
      <c r="D40" s="49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48"/>
      <c r="P40" s="49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48"/>
      <c r="AB40" s="49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48"/>
      <c r="AN40" s="49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48"/>
      <c r="AZ40" s="49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48"/>
      <c r="BL40" s="2"/>
      <c r="BM40" s="50"/>
      <c r="BN40" s="2"/>
      <c r="BO40" s="53"/>
      <c r="BP40" s="2"/>
      <c r="BQ40" s="53"/>
      <c r="BR40" s="2"/>
      <c r="BS40" s="53"/>
      <c r="BT40" s="2"/>
      <c r="BU40" s="53"/>
      <c r="BV40" s="2"/>
      <c r="BW40" s="50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</row>
    <row r="41" spans="2:87" ht="16" customHeight="1" x14ac:dyDescent="0.2">
      <c r="B41" s="37" t="s">
        <v>601</v>
      </c>
      <c r="C41" s="2" t="s">
        <v>605</v>
      </c>
      <c r="D41" s="169">
        <f>1-Гипотезы!$D$3</f>
        <v>0.25</v>
      </c>
      <c r="E41" s="168">
        <f>1-Гипотезы!$D$3</f>
        <v>0.25</v>
      </c>
      <c r="F41" s="168">
        <f>1-Гипотезы!$D$3</f>
        <v>0.25</v>
      </c>
      <c r="G41" s="168">
        <f>1-Гипотезы!$D$3</f>
        <v>0.25</v>
      </c>
      <c r="H41" s="168">
        <f>1-Гипотезы!$D$3</f>
        <v>0.25</v>
      </c>
      <c r="I41" s="168">
        <f>1-Гипотезы!$D$3</f>
        <v>0.25</v>
      </c>
      <c r="J41" s="168">
        <f>1-Гипотезы!$D$3</f>
        <v>0.25</v>
      </c>
      <c r="K41" s="168">
        <f>1-Гипотезы!$D$3</f>
        <v>0.25</v>
      </c>
      <c r="L41" s="168">
        <f>1-Гипотезы!$D$3</f>
        <v>0.25</v>
      </c>
      <c r="M41" s="168">
        <f>1-Гипотезы!$D$3</f>
        <v>0.25</v>
      </c>
      <c r="N41" s="168">
        <f>1-Гипотезы!$D$3</f>
        <v>0.25</v>
      </c>
      <c r="O41" s="168">
        <f>1-Гипотезы!$D$3</f>
        <v>0.25</v>
      </c>
      <c r="P41" s="168">
        <f>1-Гипотезы!$D$3</f>
        <v>0.25</v>
      </c>
      <c r="Q41" s="168">
        <f>1-Гипотезы!$D$3</f>
        <v>0.25</v>
      </c>
      <c r="R41" s="168">
        <f>1-Гипотезы!$D$3</f>
        <v>0.25</v>
      </c>
      <c r="S41" s="168">
        <f>1-Гипотезы!$D$3</f>
        <v>0.25</v>
      </c>
      <c r="T41" s="168">
        <f>1-Гипотезы!$D$3</f>
        <v>0.25</v>
      </c>
      <c r="U41" s="168">
        <f>1-Гипотезы!$D$3</f>
        <v>0.25</v>
      </c>
      <c r="V41" s="168">
        <f>1-Гипотезы!$D$3</f>
        <v>0.25</v>
      </c>
      <c r="W41" s="168">
        <f>1-Гипотезы!$D$3</f>
        <v>0.25</v>
      </c>
      <c r="X41" s="168">
        <f>1-Гипотезы!$D$3</f>
        <v>0.25</v>
      </c>
      <c r="Y41" s="168">
        <f>1-Гипотезы!$D$3</f>
        <v>0.25</v>
      </c>
      <c r="Z41" s="168">
        <f>1-Гипотезы!$D$3</f>
        <v>0.25</v>
      </c>
      <c r="AA41" s="168">
        <f>1-Гипотезы!$D$3</f>
        <v>0.25</v>
      </c>
      <c r="AB41" s="168">
        <f>1-Гипотезы!$D$3</f>
        <v>0.25</v>
      </c>
      <c r="AC41" s="168">
        <f>1-Гипотезы!$D$3</f>
        <v>0.25</v>
      </c>
      <c r="AD41" s="168">
        <f>1-Гипотезы!$D$3</f>
        <v>0.25</v>
      </c>
      <c r="AE41" s="168">
        <f>1-Гипотезы!$D$3</f>
        <v>0.25</v>
      </c>
      <c r="AF41" s="168">
        <f>1-Гипотезы!$D$3</f>
        <v>0.25</v>
      </c>
      <c r="AG41" s="168">
        <f>1-Гипотезы!$D$3</f>
        <v>0.25</v>
      </c>
      <c r="AH41" s="168">
        <f>1-Гипотезы!$D$3</f>
        <v>0.25</v>
      </c>
      <c r="AI41" s="168">
        <f>1-Гипотезы!$D$3</f>
        <v>0.25</v>
      </c>
      <c r="AJ41" s="168">
        <f>1-Гипотезы!$D$3</f>
        <v>0.25</v>
      </c>
      <c r="AK41" s="168">
        <f>1-Гипотезы!$D$3</f>
        <v>0.25</v>
      </c>
      <c r="AL41" s="168">
        <f>1-Гипотезы!$D$3</f>
        <v>0.25</v>
      </c>
      <c r="AM41" s="168">
        <f>1-Гипотезы!$D$3</f>
        <v>0.25</v>
      </c>
      <c r="AN41" s="168">
        <f>1-Гипотезы!$D$3</f>
        <v>0.25</v>
      </c>
      <c r="AO41" s="168">
        <f>1-Гипотезы!$D$3</f>
        <v>0.25</v>
      </c>
      <c r="AP41" s="168">
        <f>1-Гипотезы!$D$3</f>
        <v>0.25</v>
      </c>
      <c r="AQ41" s="168">
        <f>1-Гипотезы!$D$3</f>
        <v>0.25</v>
      </c>
      <c r="AR41" s="168">
        <f>1-Гипотезы!$D$3</f>
        <v>0.25</v>
      </c>
      <c r="AS41" s="168">
        <f>1-Гипотезы!$D$3</f>
        <v>0.25</v>
      </c>
      <c r="AT41" s="168">
        <f>1-Гипотезы!$D$3</f>
        <v>0.25</v>
      </c>
      <c r="AU41" s="168">
        <f>1-Гипотезы!$D$3</f>
        <v>0.25</v>
      </c>
      <c r="AV41" s="168">
        <f>1-Гипотезы!$D$3</f>
        <v>0.25</v>
      </c>
      <c r="AW41" s="168">
        <f>1-Гипотезы!$D$3</f>
        <v>0.25</v>
      </c>
      <c r="AX41" s="168">
        <f>1-Гипотезы!$D$3</f>
        <v>0.25</v>
      </c>
      <c r="AY41" s="168">
        <f>1-Гипотезы!$D$3</f>
        <v>0.25</v>
      </c>
      <c r="AZ41" s="168">
        <f>1-Гипотезы!$D$3</f>
        <v>0.25</v>
      </c>
      <c r="BA41" s="168">
        <f>1-Гипотезы!$D$3</f>
        <v>0.25</v>
      </c>
      <c r="BB41" s="168">
        <f>1-Гипотезы!$D$3</f>
        <v>0.25</v>
      </c>
      <c r="BC41" s="168">
        <f>1-Гипотезы!$D$3</f>
        <v>0.25</v>
      </c>
      <c r="BD41" s="168">
        <f>1-Гипотезы!$D$3</f>
        <v>0.25</v>
      </c>
      <c r="BE41" s="168">
        <f>1-Гипотезы!$D$3</f>
        <v>0.25</v>
      </c>
      <c r="BF41" s="168">
        <f>1-Гипотезы!$D$3</f>
        <v>0.25</v>
      </c>
      <c r="BG41" s="168">
        <f>1-Гипотезы!$D$3</f>
        <v>0.25</v>
      </c>
      <c r="BH41" s="168">
        <f>1-Гипотезы!$D$3</f>
        <v>0.25</v>
      </c>
      <c r="BI41" s="168">
        <f>1-Гипотезы!$D$3</f>
        <v>0.25</v>
      </c>
      <c r="BJ41" s="168">
        <f>1-Гипотезы!$D$3</f>
        <v>0.25</v>
      </c>
      <c r="BK41" s="168">
        <f>1-Гипотезы!$D$3</f>
        <v>0.25</v>
      </c>
      <c r="BL41" s="54"/>
      <c r="BM41" s="55"/>
      <c r="BN41" s="54"/>
      <c r="BO41" s="55"/>
      <c r="BP41" s="54"/>
      <c r="BQ41" s="55"/>
      <c r="BR41" s="54"/>
      <c r="BS41" s="55"/>
      <c r="BT41" s="54"/>
      <c r="BU41" s="55"/>
      <c r="BV41" s="54"/>
      <c r="BW41" s="55"/>
      <c r="BX41" s="54"/>
      <c r="BY41" s="54"/>
      <c r="BZ41" s="54"/>
      <c r="CA41" s="54"/>
      <c r="CB41" s="54"/>
      <c r="CC41" s="54"/>
      <c r="CD41" s="54"/>
      <c r="CE41" s="54"/>
      <c r="CF41" s="54"/>
      <c r="CG41" s="54"/>
      <c r="CH41" s="54"/>
      <c r="CI41" s="54"/>
    </row>
    <row r="42" spans="2:87" ht="16" customHeight="1" x14ac:dyDescent="0.2">
      <c r="B42" s="37" t="s">
        <v>602</v>
      </c>
      <c r="C42" s="2" t="s">
        <v>605</v>
      </c>
      <c r="D42" s="169">
        <f>1-Гипотезы!$D$4</f>
        <v>0.4</v>
      </c>
      <c r="E42" s="168">
        <f>1-Гипотезы!$D$4</f>
        <v>0.4</v>
      </c>
      <c r="F42" s="168">
        <f>1-Гипотезы!$D$4</f>
        <v>0.4</v>
      </c>
      <c r="G42" s="168">
        <f>1-Гипотезы!$D$4</f>
        <v>0.4</v>
      </c>
      <c r="H42" s="168">
        <f>1-Гипотезы!$D$4</f>
        <v>0.4</v>
      </c>
      <c r="I42" s="168">
        <f>1-Гипотезы!$D$4</f>
        <v>0.4</v>
      </c>
      <c r="J42" s="168">
        <f>1-Гипотезы!$D$4</f>
        <v>0.4</v>
      </c>
      <c r="K42" s="168">
        <f>1-Гипотезы!$D$4</f>
        <v>0.4</v>
      </c>
      <c r="L42" s="168">
        <f>1-Гипотезы!$D$4</f>
        <v>0.4</v>
      </c>
      <c r="M42" s="168">
        <f>1-Гипотезы!$D$4</f>
        <v>0.4</v>
      </c>
      <c r="N42" s="168">
        <f>1-Гипотезы!$D$4</f>
        <v>0.4</v>
      </c>
      <c r="O42" s="168">
        <f>1-Гипотезы!$D$4</f>
        <v>0.4</v>
      </c>
      <c r="P42" s="168">
        <f>1-Гипотезы!$D$4</f>
        <v>0.4</v>
      </c>
      <c r="Q42" s="168">
        <f>1-Гипотезы!$D$4</f>
        <v>0.4</v>
      </c>
      <c r="R42" s="168">
        <f>1-Гипотезы!$D$4</f>
        <v>0.4</v>
      </c>
      <c r="S42" s="168">
        <f>1-Гипотезы!$D$4</f>
        <v>0.4</v>
      </c>
      <c r="T42" s="168">
        <f>1-Гипотезы!$D$4</f>
        <v>0.4</v>
      </c>
      <c r="U42" s="168">
        <f>1-Гипотезы!$D$4</f>
        <v>0.4</v>
      </c>
      <c r="V42" s="168">
        <f>1-Гипотезы!$D$4</f>
        <v>0.4</v>
      </c>
      <c r="W42" s="168">
        <f>1-Гипотезы!$D$4</f>
        <v>0.4</v>
      </c>
      <c r="X42" s="168">
        <f>1-Гипотезы!$D$4</f>
        <v>0.4</v>
      </c>
      <c r="Y42" s="168">
        <f>1-Гипотезы!$D$4</f>
        <v>0.4</v>
      </c>
      <c r="Z42" s="168">
        <f>1-Гипотезы!$D$4</f>
        <v>0.4</v>
      </c>
      <c r="AA42" s="168">
        <f>1-Гипотезы!$D$4</f>
        <v>0.4</v>
      </c>
      <c r="AB42" s="168">
        <f>1-Гипотезы!$D$4</f>
        <v>0.4</v>
      </c>
      <c r="AC42" s="168">
        <f>1-Гипотезы!$D$4</f>
        <v>0.4</v>
      </c>
      <c r="AD42" s="168">
        <f>1-Гипотезы!$D$4</f>
        <v>0.4</v>
      </c>
      <c r="AE42" s="168">
        <f>1-Гипотезы!$D$4</f>
        <v>0.4</v>
      </c>
      <c r="AF42" s="168">
        <f>1-Гипотезы!$D$4</f>
        <v>0.4</v>
      </c>
      <c r="AG42" s="168">
        <f>1-Гипотезы!$D$4</f>
        <v>0.4</v>
      </c>
      <c r="AH42" s="168">
        <f>1-Гипотезы!$D$4</f>
        <v>0.4</v>
      </c>
      <c r="AI42" s="168">
        <f>1-Гипотезы!$D$4</f>
        <v>0.4</v>
      </c>
      <c r="AJ42" s="168">
        <f>1-Гипотезы!$D$4</f>
        <v>0.4</v>
      </c>
      <c r="AK42" s="168">
        <f>1-Гипотезы!$D$4</f>
        <v>0.4</v>
      </c>
      <c r="AL42" s="168">
        <f>1-Гипотезы!$D$4</f>
        <v>0.4</v>
      </c>
      <c r="AM42" s="168">
        <f>1-Гипотезы!$D$4</f>
        <v>0.4</v>
      </c>
      <c r="AN42" s="168">
        <f>1-Гипотезы!$D$4</f>
        <v>0.4</v>
      </c>
      <c r="AO42" s="168">
        <f>1-Гипотезы!$D$4</f>
        <v>0.4</v>
      </c>
      <c r="AP42" s="168">
        <f>1-Гипотезы!$D$4</f>
        <v>0.4</v>
      </c>
      <c r="AQ42" s="168">
        <f>1-Гипотезы!$D$4</f>
        <v>0.4</v>
      </c>
      <c r="AR42" s="168">
        <f>1-Гипотезы!$D$4</f>
        <v>0.4</v>
      </c>
      <c r="AS42" s="168">
        <f>1-Гипотезы!$D$4</f>
        <v>0.4</v>
      </c>
      <c r="AT42" s="168">
        <f>1-Гипотезы!$D$4</f>
        <v>0.4</v>
      </c>
      <c r="AU42" s="168">
        <f>1-Гипотезы!$D$4</f>
        <v>0.4</v>
      </c>
      <c r="AV42" s="168">
        <f>1-Гипотезы!$D$4</f>
        <v>0.4</v>
      </c>
      <c r="AW42" s="168">
        <f>1-Гипотезы!$D$4</f>
        <v>0.4</v>
      </c>
      <c r="AX42" s="168">
        <f>1-Гипотезы!$D$4</f>
        <v>0.4</v>
      </c>
      <c r="AY42" s="168">
        <f>1-Гипотезы!$D$4</f>
        <v>0.4</v>
      </c>
      <c r="AZ42" s="168">
        <f>1-Гипотезы!$D$4</f>
        <v>0.4</v>
      </c>
      <c r="BA42" s="168">
        <f>1-Гипотезы!$D$4</f>
        <v>0.4</v>
      </c>
      <c r="BB42" s="168">
        <f>1-Гипотезы!$D$4</f>
        <v>0.4</v>
      </c>
      <c r="BC42" s="168">
        <f>1-Гипотезы!$D$4</f>
        <v>0.4</v>
      </c>
      <c r="BD42" s="168">
        <f>1-Гипотезы!$D$4</f>
        <v>0.4</v>
      </c>
      <c r="BE42" s="168">
        <f>1-Гипотезы!$D$4</f>
        <v>0.4</v>
      </c>
      <c r="BF42" s="168">
        <f>1-Гипотезы!$D$4</f>
        <v>0.4</v>
      </c>
      <c r="BG42" s="168">
        <f>1-Гипотезы!$D$4</f>
        <v>0.4</v>
      </c>
      <c r="BH42" s="168">
        <f>1-Гипотезы!$D$4</f>
        <v>0.4</v>
      </c>
      <c r="BI42" s="168">
        <f>1-Гипотезы!$D$4</f>
        <v>0.4</v>
      </c>
      <c r="BJ42" s="168">
        <f>1-Гипотезы!$D$4</f>
        <v>0.4</v>
      </c>
      <c r="BK42" s="168">
        <f>1-Гипотезы!$D$4</f>
        <v>0.4</v>
      </c>
      <c r="BL42" s="54"/>
      <c r="BM42" s="55"/>
      <c r="BN42" s="54"/>
      <c r="BO42" s="55"/>
      <c r="BP42" s="54"/>
      <c r="BQ42" s="55"/>
      <c r="BR42" s="54"/>
      <c r="BS42" s="55"/>
      <c r="BT42" s="54"/>
      <c r="BU42" s="55"/>
      <c r="BV42" s="54"/>
      <c r="BW42" s="55"/>
      <c r="BX42" s="54"/>
      <c r="BY42" s="54"/>
      <c r="BZ42" s="54"/>
      <c r="CA42" s="54"/>
      <c r="CB42" s="54"/>
      <c r="CC42" s="54"/>
      <c r="CD42" s="54"/>
      <c r="CE42" s="54"/>
      <c r="CF42" s="54"/>
      <c r="CG42" s="54"/>
      <c r="CH42" s="54"/>
      <c r="CI42" s="54"/>
    </row>
    <row r="43" spans="2:87" ht="16" customHeight="1" x14ac:dyDescent="0.2">
      <c r="B43" s="37" t="s">
        <v>603</v>
      </c>
      <c r="C43" s="2" t="s">
        <v>605</v>
      </c>
      <c r="D43" s="169">
        <f>1-Гипотезы!$D$5</f>
        <v>0.6</v>
      </c>
      <c r="E43" s="168">
        <f>1-Гипотезы!$D$5</f>
        <v>0.6</v>
      </c>
      <c r="F43" s="168">
        <f>1-Гипотезы!$D$5</f>
        <v>0.6</v>
      </c>
      <c r="G43" s="168">
        <f>1-Гипотезы!$D$5</f>
        <v>0.6</v>
      </c>
      <c r="H43" s="168">
        <f>1-Гипотезы!$D$5</f>
        <v>0.6</v>
      </c>
      <c r="I43" s="168">
        <f>1-Гипотезы!$D$5</f>
        <v>0.6</v>
      </c>
      <c r="J43" s="168">
        <f>1-Гипотезы!$D$5</f>
        <v>0.6</v>
      </c>
      <c r="K43" s="168">
        <f>1-Гипотезы!$D$5</f>
        <v>0.6</v>
      </c>
      <c r="L43" s="168">
        <f>1-Гипотезы!$D$5</f>
        <v>0.6</v>
      </c>
      <c r="M43" s="168">
        <f>1-Гипотезы!$D$5</f>
        <v>0.6</v>
      </c>
      <c r="N43" s="168">
        <f>1-Гипотезы!$D$5</f>
        <v>0.6</v>
      </c>
      <c r="O43" s="168">
        <f>1-Гипотезы!$D$5</f>
        <v>0.6</v>
      </c>
      <c r="P43" s="168">
        <f>1-Гипотезы!$D$5</f>
        <v>0.6</v>
      </c>
      <c r="Q43" s="168">
        <f>1-Гипотезы!$D$5</f>
        <v>0.6</v>
      </c>
      <c r="R43" s="168">
        <f>1-Гипотезы!$D$5</f>
        <v>0.6</v>
      </c>
      <c r="S43" s="168">
        <f>1-Гипотезы!$D$5</f>
        <v>0.6</v>
      </c>
      <c r="T43" s="168">
        <f>1-Гипотезы!$D$5</f>
        <v>0.6</v>
      </c>
      <c r="U43" s="168">
        <f>1-Гипотезы!$D$5</f>
        <v>0.6</v>
      </c>
      <c r="V43" s="168">
        <f>1-Гипотезы!$D$5</f>
        <v>0.6</v>
      </c>
      <c r="W43" s="168">
        <f>1-Гипотезы!$D$5</f>
        <v>0.6</v>
      </c>
      <c r="X43" s="168">
        <f>1-Гипотезы!$D$5</f>
        <v>0.6</v>
      </c>
      <c r="Y43" s="168">
        <f>1-Гипотезы!$D$5</f>
        <v>0.6</v>
      </c>
      <c r="Z43" s="168">
        <f>1-Гипотезы!$D$5</f>
        <v>0.6</v>
      </c>
      <c r="AA43" s="168">
        <f>1-Гипотезы!$D$5</f>
        <v>0.6</v>
      </c>
      <c r="AB43" s="168">
        <f>1-Гипотезы!$D$5</f>
        <v>0.6</v>
      </c>
      <c r="AC43" s="168">
        <f>1-Гипотезы!$D$5</f>
        <v>0.6</v>
      </c>
      <c r="AD43" s="168">
        <f>1-Гипотезы!$D$5</f>
        <v>0.6</v>
      </c>
      <c r="AE43" s="168">
        <f>1-Гипотезы!$D$5</f>
        <v>0.6</v>
      </c>
      <c r="AF43" s="168">
        <f>1-Гипотезы!$D$5</f>
        <v>0.6</v>
      </c>
      <c r="AG43" s="168">
        <f>1-Гипотезы!$D$5</f>
        <v>0.6</v>
      </c>
      <c r="AH43" s="168">
        <f>1-Гипотезы!$D$5</f>
        <v>0.6</v>
      </c>
      <c r="AI43" s="168">
        <f>1-Гипотезы!$D$5</f>
        <v>0.6</v>
      </c>
      <c r="AJ43" s="168">
        <f>1-Гипотезы!$D$5</f>
        <v>0.6</v>
      </c>
      <c r="AK43" s="168">
        <f>1-Гипотезы!$D$5</f>
        <v>0.6</v>
      </c>
      <c r="AL43" s="168">
        <f>1-Гипотезы!$D$5</f>
        <v>0.6</v>
      </c>
      <c r="AM43" s="168">
        <f>1-Гипотезы!$D$5</f>
        <v>0.6</v>
      </c>
      <c r="AN43" s="168">
        <f>1-Гипотезы!$D$5</f>
        <v>0.6</v>
      </c>
      <c r="AO43" s="168">
        <f>1-Гипотезы!$D$5</f>
        <v>0.6</v>
      </c>
      <c r="AP43" s="168">
        <f>1-Гипотезы!$D$5</f>
        <v>0.6</v>
      </c>
      <c r="AQ43" s="168">
        <f>1-Гипотезы!$D$5</f>
        <v>0.6</v>
      </c>
      <c r="AR43" s="168">
        <f>1-Гипотезы!$D$5</f>
        <v>0.6</v>
      </c>
      <c r="AS43" s="168">
        <f>1-Гипотезы!$D$5</f>
        <v>0.6</v>
      </c>
      <c r="AT43" s="168">
        <f>1-Гипотезы!$D$5</f>
        <v>0.6</v>
      </c>
      <c r="AU43" s="168">
        <f>1-Гипотезы!$D$5</f>
        <v>0.6</v>
      </c>
      <c r="AV43" s="168">
        <f>1-Гипотезы!$D$5</f>
        <v>0.6</v>
      </c>
      <c r="AW43" s="168">
        <f>1-Гипотезы!$D$5</f>
        <v>0.6</v>
      </c>
      <c r="AX43" s="168">
        <f>1-Гипотезы!$D$5</f>
        <v>0.6</v>
      </c>
      <c r="AY43" s="168">
        <f>1-Гипотезы!$D$5</f>
        <v>0.6</v>
      </c>
      <c r="AZ43" s="168">
        <f>1-Гипотезы!$D$5</f>
        <v>0.6</v>
      </c>
      <c r="BA43" s="168">
        <f>1-Гипотезы!$D$5</f>
        <v>0.6</v>
      </c>
      <c r="BB43" s="168">
        <f>1-Гипотезы!$D$5</f>
        <v>0.6</v>
      </c>
      <c r="BC43" s="168">
        <f>1-Гипотезы!$D$5</f>
        <v>0.6</v>
      </c>
      <c r="BD43" s="168">
        <f>1-Гипотезы!$D$5</f>
        <v>0.6</v>
      </c>
      <c r="BE43" s="168">
        <f>1-Гипотезы!$D$5</f>
        <v>0.6</v>
      </c>
      <c r="BF43" s="168">
        <f>1-Гипотезы!$D$5</f>
        <v>0.6</v>
      </c>
      <c r="BG43" s="168">
        <f>1-Гипотезы!$D$5</f>
        <v>0.6</v>
      </c>
      <c r="BH43" s="168">
        <f>1-Гипотезы!$D$5</f>
        <v>0.6</v>
      </c>
      <c r="BI43" s="168">
        <f>1-Гипотезы!$D$5</f>
        <v>0.6</v>
      </c>
      <c r="BJ43" s="168">
        <f>1-Гипотезы!$D$5</f>
        <v>0.6</v>
      </c>
      <c r="BK43" s="168">
        <f>1-Гипотезы!$D$5</f>
        <v>0.6</v>
      </c>
      <c r="BL43" s="54"/>
      <c r="BM43" s="55"/>
      <c r="BN43" s="54"/>
      <c r="BO43" s="55"/>
      <c r="BP43" s="54"/>
      <c r="BQ43" s="55"/>
      <c r="BR43" s="54"/>
      <c r="BS43" s="55"/>
      <c r="BT43" s="54"/>
      <c r="BU43" s="55"/>
      <c r="BV43" s="54"/>
      <c r="BW43" s="55"/>
      <c r="BX43" s="54"/>
      <c r="BY43" s="54"/>
      <c r="BZ43" s="54"/>
      <c r="CA43" s="54"/>
      <c r="CB43" s="54"/>
      <c r="CC43" s="54"/>
      <c r="CD43" s="54"/>
      <c r="CE43" s="54"/>
      <c r="CF43" s="54"/>
      <c r="CG43" s="54"/>
      <c r="CH43" s="54"/>
      <c r="CI43" s="54"/>
    </row>
    <row r="44" spans="2:87" ht="16" customHeight="1" x14ac:dyDescent="0.2">
      <c r="B44" s="56"/>
      <c r="C44" s="57"/>
      <c r="D44" s="23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2"/>
      <c r="P44" s="23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2"/>
      <c r="AB44" s="23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2"/>
      <c r="AN44" s="23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2"/>
      <c r="AZ44" s="23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2"/>
      <c r="BL44" s="54"/>
      <c r="BM44" s="58"/>
      <c r="BN44" s="54"/>
      <c r="BO44" s="58"/>
      <c r="BP44" s="54"/>
      <c r="BQ44" s="58"/>
      <c r="BR44" s="54"/>
      <c r="BS44" s="58"/>
      <c r="BT44" s="54"/>
      <c r="BU44" s="58"/>
      <c r="BV44" s="54"/>
      <c r="BW44" s="58"/>
      <c r="BX44" s="54"/>
      <c r="BY44" s="54"/>
      <c r="BZ44" s="54"/>
      <c r="CA44" s="54"/>
      <c r="CB44" s="54"/>
      <c r="CC44" s="54"/>
      <c r="CD44" s="54"/>
      <c r="CE44" s="54"/>
      <c r="CF44" s="54"/>
      <c r="CG44" s="54"/>
      <c r="CH44" s="54"/>
      <c r="CI44" s="54"/>
    </row>
    <row r="45" spans="2:87" ht="16" customHeight="1" x14ac:dyDescent="0.2">
      <c r="B45" s="347"/>
      <c r="C45" s="315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</row>
    <row r="46" spans="2:87" ht="16" customHeight="1" x14ac:dyDescent="0.2">
      <c r="B46" s="354" t="s">
        <v>606</v>
      </c>
      <c r="C46" s="315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2"/>
      <c r="BM46" s="10"/>
      <c r="BN46" s="2"/>
      <c r="BO46" s="10"/>
      <c r="BP46" s="2"/>
      <c r="BQ46" s="10"/>
      <c r="BR46" s="2"/>
      <c r="BS46" s="10"/>
      <c r="BT46" s="2"/>
      <c r="BU46" s="10"/>
      <c r="BV46" s="2"/>
      <c r="BW46" s="10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</row>
    <row r="47" spans="2:87" ht="16" customHeight="1" x14ac:dyDescent="0.2">
      <c r="B47" s="165" t="s">
        <v>607</v>
      </c>
      <c r="C47" s="166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</row>
    <row r="48" spans="2:87" ht="16" customHeight="1" x14ac:dyDescent="0.2">
      <c r="B48" s="17" t="s">
        <v>573</v>
      </c>
      <c r="C48" s="167" t="s">
        <v>591</v>
      </c>
      <c r="D48" s="2">
        <f>D19+D19*(1+D35)*(1-D43)*Гипотезы!$J$5</f>
        <v>3370.8</v>
      </c>
      <c r="E48" s="2">
        <f>E19+E19*(1+E35)*(1-E43)*Гипотезы!$J$5</f>
        <v>6741.6</v>
      </c>
      <c r="F48" s="2">
        <f>F19+F19*(1+F35)*(1-F43)*Гипотезы!$J$5</f>
        <v>6741.6</v>
      </c>
      <c r="G48" s="2">
        <f>G19+G19*(1+G35)*(1-G43)*Гипотезы!$J$5</f>
        <v>6741.6</v>
      </c>
      <c r="H48" s="2">
        <f>H19+H19*(1+H35)*(1-H43)*Гипотезы!$J$5</f>
        <v>6741.6</v>
      </c>
      <c r="I48" s="2">
        <f>I19+I19*(1+I35)*(1-I43)*Гипотезы!$J$5</f>
        <v>6741.6</v>
      </c>
      <c r="J48" s="2">
        <f>J19+J19*(1+J35)*(1-J43)*Гипотезы!$J$5</f>
        <v>6741.6</v>
      </c>
      <c r="K48" s="2">
        <f>K19+K19*(1+K35)*(1-K43)*Гипотезы!$J$5</f>
        <v>6741.6</v>
      </c>
      <c r="L48" s="2">
        <f>L19+L19*(1+L35)*(1-L43)*Гипотезы!$J$5</f>
        <v>6741.6</v>
      </c>
      <c r="M48" s="2">
        <f>M19+M19*(1+M35)*(1-M43)*Гипотезы!$J$5</f>
        <v>6741.6</v>
      </c>
      <c r="N48" s="2">
        <f>N19+N19*(1+N35)*(1-N43)*Гипотезы!$J$5</f>
        <v>8089.92</v>
      </c>
      <c r="O48" s="2">
        <f>O19+O19*(1+O35)*(1-O43)*Гипотезы!$J$5</f>
        <v>8089.92</v>
      </c>
      <c r="P48" s="2">
        <f>P19+P19*(1+P35)*(1-P43)*Гипотезы!$K$5</f>
        <v>4236</v>
      </c>
      <c r="Q48" s="2">
        <f>Q19+Q19*(1+Q35)*(1-Q43)*Гипотезы!$K$5</f>
        <v>8472</v>
      </c>
      <c r="R48" s="2">
        <f>R19+R19*(1+R35)*(1-R43)*Гипотезы!$K$5</f>
        <v>8472</v>
      </c>
      <c r="S48" s="2">
        <f>S19+S19*(1+S35)*(1-S43)*Гипотезы!$K$5</f>
        <v>8472</v>
      </c>
      <c r="T48" s="2">
        <f>T19+T19*(1+T35)*(1-T43)*Гипотезы!$K$5</f>
        <v>8472</v>
      </c>
      <c r="U48" s="2">
        <f>U19+U19*(1+U35)*(1-U43)*Гипотезы!$K$5</f>
        <v>8472</v>
      </c>
      <c r="V48" s="2">
        <f>V19+V19*(1+V35)*(1-V43)*Гипотезы!$K$5</f>
        <v>8472</v>
      </c>
      <c r="W48" s="2">
        <f>W19+W19*(1+W35)*(1-W43)*Гипотезы!$K$5</f>
        <v>8472</v>
      </c>
      <c r="X48" s="2">
        <f>X19+X19*(1+X35)*(1-X43)*Гипотезы!$K$5</f>
        <v>8472</v>
      </c>
      <c r="Y48" s="2">
        <f>Y19+Y19*(1+Y35)*(1-Y43)*Гипотезы!$K$5</f>
        <v>8472</v>
      </c>
      <c r="Z48" s="2">
        <f>Z19+Z19*(1+Z35)*(1-Z43)*Гипотезы!$K$5</f>
        <v>10166.4</v>
      </c>
      <c r="AA48" s="2">
        <f>AA19+AA19*(1+AA35)*(1-AA43)*Гипотезы!$K$5</f>
        <v>10166.4</v>
      </c>
      <c r="AB48" s="2">
        <f>AB19+AB19*(1+AB35)*(1-AB43)*Гипотезы!$L$5</f>
        <v>4236</v>
      </c>
      <c r="AC48" s="2">
        <f>AC19+AC19*(1+AC35)*(1-AC43)*Гипотезы!$L$5</f>
        <v>8472</v>
      </c>
      <c r="AD48" s="2">
        <f>AD19+AD19*(1+AD35)*(1-AD43)*Гипотезы!$L$5</f>
        <v>8472</v>
      </c>
      <c r="AE48" s="2">
        <f>AE19+AE19*(1+AE35)*(1-AE43)*Гипотезы!$L$5</f>
        <v>8472</v>
      </c>
      <c r="AF48" s="2">
        <f>AF19+AF19*(1+AF35)*(1-AF43)*Гипотезы!$L$5</f>
        <v>8472</v>
      </c>
      <c r="AG48" s="2">
        <f>AG19+AG19*(1+AG35)*(1-AG43)*Гипотезы!$L$5</f>
        <v>8472</v>
      </c>
      <c r="AH48" s="2">
        <f>AH19+AH19*(1+AH35)*(1-AH43)*Гипотезы!$L$5</f>
        <v>8472</v>
      </c>
      <c r="AI48" s="2">
        <f>AI19+AI19*(1+AI35)*(1-AI43)*Гипотезы!$L$5</f>
        <v>8472</v>
      </c>
      <c r="AJ48" s="2">
        <f>AJ19+AJ19*(1+AJ35)*(1-AJ43)*Гипотезы!$L$5</f>
        <v>8472</v>
      </c>
      <c r="AK48" s="2">
        <f>AK19+AK19*(1+AK35)*(1-AK43)*Гипотезы!$L$5</f>
        <v>8472</v>
      </c>
      <c r="AL48" s="2">
        <f>AL19+AL19*(1+AL35)*(1-AL43)*Гипотезы!$L$5</f>
        <v>10166.4</v>
      </c>
      <c r="AM48" s="2">
        <f>AM19+AM19*(1+AM35)*(1-AM43)*Гипотезы!$L$5</f>
        <v>10166.4</v>
      </c>
      <c r="AN48" s="2">
        <f>AN19+AN19*(1+AN35)*(1-AN43)*Гипотезы!$M$5</f>
        <v>4236</v>
      </c>
      <c r="AO48" s="2">
        <f>AO19+AO19*(1+AO35)*(1-AO43)*Гипотезы!$M$5</f>
        <v>8472</v>
      </c>
      <c r="AP48" s="2">
        <f>AP19+AP19*(1+AP35)*(1-AP43)*Гипотезы!$M$5</f>
        <v>8472</v>
      </c>
      <c r="AQ48" s="2">
        <f>AQ19+AQ19*(1+AQ35)*(1-AQ43)*Гипотезы!$M$5</f>
        <v>8472</v>
      </c>
      <c r="AR48" s="2">
        <f>AR19+AR19*(1+AR35)*(1-AR43)*Гипотезы!$M$5</f>
        <v>8472</v>
      </c>
      <c r="AS48" s="2">
        <f>AS19+AS19*(1+AS35)*(1-AS43)*Гипотезы!$M$5</f>
        <v>8472</v>
      </c>
      <c r="AT48" s="2">
        <f>AT19+AT19*(1+AT35)*(1-AT43)*Гипотезы!$M$5</f>
        <v>8472</v>
      </c>
      <c r="AU48" s="2">
        <f>AU19+AU19*(1+AU35)*(1-AU43)*Гипотезы!$M$5</f>
        <v>8472</v>
      </c>
      <c r="AV48" s="2">
        <f>AV19+AV19*(1+AV35)*(1-AV43)*Гипотезы!$M$5</f>
        <v>8472</v>
      </c>
      <c r="AW48" s="2">
        <f>AW19+AW19*(1+AW35)*(1-AW43)*Гипотезы!$M$5</f>
        <v>8472</v>
      </c>
      <c r="AX48" s="2">
        <f>AX19+AX19*(1+AX35)*(1-AX43)*Гипотезы!$M$5</f>
        <v>10166.4</v>
      </c>
      <c r="AY48" s="2">
        <f>AY19+AY19*(1+AY35)*(1-AY43)*Гипотезы!$M$5</f>
        <v>10166.4</v>
      </c>
      <c r="AZ48" s="2">
        <f>AZ19+AZ19*(1+AZ35)*(1-AZ43)*Гипотезы!$N$5</f>
        <v>4236</v>
      </c>
      <c r="BA48" s="2">
        <f>BA19+BA19*(1+BA35)*(1-BA43)*Гипотезы!$N$5</f>
        <v>8472</v>
      </c>
      <c r="BB48" s="2">
        <f>BB19+BB19*(1+BB35)*(1-BB43)*Гипотезы!$N$5</f>
        <v>8472</v>
      </c>
      <c r="BC48" s="2">
        <f>BC19+BC19*(1+BC35)*(1-BC43)*Гипотезы!$N$5</f>
        <v>8472</v>
      </c>
      <c r="BD48" s="2">
        <f>BD19+BD19*(1+BD35)*(1-BD43)*Гипотезы!$N$5</f>
        <v>8472</v>
      </c>
      <c r="BE48" s="2">
        <f>BE19+BE19*(1+BE35)*(1-BE43)*Гипотезы!$N$5</f>
        <v>8472</v>
      </c>
      <c r="BF48" s="2">
        <f>BF19+BF19*(1+BF35)*(1-BF43)*Гипотезы!$N$5</f>
        <v>8472</v>
      </c>
      <c r="BG48" s="2">
        <f>BG19+BG19*(1+BG35)*(1-BG43)*Гипотезы!$N$5</f>
        <v>8472</v>
      </c>
      <c r="BH48" s="2">
        <f>BH19+BH19*(1+BH35)*(1-BH43)*Гипотезы!$N$5</f>
        <v>8472</v>
      </c>
      <c r="BI48" s="2">
        <f>BI19+BI19*(1+BI35)*(1-BI43)*Гипотезы!$N$5</f>
        <v>8472</v>
      </c>
      <c r="BJ48" s="2">
        <f>BJ19+BJ19*(1+BJ35)*(1-BJ43)*Гипотезы!$N$5</f>
        <v>10166.4</v>
      </c>
      <c r="BK48" s="92">
        <f>BK19+BK19*(1+BK35)*(1-BK43)*Гипотезы!$N$5</f>
        <v>10166.4</v>
      </c>
      <c r="BL48" s="2"/>
      <c r="BM48" s="103">
        <f>SUMIF($D$2:$BK$2,BM$2,$D48:$BK48)</f>
        <v>80225.039999999994</v>
      </c>
      <c r="BN48" s="2"/>
      <c r="BO48" s="182">
        <f>SUMIF($D$2:$BK$2,BO$2,$D48:$BK48)</f>
        <v>100816.79999999999</v>
      </c>
      <c r="BP48" s="2"/>
      <c r="BQ48" s="185">
        <f>SUMIF($D$2:$BK$2,BQ$2,$D48:$BK48)</f>
        <v>100816.79999999999</v>
      </c>
      <c r="BR48" s="2"/>
      <c r="BS48" s="185">
        <f>SUMIF($D$2:$BK$2,BS$2,$D48:$BK48)</f>
        <v>100816.79999999999</v>
      </c>
      <c r="BT48" s="2"/>
      <c r="BU48" s="185">
        <f>SUMIF($D$2:$BK$2,BU$2,$D48:$BK48)</f>
        <v>100816.79999999999</v>
      </c>
      <c r="BV48" s="2"/>
      <c r="BW48" s="185">
        <f>BM48+BO48+BQ48+BS48+BU48</f>
        <v>483492.23999999993</v>
      </c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</row>
    <row r="49" spans="1:87" ht="16" customHeight="1" x14ac:dyDescent="0.2">
      <c r="B49" s="38" t="s">
        <v>594</v>
      </c>
      <c r="C49" s="167" t="s">
        <v>584</v>
      </c>
      <c r="D49" s="96">
        <f>D22+D22*D33*(1-D41)*Гипотезы!$J$3+D22*D34*(1-D42)*Гипотезы!$J$4</f>
        <v>0.76912499999999995</v>
      </c>
      <c r="E49" s="96">
        <f>E22+E22*E33*(1-E41)*Гипотезы!$J$3+E22*E34*(1-E42)*Гипотезы!$J$4</f>
        <v>0.77164291510998373</v>
      </c>
      <c r="F49" s="96">
        <f>F22+F22*F33*(1-F41)*Гипотезы!$J$3+F22*F34*(1-F42)*Гипотезы!$J$4</f>
        <v>0.77416907321883111</v>
      </c>
      <c r="G49" s="96">
        <f>G22+G22*G33*(1-G41)*Гипотезы!$J$3+G22*G34*(1-G42)*Гипотезы!$J$4</f>
        <v>0.77670350131197563</v>
      </c>
      <c r="H49" s="96">
        <f>H22+H22*H33*(1-H41)*Гипотезы!$J$3+H22*H34*(1-H42)*Гипотезы!$J$4</f>
        <v>0.77924622646319386</v>
      </c>
      <c r="I49" s="96">
        <f>I22+I22*I33*(1-I41)*Гипотезы!$J$3+I22*I34*(1-I42)*Гипотезы!$J$4</f>
        <v>0.78179727583489467</v>
      </c>
      <c r="J49" s="96">
        <f>J22+J22*J33*(1-J41)*Гипотезы!$J$3+J22*J34*(1-J42)*Гипотезы!$J$4</f>
        <v>0.78435667667841014</v>
      </c>
      <c r="K49" s="96">
        <f>K22+K22*K33*(1-K41)*Гипотезы!$J$3+K22*K34*(1-K42)*Гипотезы!$J$4</f>
        <v>0.78692445633428554</v>
      </c>
      <c r="L49" s="96">
        <f>L22+L22*L33*(1-L41)*Гипотезы!$J$3+L22*L34*(1-L42)*Гипотезы!$J$4</f>
        <v>0.78950064223257232</v>
      </c>
      <c r="M49" s="96">
        <f>M22+M22*M33*(1-M41)*Гипотезы!$J$3+M22*M34*(1-M42)*Гипотезы!$J$4</f>
        <v>0.79208526189312078</v>
      </c>
      <c r="N49" s="96">
        <f>N22+N22*N33*(1-N41)*Гипотезы!$J$3+N22*N34*(1-N42)*Гипотезы!$J$4</f>
        <v>0.7946783429258738</v>
      </c>
      <c r="O49" s="96">
        <f>O22+O22*O33*(1-O41)*Гипотезы!$J$3+O22*O34*(1-O42)*Гипотезы!$J$4</f>
        <v>0.79727991303116219</v>
      </c>
      <c r="P49" s="96">
        <f>P22+P22*P33*(1-P41)*Гипотезы!$K$3+P22*P34*(1-P42)*Гипотезы!$K$4</f>
        <v>0.83265000000000045</v>
      </c>
      <c r="Q49" s="96">
        <f>Q22+Q22*Q33*(1-Q41)*Гипотезы!$K$3+Q22*Q34*(1-Q42)*Гипотезы!$K$4</f>
        <v>0.8353758794296483</v>
      </c>
      <c r="R49" s="96">
        <f>R22+R22*R33*(1-R41)*Гипотезы!$K$3+R22*R34*(1-R42)*Гипотезы!$K$4</f>
        <v>0.83811068267922662</v>
      </c>
      <c r="S49" s="96">
        <f>S22+S22*S33*(1-S41)*Гипотезы!$K$3+S22*S34*(1-S42)*Гипотезы!$K$4</f>
        <v>0.84085443896299961</v>
      </c>
      <c r="T49" s="96">
        <f>T22+T22*T33*(1-T41)*Гипотезы!$K$3+T22*T34*(1-T42)*Гипотезы!$K$4</f>
        <v>0.84360717759087123</v>
      </c>
      <c r="U49" s="96">
        <f>U22+U22*U33*(1-U41)*Гипотезы!$K$3+U22*U34*(1-U42)*Гипотезы!$K$4</f>
        <v>0.846368927968699</v>
      </c>
      <c r="V49" s="96">
        <f>V22+V22*V33*(1-V41)*Гипотезы!$K$3+V22*V34*(1-V42)*Гипотезы!$K$4</f>
        <v>0.84913971959860723</v>
      </c>
      <c r="W49" s="96">
        <f>W22+W22*W33*(1-W41)*Гипотезы!$K$3+W22*W34*(1-W42)*Гипотезы!$K$4</f>
        <v>0.85191958207930252</v>
      </c>
      <c r="X49" s="96">
        <f>X22+X22*X33*(1-X41)*Гипотезы!$K$3+X22*X34*(1-X42)*Гипотезы!$K$4</f>
        <v>0.85470854510638983</v>
      </c>
      <c r="Y49" s="96">
        <f>Y22+Y22*Y33*(1-Y41)*Гипотезы!$K$3+Y22*Y34*(1-Y42)*Гипотезы!$K$4</f>
        <v>0.85750663847268993</v>
      </c>
      <c r="Z49" s="96">
        <f>Z22+Z22*Z33*(1-Z41)*Гипотезы!$K$3+Z22*Z34*(1-Z42)*Гипотезы!$K$4</f>
        <v>0.86031389206855768</v>
      </c>
      <c r="AA49" s="96">
        <f>AA22+AA22*AA33*(1-AA41)*Гипотезы!$K$3+AA22*AA34*(1-AA42)*Гипотезы!$K$4</f>
        <v>0.86313033588220101</v>
      </c>
      <c r="AB49" s="96">
        <f>AB22+AB22*AB33*(1-AB41)*Гипотезы!$L$3+AB22*AB34*(1-AB42)*Гипотезы!$L$4</f>
        <v>0.89637600000000128</v>
      </c>
      <c r="AC49" s="96">
        <f>AC22+AC22*AC33*(1-AC41)*Гипотезы!$L$3+AC22*AC34*(1-AC42)*Гипотезы!$L$4</f>
        <v>0.89931050177100968</v>
      </c>
      <c r="AD49" s="96">
        <f>AD22+AD22*AD33*(1-AD41)*Гипотезы!$L$3+AD22*AD34*(1-AD42)*Гипотезы!$L$4</f>
        <v>0.90225461033720666</v>
      </c>
      <c r="AE49" s="96">
        <f>AE22+AE22*AE33*(1-AE41)*Гипотезы!$L$3+AE22*AE34*(1-AE42)*Гипотезы!$L$4</f>
        <v>0.90520835714873993</v>
      </c>
      <c r="AF49" s="96">
        <f>AF22+AF22*AF33*(1-AF41)*Гипотезы!$L$3+AF22*AF34*(1-AF42)*Гипотезы!$L$4</f>
        <v>0.90817177375871672</v>
      </c>
      <c r="AG49" s="96">
        <f>AG22+AG22*AG33*(1-AG41)*Гипотезы!$L$3+AG22*AG34*(1-AG42)*Гипотезы!$L$4</f>
        <v>0.91114489182354075</v>
      </c>
      <c r="AH49" s="96">
        <f>AH22+AH22*AH33*(1-AH41)*Гипотезы!$L$3+AH22*AH34*(1-AH42)*Гипотезы!$L$4</f>
        <v>0.91412774310325084</v>
      </c>
      <c r="AI49" s="96">
        <f>AI22+AI22*AI33*(1-AI41)*Гипотезы!$L$3+AI22*AI34*(1-AI42)*Гипотезы!$L$4</f>
        <v>0.91712035946185966</v>
      </c>
      <c r="AJ49" s="96">
        <f>AJ22+AJ22*AJ33*(1-AJ41)*Гипотезы!$L$3+AJ22*AJ34*(1-AJ42)*Гипотезы!$L$4</f>
        <v>0.92012277286769451</v>
      </c>
      <c r="AK49" s="96">
        <f>AK22+AK22*AK33*(1-AK41)*Гипотезы!$L$3+AK22*AK34*(1-AK42)*Гипотезы!$L$4</f>
        <v>0.92313501539373877</v>
      </c>
      <c r="AL49" s="96">
        <f>AL22+AL22*AL33*(1-AL41)*Гипотезы!$L$3+AL22*AL34*(1-AL42)*Гипотезы!$L$4</f>
        <v>0.92615711921797395</v>
      </c>
      <c r="AM49" s="96">
        <f>AM22+AM22*AM33*(1-AM41)*Гипотезы!$L$3+AM22*AM34*(1-AM42)*Гипотезы!$L$4</f>
        <v>0.9291891166237245</v>
      </c>
      <c r="AN49" s="96">
        <f>AN22+AN22*AN33*(1-AN41)*Гипотезы!$M$3+AN22*AN34*(1-AN42)*Гипотезы!$M$4</f>
        <v>0.9322310400000019</v>
      </c>
      <c r="AO49" s="96">
        <f>AO22+AO22*AO33*(1-AO41)*Гипотезы!$M$3+AO22*AO34*(1-AO42)*Гипотезы!$M$4</f>
        <v>0.93528292184185058</v>
      </c>
      <c r="AP49" s="96">
        <f>AP22+AP22*AP33*(1-AP41)*Гипотезы!$M$3+AP22*AP34*(1-AP42)*Гипотезы!$M$4</f>
        <v>0.93834479475069543</v>
      </c>
      <c r="AQ49" s="96">
        <f>AQ22+AQ22*AQ33*(1-AQ41)*Гипотезы!$M$3+AQ22*AQ34*(1-AQ42)*Гипотезы!$M$4</f>
        <v>0.94141669143468998</v>
      </c>
      <c r="AR49" s="96">
        <f>AR22+AR22*AR33*(1-AR41)*Гипотезы!$M$3+AR22*AR34*(1-AR42)*Гипотезы!$M$4</f>
        <v>0.94449864470906586</v>
      </c>
      <c r="AS49" s="96">
        <f>AS22+AS22*AS33*(1-AS41)*Гипотезы!$M$3+AS22*AS34*(1-AS42)*Гипотезы!$M$4</f>
        <v>0.9475906874964829</v>
      </c>
      <c r="AT49" s="96">
        <f>AT22+AT22*AT33*(1-AT41)*Гипотезы!$M$3+AT22*AT34*(1-AT42)*Гипотезы!$M$4</f>
        <v>0.95069285282738147</v>
      </c>
      <c r="AU49" s="96">
        <f>AU22+AU22*AU33*(1-AU41)*Гипотезы!$M$3+AU22*AU34*(1-AU42)*Гипотезы!$M$4</f>
        <v>0.95380517384033459</v>
      </c>
      <c r="AV49" s="96">
        <f>AV22+AV22*AV33*(1-AV41)*Гипотезы!$M$3+AV22*AV34*(1-AV42)*Гипотезы!$M$4</f>
        <v>0.95692768378240289</v>
      </c>
      <c r="AW49" s="96">
        <f>AW22+AW22*AW33*(1-AW41)*Гипотезы!$M$3+AW22*AW34*(1-AW42)*Гипотезы!$M$4</f>
        <v>0.96006041600948888</v>
      </c>
      <c r="AX49" s="96">
        <f>AX22+AX22*AX33*(1-AX41)*Гипотезы!$M$3+AX22*AX34*(1-AX42)*Гипотезы!$M$4</f>
        <v>0.96320340398669357</v>
      </c>
      <c r="AY49" s="96">
        <f>AY22+AY22*AY33*(1-AY41)*Гипотезы!$M$3+AY22*AY34*(1-AY42)*Гипотезы!$M$4</f>
        <v>0.96635668128867425</v>
      </c>
      <c r="AZ49" s="96">
        <f>AZ22+AZ22*AZ33*(1-AZ41)*Гипотезы!$N$3+AZ22*AZ34*(1-AZ42)*Гипотезы!$N$4</f>
        <v>0.9695202816000027</v>
      </c>
      <c r="BA49" s="96">
        <f>BA22+BA22*BA33*(1-BA41)*Гипотезы!$N$3+BA22*BA34*(1-BA42)*Гипотезы!$N$4</f>
        <v>0.97269423871552529</v>
      </c>
      <c r="BB49" s="96">
        <f>BB22+BB22*BB33*(1-BB41)*Гипотезы!$N$3+BB22*BB34*(1-BB42)*Гипотезы!$N$4</f>
        <v>0.97587858654072401</v>
      </c>
      <c r="BC49" s="96">
        <f>BC22+BC22*BC33*(1-BC41)*Гипотезы!$N$3+BC22*BC34*(1-BC42)*Гипотезы!$N$4</f>
        <v>0.9790733590920786</v>
      </c>
      <c r="BD49" s="96">
        <f>BD22+BD22*BD33*(1-BD41)*Гипотезы!$N$3+BD22*BD34*(1-BD42)*Гипотезы!$N$4</f>
        <v>0.98227859049742949</v>
      </c>
      <c r="BE49" s="96">
        <f>BE22+BE22*BE33*(1-BE41)*Гипотезы!$N$3+BE22*BE34*(1-BE42)*Гипотезы!$N$4</f>
        <v>0.98549431499634321</v>
      </c>
      <c r="BF49" s="96">
        <f>BF22+BF22*BF33*(1-BF41)*Гипотезы!$N$3+BF22*BF34*(1-BF42)*Гипотезы!$N$4</f>
        <v>0.9887205669404775</v>
      </c>
      <c r="BG49" s="96">
        <f>BG22+BG22*BG33*(1-BG41)*Гипотезы!$N$3+BG22*BG34*(1-BG42)*Гипотезы!$N$4</f>
        <v>0.99195738079394891</v>
      </c>
      <c r="BH49" s="96">
        <f>BH22+BH22*BH33*(1-BH41)*Гипотезы!$N$3+BH22*BH34*(1-BH42)*Гипотезы!$N$4</f>
        <v>0.99520479113369986</v>
      </c>
      <c r="BI49" s="96">
        <f>BI22+BI22*BI33*(1-BI41)*Гипотезы!$N$3+BI22*BI34*(1-BI42)*Гипотезы!$N$4</f>
        <v>0.99846283264986935</v>
      </c>
      <c r="BJ49" s="96">
        <f>BJ22+BJ22*BJ33*(1-BJ41)*Гипотезы!$N$3+BJ22*BJ34*(1-BJ42)*Гипотезы!$N$4</f>
        <v>1.0017315401461622</v>
      </c>
      <c r="BK49" s="97">
        <f>BK22+BK22*BK33*(1-BK41)*Гипотезы!$N$3+BK22*BK34*(1-BK42)*Гипотезы!$N$4</f>
        <v>1.0050109485402221</v>
      </c>
      <c r="BL49" s="2"/>
      <c r="BM49" s="103"/>
      <c r="BN49" s="2"/>
      <c r="BO49" s="186"/>
      <c r="BP49" s="2"/>
      <c r="BQ49" s="186"/>
      <c r="BR49" s="2"/>
      <c r="BS49" s="186"/>
      <c r="BT49" s="2"/>
      <c r="BU49" s="186"/>
      <c r="BV49" s="2"/>
      <c r="BW49" s="186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</row>
    <row r="50" spans="1:87" ht="16" customHeight="1" x14ac:dyDescent="0.2">
      <c r="B50" s="17" t="s">
        <v>593</v>
      </c>
      <c r="C50" s="92" t="s">
        <v>134</v>
      </c>
      <c r="D50" s="189">
        <v>0.2</v>
      </c>
      <c r="E50" s="189">
        <v>0.2</v>
      </c>
      <c r="F50" s="189">
        <v>0.2</v>
      </c>
      <c r="G50" s="189">
        <v>0.2</v>
      </c>
      <c r="H50" s="189">
        <v>0.2</v>
      </c>
      <c r="I50" s="189">
        <v>0.2</v>
      </c>
      <c r="J50" s="189">
        <v>0.2</v>
      </c>
      <c r="K50" s="189">
        <v>0.2</v>
      </c>
      <c r="L50" s="189">
        <v>0.2</v>
      </c>
      <c r="M50" s="189">
        <v>0.2</v>
      </c>
      <c r="N50" s="189">
        <v>0.2</v>
      </c>
      <c r="O50" s="189">
        <v>0.2</v>
      </c>
      <c r="P50" s="189">
        <v>0.2</v>
      </c>
      <c r="Q50" s="189">
        <v>0.2</v>
      </c>
      <c r="R50" s="189">
        <v>0.2</v>
      </c>
      <c r="S50" s="189">
        <v>0.2</v>
      </c>
      <c r="T50" s="189">
        <v>0.2</v>
      </c>
      <c r="U50" s="189">
        <v>0.2</v>
      </c>
      <c r="V50" s="189">
        <v>0.2</v>
      </c>
      <c r="W50" s="189">
        <v>0.2</v>
      </c>
      <c r="X50" s="189">
        <v>0.2</v>
      </c>
      <c r="Y50" s="189">
        <v>0.2</v>
      </c>
      <c r="Z50" s="189">
        <v>0.2</v>
      </c>
      <c r="AA50" s="189">
        <v>0.2</v>
      </c>
      <c r="AB50" s="189">
        <v>0.2</v>
      </c>
      <c r="AC50" s="189">
        <v>0.2</v>
      </c>
      <c r="AD50" s="189">
        <v>0.2</v>
      </c>
      <c r="AE50" s="189">
        <v>0.2</v>
      </c>
      <c r="AF50" s="189">
        <v>0.2</v>
      </c>
      <c r="AG50" s="189">
        <v>0.2</v>
      </c>
      <c r="AH50" s="189">
        <v>0.2</v>
      </c>
      <c r="AI50" s="189">
        <v>0.2</v>
      </c>
      <c r="AJ50" s="189">
        <v>0.2</v>
      </c>
      <c r="AK50" s="189">
        <v>0.2</v>
      </c>
      <c r="AL50" s="189">
        <v>0.2</v>
      </c>
      <c r="AM50" s="189">
        <v>0.2</v>
      </c>
      <c r="AN50" s="189">
        <v>0.2</v>
      </c>
      <c r="AO50" s="189">
        <v>0.2</v>
      </c>
      <c r="AP50" s="189">
        <v>0.2</v>
      </c>
      <c r="AQ50" s="189">
        <v>0.2</v>
      </c>
      <c r="AR50" s="189">
        <v>0.2</v>
      </c>
      <c r="AS50" s="189">
        <v>0.2</v>
      </c>
      <c r="AT50" s="189">
        <v>0.2</v>
      </c>
      <c r="AU50" s="189">
        <v>0.2</v>
      </c>
      <c r="AV50" s="189">
        <v>0.2</v>
      </c>
      <c r="AW50" s="189">
        <v>0.2</v>
      </c>
      <c r="AX50" s="189">
        <v>0.2</v>
      </c>
      <c r="AY50" s="189">
        <v>0.2</v>
      </c>
      <c r="AZ50" s="189">
        <v>0.2</v>
      </c>
      <c r="BA50" s="189">
        <v>0.2</v>
      </c>
      <c r="BB50" s="189">
        <v>0.2</v>
      </c>
      <c r="BC50" s="189">
        <v>0.2</v>
      </c>
      <c r="BD50" s="189">
        <v>0.2</v>
      </c>
      <c r="BE50" s="189">
        <v>0.2</v>
      </c>
      <c r="BF50" s="189">
        <v>0.2</v>
      </c>
      <c r="BG50" s="189">
        <v>0.2</v>
      </c>
      <c r="BH50" s="189">
        <v>0.2</v>
      </c>
      <c r="BI50" s="189">
        <v>0.2</v>
      </c>
      <c r="BJ50" s="189">
        <v>0.2</v>
      </c>
      <c r="BK50" s="189">
        <v>0.2</v>
      </c>
      <c r="BL50" s="2"/>
      <c r="BM50" s="103"/>
      <c r="BN50" s="2"/>
      <c r="BO50" s="92"/>
      <c r="BP50" s="2"/>
      <c r="BQ50" s="92"/>
      <c r="BR50" s="2"/>
      <c r="BS50" s="92"/>
      <c r="BT50" s="2"/>
      <c r="BU50" s="186"/>
      <c r="BV50" s="2"/>
      <c r="BW50" s="9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</row>
    <row r="51" spans="1:87" ht="16" customHeight="1" x14ac:dyDescent="0.2">
      <c r="A51" s="148"/>
      <c r="B51" s="38" t="s">
        <v>595</v>
      </c>
      <c r="C51" s="92" t="s">
        <v>134</v>
      </c>
      <c r="D51" s="40">
        <v>0.04</v>
      </c>
      <c r="E51" s="40">
        <v>0.04</v>
      </c>
      <c r="F51" s="40">
        <v>0.04</v>
      </c>
      <c r="G51" s="40">
        <v>0.04</v>
      </c>
      <c r="H51" s="40">
        <v>0.04</v>
      </c>
      <c r="I51" s="40">
        <v>0.04</v>
      </c>
      <c r="J51" s="40">
        <v>0.04</v>
      </c>
      <c r="K51" s="40">
        <v>0.04</v>
      </c>
      <c r="L51" s="40">
        <v>0.04</v>
      </c>
      <c r="M51" s="40">
        <v>0.04</v>
      </c>
      <c r="N51" s="40">
        <v>0.04</v>
      </c>
      <c r="O51" s="40">
        <v>0.04</v>
      </c>
      <c r="P51" s="40">
        <v>0.04</v>
      </c>
      <c r="Q51" s="40">
        <v>0.04</v>
      </c>
      <c r="R51" s="40">
        <v>0.04</v>
      </c>
      <c r="S51" s="40">
        <v>0.04</v>
      </c>
      <c r="T51" s="40">
        <v>0.04</v>
      </c>
      <c r="U51" s="40">
        <v>0.04</v>
      </c>
      <c r="V51" s="40">
        <v>0.04</v>
      </c>
      <c r="W51" s="40">
        <v>0.04</v>
      </c>
      <c r="X51" s="40">
        <v>0.04</v>
      </c>
      <c r="Y51" s="40">
        <v>0.04</v>
      </c>
      <c r="Z51" s="40">
        <v>0.04</v>
      </c>
      <c r="AA51" s="40">
        <v>0.04</v>
      </c>
      <c r="AB51" s="40">
        <v>0.04</v>
      </c>
      <c r="AC51" s="40">
        <v>0.04</v>
      </c>
      <c r="AD51" s="40">
        <v>0.04</v>
      </c>
      <c r="AE51" s="40">
        <v>0.04</v>
      </c>
      <c r="AF51" s="40">
        <v>0.04</v>
      </c>
      <c r="AG51" s="40">
        <v>0.04</v>
      </c>
      <c r="AH51" s="40">
        <v>0.04</v>
      </c>
      <c r="AI51" s="40">
        <v>0.04</v>
      </c>
      <c r="AJ51" s="40">
        <v>0.04</v>
      </c>
      <c r="AK51" s="40">
        <v>0.04</v>
      </c>
      <c r="AL51" s="40">
        <v>0.04</v>
      </c>
      <c r="AM51" s="40">
        <v>0.04</v>
      </c>
      <c r="AN51" s="40">
        <v>0.04</v>
      </c>
      <c r="AO51" s="40">
        <v>0.04</v>
      </c>
      <c r="AP51" s="40">
        <v>0.04</v>
      </c>
      <c r="AQ51" s="40">
        <v>0.04</v>
      </c>
      <c r="AR51" s="40">
        <v>0.04</v>
      </c>
      <c r="AS51" s="40">
        <v>0.04</v>
      </c>
      <c r="AT51" s="40">
        <v>0.04</v>
      </c>
      <c r="AU51" s="40">
        <v>0.04</v>
      </c>
      <c r="AV51" s="40">
        <v>0.04</v>
      </c>
      <c r="AW51" s="40">
        <v>0.04</v>
      </c>
      <c r="AX51" s="40">
        <v>0.04</v>
      </c>
      <c r="AY51" s="40">
        <v>0.04</v>
      </c>
      <c r="AZ51" s="40">
        <v>0.04</v>
      </c>
      <c r="BA51" s="40">
        <v>0.04</v>
      </c>
      <c r="BB51" s="40">
        <v>0.04</v>
      </c>
      <c r="BC51" s="40">
        <v>0.04</v>
      </c>
      <c r="BD51" s="40">
        <v>0.04</v>
      </c>
      <c r="BE51" s="40">
        <v>0.04</v>
      </c>
      <c r="BF51" s="40">
        <v>0.04</v>
      </c>
      <c r="BG51" s="40">
        <v>0.04</v>
      </c>
      <c r="BH51" s="40">
        <v>0.04</v>
      </c>
      <c r="BI51" s="40">
        <v>0.04</v>
      </c>
      <c r="BJ51" s="40">
        <v>0.04</v>
      </c>
      <c r="BK51" s="40">
        <v>0.04</v>
      </c>
      <c r="BL51" s="2"/>
      <c r="BM51" s="19"/>
      <c r="BN51" s="2"/>
      <c r="BO51" s="183"/>
      <c r="BP51" s="2"/>
      <c r="BQ51" s="183"/>
      <c r="BR51" s="2"/>
      <c r="BS51" s="183"/>
      <c r="BT51" s="2"/>
      <c r="BU51" s="186"/>
      <c r="BV51" s="2"/>
      <c r="BW51" s="183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</row>
    <row r="52" spans="1:87" ht="16" customHeight="1" x14ac:dyDescent="0.2">
      <c r="A52" s="148"/>
      <c r="B52" s="38" t="s">
        <v>608</v>
      </c>
      <c r="C52" s="2" t="s">
        <v>584</v>
      </c>
      <c r="D52" s="171">
        <f t="shared" ref="D52:AI52" si="21">D48*D49*D50*D51*1000</f>
        <v>20740.532400000004</v>
      </c>
      <c r="E52" s="171">
        <f t="shared" si="21"/>
        <v>41616.86301204373</v>
      </c>
      <c r="F52" s="171">
        <f t="shared" si="21"/>
        <v>41753.105792096576</v>
      </c>
      <c r="G52" s="171">
        <f t="shared" si="21"/>
        <v>41889.794595558524</v>
      </c>
      <c r="H52" s="171">
        <f t="shared" si="21"/>
        <v>42026.930882594141</v>
      </c>
      <c r="I52" s="171">
        <f t="shared" si="21"/>
        <v>42164.516118148211</v>
      </c>
      <c r="J52" s="171">
        <f t="shared" si="21"/>
        <v>42302.551771961364</v>
      </c>
      <c r="K52" s="171">
        <f t="shared" si="21"/>
        <v>42441.039318585754</v>
      </c>
      <c r="L52" s="171">
        <f t="shared" si="21"/>
        <v>42579.98023740088</v>
      </c>
      <c r="M52" s="171">
        <f t="shared" si="21"/>
        <v>42719.376012629313</v>
      </c>
      <c r="N52" s="171">
        <f t="shared" si="21"/>
        <v>51431.073760023079</v>
      </c>
      <c r="O52" s="171">
        <f t="shared" si="21"/>
        <v>51599.445712232482</v>
      </c>
      <c r="P52" s="171">
        <f t="shared" si="21"/>
        <v>28216.843200000018</v>
      </c>
      <c r="Q52" s="171">
        <f t="shared" si="21"/>
        <v>56618.435604223858</v>
      </c>
      <c r="R52" s="171">
        <f t="shared" si="21"/>
        <v>56803.789629267274</v>
      </c>
      <c r="S52" s="171">
        <f t="shared" si="21"/>
        <v>56989.75045515626</v>
      </c>
      <c r="T52" s="171">
        <f t="shared" si="21"/>
        <v>57176.320068398891</v>
      </c>
      <c r="U52" s="171">
        <f t="shared" si="21"/>
        <v>57363.500462006552</v>
      </c>
      <c r="V52" s="171">
        <f t="shared" si="21"/>
        <v>57551.293635515212</v>
      </c>
      <c r="W52" s="171">
        <f t="shared" si="21"/>
        <v>57739.701595006809</v>
      </c>
      <c r="X52" s="171">
        <f t="shared" si="21"/>
        <v>57928.726353130674</v>
      </c>
      <c r="Y52" s="171">
        <f t="shared" si="21"/>
        <v>58118.369929125038</v>
      </c>
      <c r="Z52" s="171">
        <f t="shared" si="21"/>
        <v>69970.361218606282</v>
      </c>
      <c r="AA52" s="171">
        <f t="shared" si="21"/>
        <v>70199.425973702469</v>
      </c>
      <c r="AB52" s="171">
        <f t="shared" si="21"/>
        <v>30376.389888000049</v>
      </c>
      <c r="AC52" s="171">
        <f t="shared" si="21"/>
        <v>60951.668568031957</v>
      </c>
      <c r="AD52" s="171">
        <f t="shared" si="21"/>
        <v>61151.208470214529</v>
      </c>
      <c r="AE52" s="171">
        <f t="shared" si="21"/>
        <v>61351.401614112998</v>
      </c>
      <c r="AF52" s="171">
        <f t="shared" si="21"/>
        <v>61552.250138270792</v>
      </c>
      <c r="AG52" s="171">
        <f t="shared" si="21"/>
        <v>61753.756188232299</v>
      </c>
      <c r="AH52" s="171">
        <f t="shared" si="21"/>
        <v>61955.921916565938</v>
      </c>
      <c r="AI52" s="171">
        <f t="shared" si="21"/>
        <v>62158.749482886997</v>
      </c>
      <c r="AJ52" s="171">
        <f t="shared" ref="AJ52:BK52" si="22">AJ48*AJ49*AJ50*AJ51*1000</f>
        <v>62362.241053880862</v>
      </c>
      <c r="AK52" s="171">
        <f t="shared" si="22"/>
        <v>62566.398803326047</v>
      </c>
      <c r="AL52" s="171">
        <f t="shared" si="22"/>
        <v>75325.469894540875</v>
      </c>
      <c r="AM52" s="171">
        <f t="shared" si="22"/>
        <v>75572.065881947463</v>
      </c>
      <c r="AN52" s="171">
        <f t="shared" si="22"/>
        <v>31591.445483520067</v>
      </c>
      <c r="AO52" s="171">
        <f t="shared" si="22"/>
        <v>63389.735310753269</v>
      </c>
      <c r="AP52" s="171">
        <f t="shared" si="22"/>
        <v>63597.256809023136</v>
      </c>
      <c r="AQ52" s="171">
        <f t="shared" si="22"/>
        <v>63805.457678677565</v>
      </c>
      <c r="AR52" s="171">
        <f t="shared" si="22"/>
        <v>64014.340143801644</v>
      </c>
      <c r="AS52" s="171">
        <f t="shared" si="22"/>
        <v>64223.906435761637</v>
      </c>
      <c r="AT52" s="171">
        <f t="shared" si="22"/>
        <v>64434.158793228606</v>
      </c>
      <c r="AU52" s="171">
        <f t="shared" si="22"/>
        <v>64645.099462202525</v>
      </c>
      <c r="AV52" s="171">
        <f t="shared" si="22"/>
        <v>64856.730696036138</v>
      </c>
      <c r="AW52" s="171">
        <f t="shared" si="22"/>
        <v>65069.054755459118</v>
      </c>
      <c r="AX52" s="171">
        <f t="shared" si="22"/>
        <v>78338.488690322571</v>
      </c>
      <c r="AY52" s="171">
        <f t="shared" si="22"/>
        <v>78594.948517225421</v>
      </c>
      <c r="AZ52" s="171">
        <f t="shared" si="22"/>
        <v>32855.103302860894</v>
      </c>
      <c r="BA52" s="171">
        <f t="shared" si="22"/>
        <v>65925.324723183439</v>
      </c>
      <c r="BB52" s="171">
        <f t="shared" si="22"/>
        <v>66141.147081384115</v>
      </c>
      <c r="BC52" s="171">
        <f t="shared" si="22"/>
        <v>66357.675985824724</v>
      </c>
      <c r="BD52" s="171">
        <f t="shared" si="22"/>
        <v>66574.913749553787</v>
      </c>
      <c r="BE52" s="171">
        <f t="shared" si="22"/>
        <v>66792.862693192161</v>
      </c>
      <c r="BF52" s="171">
        <f t="shared" si="22"/>
        <v>67011.525144957821</v>
      </c>
      <c r="BG52" s="171">
        <f t="shared" si="22"/>
        <v>67230.903440690701</v>
      </c>
      <c r="BH52" s="171">
        <f t="shared" si="22"/>
        <v>67450.999923877651</v>
      </c>
      <c r="BI52" s="171">
        <f t="shared" si="22"/>
        <v>67671.816945677565</v>
      </c>
      <c r="BJ52" s="171">
        <f t="shared" si="22"/>
        <v>81472.028237935563</v>
      </c>
      <c r="BK52" s="171">
        <f t="shared" si="22"/>
        <v>81738.746457914531</v>
      </c>
      <c r="BL52" s="2"/>
      <c r="BM52" s="103">
        <f>SUMIF($D$2:$BK$2,BM$2,$D52:$BK52)</f>
        <v>503265.20961327408</v>
      </c>
      <c r="BN52" s="2"/>
      <c r="BO52" s="182">
        <f>SUMIF($D$2:$BK$2,BO$2,$D52:$BK52)</f>
        <v>684676.51812413929</v>
      </c>
      <c r="BP52" s="2"/>
      <c r="BQ52" s="182">
        <f>SUMIF($D$2:$BK$2,BQ$2,$D52:$BK52)</f>
        <v>737077.52190001076</v>
      </c>
      <c r="BR52" s="2"/>
      <c r="BS52" s="182">
        <f>SUMIF($D$2:$BK$2,BS$2,$D52:$BK52)</f>
        <v>766560.62277601182</v>
      </c>
      <c r="BT52" s="2"/>
      <c r="BU52" s="182">
        <f>SUMIF($D$2:$BK$2,BU$2,$D52:$BK52)</f>
        <v>797223.04768705321</v>
      </c>
      <c r="BV52" s="2"/>
      <c r="BW52" s="103">
        <f>BM52+BO52+BQ52+BS52+BU52</f>
        <v>3488802.9201004892</v>
      </c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</row>
    <row r="53" spans="1:87" ht="16" customHeight="1" x14ac:dyDescent="0.2">
      <c r="A53" s="148"/>
      <c r="B53" s="37"/>
      <c r="C53" s="15"/>
      <c r="D53" s="42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4"/>
      <c r="P53" s="42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4"/>
      <c r="AB53" s="42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4"/>
      <c r="AN53" s="42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4"/>
      <c r="AZ53" s="42"/>
      <c r="BA53" s="43"/>
      <c r="BB53" s="43"/>
      <c r="BC53" s="43"/>
      <c r="BD53" s="43"/>
      <c r="BE53" s="43"/>
      <c r="BF53" s="43"/>
      <c r="BG53" s="43"/>
      <c r="BH53" s="43"/>
      <c r="BI53" s="43"/>
      <c r="BJ53" s="43"/>
      <c r="BK53" s="181"/>
      <c r="BL53" s="2"/>
      <c r="BM53" s="45"/>
      <c r="BN53" s="13"/>
      <c r="BO53" s="184"/>
      <c r="BP53" s="13"/>
      <c r="BQ53" s="184"/>
      <c r="BR53" s="13"/>
      <c r="BS53" s="184"/>
      <c r="BT53" s="13"/>
      <c r="BU53" s="184"/>
      <c r="BV53" s="2"/>
      <c r="BW53" s="45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</row>
    <row r="54" spans="1:87" ht="16" customHeight="1" x14ac:dyDescent="0.2">
      <c r="A54" s="349"/>
      <c r="B54" s="347"/>
      <c r="C54" s="315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</row>
    <row r="55" spans="1:87" ht="16" customHeight="1" x14ac:dyDescent="0.2">
      <c r="A55" s="315"/>
      <c r="B55" s="354" t="s">
        <v>609</v>
      </c>
      <c r="C55" s="315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2"/>
      <c r="BM55" s="10"/>
      <c r="BN55" s="2"/>
      <c r="BO55" s="10"/>
      <c r="BP55" s="2"/>
      <c r="BQ55" s="10"/>
      <c r="BR55" s="2"/>
      <c r="BS55" s="10"/>
      <c r="BT55" s="2"/>
      <c r="BU55" s="10"/>
      <c r="BV55" s="2"/>
      <c r="BW55" s="10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</row>
    <row r="56" spans="1:87" ht="16" customHeight="1" x14ac:dyDescent="0.2">
      <c r="A56" s="315"/>
      <c r="B56" s="347"/>
      <c r="C56" s="315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</row>
    <row r="57" spans="1:87" ht="16" customHeight="1" x14ac:dyDescent="0.2">
      <c r="A57" s="315"/>
      <c r="B57" s="11"/>
      <c r="C57" s="12"/>
      <c r="D57" s="49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48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4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4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4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33"/>
      <c r="BK57" s="34"/>
      <c r="BL57" s="2"/>
      <c r="BM57" s="50"/>
      <c r="BN57" s="2"/>
      <c r="BO57" s="50"/>
      <c r="BP57" s="36"/>
      <c r="BQ57" s="50"/>
      <c r="BR57" s="36"/>
      <c r="BS57" s="50"/>
      <c r="BT57" s="36"/>
      <c r="BU57" s="50"/>
      <c r="BV57" s="36"/>
      <c r="BW57" s="50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</row>
    <row r="58" spans="1:87" ht="16" customHeight="1" x14ac:dyDescent="0.2">
      <c r="A58" s="315"/>
      <c r="B58" s="38" t="s">
        <v>610</v>
      </c>
      <c r="C58" s="15" t="s">
        <v>611</v>
      </c>
      <c r="D58" s="172">
        <f t="shared" ref="D58:AI58" si="23">D52-D24</f>
        <v>285.98694545455146</v>
      </c>
      <c r="E58" s="173">
        <f t="shared" si="23"/>
        <v>573.84638459014968</v>
      </c>
      <c r="F58" s="173">
        <f t="shared" si="23"/>
        <v>8811.2011650819113</v>
      </c>
      <c r="G58" s="173">
        <f t="shared" si="23"/>
        <v>8840.0467448650015</v>
      </c>
      <c r="H58" s="173">
        <f t="shared" si="23"/>
        <v>8868.9867575701574</v>
      </c>
      <c r="I58" s="173">
        <f t="shared" si="23"/>
        <v>8898.0215123462185</v>
      </c>
      <c r="J58" s="173">
        <f t="shared" si="23"/>
        <v>8927.151319354045</v>
      </c>
      <c r="K58" s="173">
        <f t="shared" si="23"/>
        <v>8956.3764897699148</v>
      </c>
      <c r="L58" s="173">
        <f t="shared" si="23"/>
        <v>8985.6973357888346</v>
      </c>
      <c r="M58" s="173">
        <f t="shared" si="23"/>
        <v>9015.114170627814</v>
      </c>
      <c r="N58" s="173">
        <f t="shared" si="23"/>
        <v>10853.552770235103</v>
      </c>
      <c r="O58" s="174">
        <f t="shared" si="23"/>
        <v>10889.084477717224</v>
      </c>
      <c r="P58" s="128">
        <f t="shared" si="23"/>
        <v>11198.66138181819</v>
      </c>
      <c r="Q58" s="128">
        <f t="shared" si="23"/>
        <v>22470.645770182455</v>
      </c>
      <c r="R58" s="128">
        <f t="shared" si="23"/>
        <v>22544.208817172002</v>
      </c>
      <c r="S58" s="128">
        <f t="shared" si="23"/>
        <v>22618.012690434975</v>
      </c>
      <c r="T58" s="128">
        <f t="shared" si="23"/>
        <v>22692.058178373925</v>
      </c>
      <c r="U58" s="128">
        <f t="shared" si="23"/>
        <v>22766.346071972446</v>
      </c>
      <c r="V58" s="128">
        <f t="shared" si="23"/>
        <v>22840.877164803569</v>
      </c>
      <c r="W58" s="128">
        <f t="shared" si="23"/>
        <v>22915.652253038308</v>
      </c>
      <c r="X58" s="128">
        <f t="shared" si="23"/>
        <v>22990.672135454108</v>
      </c>
      <c r="Y58" s="128">
        <f t="shared" si="23"/>
        <v>23065.937613443442</v>
      </c>
      <c r="Z58" s="128">
        <f t="shared" si="23"/>
        <v>27769.739389226743</v>
      </c>
      <c r="AA58" s="175">
        <f t="shared" si="23"/>
        <v>27860.650289806559</v>
      </c>
      <c r="AB58" s="128">
        <f t="shared" si="23"/>
        <v>12677.480797090935</v>
      </c>
      <c r="AC58" s="128">
        <f t="shared" si="23"/>
        <v>25437.967140628862</v>
      </c>
      <c r="AD58" s="128">
        <f t="shared" si="23"/>
        <v>25521.244425635414</v>
      </c>
      <c r="AE58" s="128">
        <f t="shared" si="23"/>
        <v>25604.794338802829</v>
      </c>
      <c r="AF58" s="128">
        <f t="shared" si="23"/>
        <v>25688.617772644793</v>
      </c>
      <c r="AG58" s="128">
        <f t="shared" si="23"/>
        <v>25772.715622596799</v>
      </c>
      <c r="AH58" s="128">
        <f t="shared" si="23"/>
        <v>25857.088787025801</v>
      </c>
      <c r="AI58" s="128">
        <f t="shared" si="23"/>
        <v>25941.738167239717</v>
      </c>
      <c r="AJ58" s="128">
        <f t="shared" ref="AJ58:BK58" si="24">AJ52-AJ24</f>
        <v>26026.664667497207</v>
      </c>
      <c r="AK58" s="128">
        <f t="shared" si="24"/>
        <v>26111.869195017156</v>
      </c>
      <c r="AL58" s="128">
        <f t="shared" si="24"/>
        <v>31436.823191986128</v>
      </c>
      <c r="AM58" s="128">
        <f t="shared" si="24"/>
        <v>31539.739170695691</v>
      </c>
      <c r="AN58" s="128">
        <f t="shared" si="24"/>
        <v>13184.580028974575</v>
      </c>
      <c r="AO58" s="128">
        <f t="shared" si="24"/>
        <v>26455.485826254029</v>
      </c>
      <c r="AP58" s="128">
        <f t="shared" si="24"/>
        <v>26542.094202660832</v>
      </c>
      <c r="AQ58" s="128">
        <f t="shared" si="24"/>
        <v>26628.986112354971</v>
      </c>
      <c r="AR58" s="128">
        <f t="shared" si="24"/>
        <v>26716.162483550586</v>
      </c>
      <c r="AS58" s="128">
        <f t="shared" si="24"/>
        <v>26803.624247500695</v>
      </c>
      <c r="AT58" s="128">
        <f t="shared" si="24"/>
        <v>26891.372338506844</v>
      </c>
      <c r="AU58" s="128">
        <f t="shared" si="24"/>
        <v>26979.407693929337</v>
      </c>
      <c r="AV58" s="128">
        <f t="shared" si="24"/>
        <v>27067.731254197111</v>
      </c>
      <c r="AW58" s="128">
        <f t="shared" si="24"/>
        <v>27156.343962817853</v>
      </c>
      <c r="AX58" s="128">
        <f t="shared" si="24"/>
        <v>32694.296119665603</v>
      </c>
      <c r="AY58" s="175">
        <f t="shared" si="24"/>
        <v>32801.328737523545</v>
      </c>
      <c r="AZ58" s="128">
        <f t="shared" si="24"/>
        <v>13711.963230133566</v>
      </c>
      <c r="BA58" s="128">
        <f t="shared" si="24"/>
        <v>27513.705259304203</v>
      </c>
      <c r="BB58" s="128">
        <f t="shared" si="24"/>
        <v>27603.777970767289</v>
      </c>
      <c r="BC58" s="128">
        <f t="shared" si="24"/>
        <v>27694.14555684918</v>
      </c>
      <c r="BD58" s="128">
        <f t="shared" si="24"/>
        <v>27784.808982892646</v>
      </c>
      <c r="BE58" s="128">
        <f t="shared" si="24"/>
        <v>27875.769217400746</v>
      </c>
      <c r="BF58" s="128">
        <f t="shared" si="24"/>
        <v>27967.027232047149</v>
      </c>
      <c r="BG58" s="128">
        <f t="shared" si="24"/>
        <v>28058.584001686555</v>
      </c>
      <c r="BH58" s="128">
        <f t="shared" si="24"/>
        <v>28150.440504365026</v>
      </c>
      <c r="BI58" s="128">
        <f t="shared" si="24"/>
        <v>28242.597721330611</v>
      </c>
      <c r="BJ58" s="128">
        <f t="shared" si="24"/>
        <v>34002.067964452275</v>
      </c>
      <c r="BK58" s="175">
        <f t="shared" si="24"/>
        <v>34113.381887024538</v>
      </c>
      <c r="BL58" s="16"/>
      <c r="BM58" s="187">
        <f>SUMIF($D$2:$BK$2,BM$2,$D58:$BK58)</f>
        <v>93905.066073400929</v>
      </c>
      <c r="BN58" s="188"/>
      <c r="BO58" s="187">
        <f>SUMIF($D$2:$BK$2,BO$2,$D58:$BK58)</f>
        <v>271733.46175572672</v>
      </c>
      <c r="BP58" s="188"/>
      <c r="BQ58" s="187">
        <f>SUMIF($D$2:$BK$2,BQ$2,$D58:$BK58)</f>
        <v>307616.74327686138</v>
      </c>
      <c r="BR58" s="188"/>
      <c r="BS58" s="187">
        <f>SUMIF($D$2:$BK$2,BS$2,$D58:$BK58)</f>
        <v>319921.41300793592</v>
      </c>
      <c r="BT58" s="188"/>
      <c r="BU58" s="187">
        <f>SUMIF($D$2:$BK$2,BU$2,$D58:$BK58)</f>
        <v>332718.26952825376</v>
      </c>
      <c r="BV58" s="176"/>
      <c r="BW58" s="187">
        <f>BM58+BO58+BQ58+BS58+BU58</f>
        <v>1325894.9536421786</v>
      </c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</row>
    <row r="59" spans="1:87" ht="16" customHeight="1" x14ac:dyDescent="0.2">
      <c r="A59" s="315"/>
      <c r="B59" s="46"/>
      <c r="C59" s="24"/>
      <c r="D59" s="23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2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60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60"/>
      <c r="AN59" s="59"/>
      <c r="AO59" s="59"/>
      <c r="AP59" s="59"/>
      <c r="AQ59" s="59"/>
      <c r="AR59" s="59"/>
      <c r="AS59" s="59"/>
      <c r="AT59" s="59"/>
      <c r="AU59" s="59"/>
      <c r="AV59" s="59"/>
      <c r="AW59" s="59"/>
      <c r="AX59" s="59"/>
      <c r="AY59" s="60"/>
      <c r="AZ59" s="59"/>
      <c r="BA59" s="59"/>
      <c r="BB59" s="59"/>
      <c r="BC59" s="59"/>
      <c r="BD59" s="59"/>
      <c r="BE59" s="59"/>
      <c r="BF59" s="59"/>
      <c r="BG59" s="59"/>
      <c r="BH59" s="59"/>
      <c r="BI59" s="59"/>
      <c r="BJ59" s="59"/>
      <c r="BK59" s="60"/>
      <c r="BL59" s="16"/>
      <c r="BM59" s="26"/>
      <c r="BN59" s="16"/>
      <c r="BO59" s="26"/>
      <c r="BP59" s="16"/>
      <c r="BQ59" s="26"/>
      <c r="BR59" s="16"/>
      <c r="BS59" s="26"/>
      <c r="BT59" s="16"/>
      <c r="BU59" s="26"/>
      <c r="BV59" s="16"/>
      <c r="BW59" s="26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</row>
    <row r="60" spans="1:87" ht="16" customHeight="1" x14ac:dyDescent="0.2">
      <c r="A60" s="315"/>
      <c r="B60" s="347"/>
      <c r="C60" s="315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</row>
    <row r="61" spans="1:87" ht="16" customHeight="1" x14ac:dyDescent="0.2">
      <c r="A61" s="315"/>
      <c r="B61" s="315"/>
      <c r="C61" s="315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</row>
    <row r="62" spans="1:87" ht="16" customHeight="1" x14ac:dyDescent="0.2">
      <c r="A62" s="315"/>
      <c r="B62" s="61" t="s">
        <v>612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2"/>
      <c r="BM62" s="7"/>
      <c r="BN62" s="2"/>
      <c r="BO62" s="7"/>
      <c r="BP62" s="2"/>
      <c r="BQ62" s="7"/>
      <c r="BR62" s="2"/>
      <c r="BS62" s="7"/>
      <c r="BT62" s="2"/>
      <c r="BU62" s="7"/>
      <c r="BV62" s="2"/>
      <c r="BW62" s="7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</row>
    <row r="63" spans="1:87" ht="16" customHeight="1" x14ac:dyDescent="0.2">
      <c r="A63" s="315"/>
      <c r="B63" s="177" t="s">
        <v>613</v>
      </c>
      <c r="C63" s="125"/>
      <c r="D63" s="177"/>
      <c r="E63" s="177"/>
      <c r="F63" s="177"/>
      <c r="G63" s="177"/>
      <c r="H63" s="177"/>
      <c r="I63" s="177"/>
      <c r="J63" s="177"/>
      <c r="K63" s="177"/>
      <c r="L63" s="177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</row>
    <row r="64" spans="1:87" ht="16" customHeight="1" x14ac:dyDescent="0.2">
      <c r="A64" s="2"/>
      <c r="B64" s="347"/>
      <c r="C64" s="315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</row>
    <row r="65" spans="2:2" ht="15.75" customHeight="1" x14ac:dyDescent="0.15">
      <c r="B65" s="125" t="s">
        <v>614</v>
      </c>
    </row>
    <row r="66" spans="2:2" hidden="1" x14ac:dyDescent="0.15"/>
    <row r="67" spans="2:2" hidden="1" x14ac:dyDescent="0.15"/>
    <row r="68" spans="2:2" hidden="1" x14ac:dyDescent="0.15"/>
    <row r="69" spans="2:2" hidden="1" x14ac:dyDescent="0.15"/>
    <row r="70" spans="2:2" hidden="1" x14ac:dyDescent="0.15"/>
    <row r="71" spans="2:2" hidden="1" x14ac:dyDescent="0.15"/>
    <row r="72" spans="2:2" hidden="1" x14ac:dyDescent="0.15"/>
    <row r="73" spans="2:2" hidden="1" x14ac:dyDescent="0.15"/>
    <row r="74" spans="2:2" hidden="1" x14ac:dyDescent="0.15"/>
    <row r="75" spans="2:2" hidden="1" x14ac:dyDescent="0.15"/>
    <row r="76" spans="2:2" hidden="1" x14ac:dyDescent="0.15"/>
    <row r="77" spans="2:2" hidden="1" x14ac:dyDescent="0.15"/>
    <row r="78" spans="2:2" hidden="1" x14ac:dyDescent="0.15"/>
    <row r="79" spans="2:2" hidden="1" x14ac:dyDescent="0.15"/>
    <row r="80" spans="2:2" hidden="1" x14ac:dyDescent="0.15"/>
    <row r="81" hidden="1" x14ac:dyDescent="0.15"/>
    <row r="82" hidden="1" x14ac:dyDescent="0.15"/>
    <row r="83" hidden="1" x14ac:dyDescent="0.15"/>
    <row r="84" hidden="1" x14ac:dyDescent="0.15"/>
    <row r="85" hidden="1" x14ac:dyDescent="0.15"/>
    <row r="86" hidden="1" x14ac:dyDescent="0.15"/>
    <row r="87" hidden="1" x14ac:dyDescent="0.15"/>
    <row r="88" hidden="1" x14ac:dyDescent="0.15"/>
    <row r="89" hidden="1" x14ac:dyDescent="0.15"/>
    <row r="90" hidden="1" x14ac:dyDescent="0.15"/>
    <row r="91" hidden="1" x14ac:dyDescent="0.15"/>
    <row r="92" hidden="1" x14ac:dyDescent="0.15"/>
    <row r="93" hidden="1" x14ac:dyDescent="0.15"/>
    <row r="94" hidden="1" x14ac:dyDescent="0.15"/>
    <row r="95" hidden="1" x14ac:dyDescent="0.15"/>
    <row r="96" hidden="1" x14ac:dyDescent="0.15"/>
    <row r="97" hidden="1" x14ac:dyDescent="0.15"/>
    <row r="98" hidden="1" x14ac:dyDescent="0.15"/>
    <row r="99" hidden="1" x14ac:dyDescent="0.15"/>
    <row r="100" hidden="1" x14ac:dyDescent="0.15"/>
    <row r="101" hidden="1" x14ac:dyDescent="0.15"/>
    <row r="102" hidden="1" x14ac:dyDescent="0.15"/>
    <row r="103" hidden="1" x14ac:dyDescent="0.15"/>
    <row r="104" hidden="1" x14ac:dyDescent="0.15"/>
    <row r="105" hidden="1" x14ac:dyDescent="0.15"/>
    <row r="106" hidden="1" x14ac:dyDescent="0.15"/>
    <row r="107" hidden="1" x14ac:dyDescent="0.15"/>
    <row r="108" hidden="1" x14ac:dyDescent="0.15"/>
    <row r="109" hidden="1" x14ac:dyDescent="0.15"/>
    <row r="110" hidden="1" x14ac:dyDescent="0.15"/>
    <row r="111" hidden="1" x14ac:dyDescent="0.15"/>
    <row r="112" hidden="1" x14ac:dyDescent="0.15"/>
    <row r="113" hidden="1" x14ac:dyDescent="0.15"/>
    <row r="114" hidden="1" x14ac:dyDescent="0.15"/>
    <row r="115" hidden="1" x14ac:dyDescent="0.15"/>
    <row r="116" hidden="1" x14ac:dyDescent="0.15"/>
    <row r="117" hidden="1" x14ac:dyDescent="0.15"/>
    <row r="118" hidden="1" x14ac:dyDescent="0.15"/>
    <row r="119" hidden="1" x14ac:dyDescent="0.15"/>
    <row r="120" hidden="1" x14ac:dyDescent="0.15"/>
    <row r="121" hidden="1" x14ac:dyDescent="0.15"/>
    <row r="122" hidden="1" x14ac:dyDescent="0.15"/>
    <row r="123" hidden="1" x14ac:dyDescent="0.15"/>
    <row r="124" hidden="1" x14ac:dyDescent="0.15"/>
    <row r="125" hidden="1" x14ac:dyDescent="0.15"/>
    <row r="126" hidden="1" x14ac:dyDescent="0.15"/>
    <row r="127" hidden="1" x14ac:dyDescent="0.15"/>
    <row r="128" hidden="1" x14ac:dyDescent="0.15"/>
    <row r="129" hidden="1" x14ac:dyDescent="0.15"/>
    <row r="130" hidden="1" x14ac:dyDescent="0.15"/>
    <row r="131" hidden="1" x14ac:dyDescent="0.15"/>
    <row r="132" hidden="1" x14ac:dyDescent="0.15"/>
    <row r="133" hidden="1" x14ac:dyDescent="0.15"/>
    <row r="134" hidden="1" x14ac:dyDescent="0.15"/>
    <row r="135" hidden="1" x14ac:dyDescent="0.15"/>
    <row r="136" hidden="1" x14ac:dyDescent="0.15"/>
    <row r="137" hidden="1" x14ac:dyDescent="0.15"/>
    <row r="138" hidden="1" x14ac:dyDescent="0.15"/>
    <row r="139" hidden="1" x14ac:dyDescent="0.15"/>
    <row r="140" hidden="1" x14ac:dyDescent="0.15"/>
    <row r="141" hidden="1" x14ac:dyDescent="0.15"/>
    <row r="142" hidden="1" x14ac:dyDescent="0.15"/>
    <row r="143" hidden="1" x14ac:dyDescent="0.15"/>
    <row r="144" hidden="1" x14ac:dyDescent="0.15"/>
    <row r="145" hidden="1" x14ac:dyDescent="0.15"/>
    <row r="146" hidden="1" x14ac:dyDescent="0.15"/>
    <row r="147" hidden="1" x14ac:dyDescent="0.15"/>
    <row r="148" hidden="1" x14ac:dyDescent="0.15"/>
    <row r="149" hidden="1" x14ac:dyDescent="0.15"/>
    <row r="150" hidden="1" x14ac:dyDescent="0.15"/>
    <row r="151" hidden="1" x14ac:dyDescent="0.15"/>
    <row r="152" hidden="1" x14ac:dyDescent="0.15"/>
    <row r="153" hidden="1" x14ac:dyDescent="0.15"/>
    <row r="154" hidden="1" x14ac:dyDescent="0.15"/>
    <row r="155" hidden="1" x14ac:dyDescent="0.15"/>
    <row r="156" hidden="1" x14ac:dyDescent="0.15"/>
    <row r="157" hidden="1" x14ac:dyDescent="0.15"/>
    <row r="158" hidden="1" x14ac:dyDescent="0.15"/>
    <row r="159" hidden="1" x14ac:dyDescent="0.15"/>
    <row r="160" hidden="1" x14ac:dyDescent="0.15"/>
    <row r="161" hidden="1" x14ac:dyDescent="0.15"/>
    <row r="162" hidden="1" x14ac:dyDescent="0.15"/>
    <row r="163" hidden="1" x14ac:dyDescent="0.15"/>
    <row r="164" hidden="1" x14ac:dyDescent="0.15"/>
    <row r="165" hidden="1" x14ac:dyDescent="0.15"/>
    <row r="166" hidden="1" x14ac:dyDescent="0.15"/>
    <row r="167" hidden="1" x14ac:dyDescent="0.15"/>
    <row r="168" hidden="1" x14ac:dyDescent="0.15"/>
    <row r="169" hidden="1" x14ac:dyDescent="0.15"/>
    <row r="170" hidden="1" x14ac:dyDescent="0.15"/>
    <row r="171" hidden="1" x14ac:dyDescent="0.15"/>
    <row r="172" hidden="1" x14ac:dyDescent="0.15"/>
    <row r="173" hidden="1" x14ac:dyDescent="0.15"/>
    <row r="174" hidden="1" x14ac:dyDescent="0.15"/>
    <row r="175" hidden="1" x14ac:dyDescent="0.15"/>
    <row r="176" hidden="1" x14ac:dyDescent="0.15"/>
    <row r="177" hidden="1" x14ac:dyDescent="0.15"/>
    <row r="178" hidden="1" x14ac:dyDescent="0.15"/>
    <row r="179" hidden="1" x14ac:dyDescent="0.15"/>
    <row r="180" hidden="1" x14ac:dyDescent="0.15"/>
    <row r="181" hidden="1" x14ac:dyDescent="0.15"/>
    <row r="182" hidden="1" x14ac:dyDescent="0.15"/>
    <row r="183" hidden="1" x14ac:dyDescent="0.15"/>
    <row r="184" hidden="1" x14ac:dyDescent="0.15"/>
    <row r="185" hidden="1" x14ac:dyDescent="0.15"/>
    <row r="186" hidden="1" x14ac:dyDescent="0.15"/>
    <row r="187" hidden="1" x14ac:dyDescent="0.15"/>
    <row r="188" hidden="1" x14ac:dyDescent="0.15"/>
    <row r="189" hidden="1" x14ac:dyDescent="0.15"/>
    <row r="190" hidden="1" x14ac:dyDescent="0.15"/>
    <row r="191" hidden="1" x14ac:dyDescent="0.15"/>
    <row r="192" hidden="1" x14ac:dyDescent="0.15"/>
    <row r="193" hidden="1" x14ac:dyDescent="0.15"/>
    <row r="194" hidden="1" x14ac:dyDescent="0.15"/>
    <row r="195" hidden="1" x14ac:dyDescent="0.15"/>
    <row r="196" hidden="1" x14ac:dyDescent="0.15"/>
    <row r="197" hidden="1" x14ac:dyDescent="0.15"/>
    <row r="198" hidden="1" x14ac:dyDescent="0.15"/>
    <row r="199" hidden="1" x14ac:dyDescent="0.15"/>
    <row r="200" hidden="1" x14ac:dyDescent="0.15"/>
    <row r="201" hidden="1" x14ac:dyDescent="0.15"/>
    <row r="202" hidden="1" x14ac:dyDescent="0.15"/>
    <row r="203" hidden="1" x14ac:dyDescent="0.15"/>
    <row r="204" hidden="1" x14ac:dyDescent="0.15"/>
    <row r="205" hidden="1" x14ac:dyDescent="0.15"/>
    <row r="206" hidden="1" x14ac:dyDescent="0.15"/>
    <row r="207" hidden="1" x14ac:dyDescent="0.15"/>
    <row r="208" hidden="1" x14ac:dyDescent="0.15"/>
    <row r="209" hidden="1" x14ac:dyDescent="0.15"/>
    <row r="210" hidden="1" x14ac:dyDescent="0.15"/>
    <row r="211" hidden="1" x14ac:dyDescent="0.15"/>
    <row r="212" hidden="1" x14ac:dyDescent="0.15"/>
    <row r="213" hidden="1" x14ac:dyDescent="0.15"/>
    <row r="214" hidden="1" x14ac:dyDescent="0.15"/>
    <row r="215" hidden="1" x14ac:dyDescent="0.15"/>
    <row r="216" hidden="1" x14ac:dyDescent="0.15"/>
    <row r="217" hidden="1" x14ac:dyDescent="0.15"/>
    <row r="218" hidden="1" x14ac:dyDescent="0.15"/>
    <row r="219" hidden="1" x14ac:dyDescent="0.15"/>
    <row r="220" hidden="1" x14ac:dyDescent="0.15"/>
    <row r="221" hidden="1" x14ac:dyDescent="0.15"/>
    <row r="222" hidden="1" x14ac:dyDescent="0.15"/>
    <row r="223" hidden="1" x14ac:dyDescent="0.15"/>
    <row r="224" hidden="1" x14ac:dyDescent="0.15"/>
    <row r="225" hidden="1" x14ac:dyDescent="0.15"/>
    <row r="226" hidden="1" x14ac:dyDescent="0.15"/>
    <row r="227" hidden="1" x14ac:dyDescent="0.15"/>
    <row r="228" hidden="1" x14ac:dyDescent="0.15"/>
    <row r="229" hidden="1" x14ac:dyDescent="0.15"/>
    <row r="230" hidden="1" x14ac:dyDescent="0.15"/>
    <row r="231" hidden="1" x14ac:dyDescent="0.15"/>
    <row r="232" hidden="1" x14ac:dyDescent="0.15"/>
    <row r="233" hidden="1" x14ac:dyDescent="0.15"/>
    <row r="234" hidden="1" x14ac:dyDescent="0.15"/>
    <row r="235" hidden="1" x14ac:dyDescent="0.15"/>
    <row r="236" hidden="1" x14ac:dyDescent="0.15"/>
    <row r="237" hidden="1" x14ac:dyDescent="0.15"/>
    <row r="238" hidden="1" x14ac:dyDescent="0.15"/>
    <row r="239" hidden="1" x14ac:dyDescent="0.15"/>
    <row r="240" hidden="1" x14ac:dyDescent="0.15"/>
    <row r="241" hidden="1" x14ac:dyDescent="0.15"/>
    <row r="242" hidden="1" x14ac:dyDescent="0.15"/>
    <row r="243" hidden="1" x14ac:dyDescent="0.15"/>
    <row r="244" hidden="1" x14ac:dyDescent="0.15"/>
    <row r="245" hidden="1" x14ac:dyDescent="0.15"/>
    <row r="246" hidden="1" x14ac:dyDescent="0.15"/>
    <row r="247" hidden="1" x14ac:dyDescent="0.15"/>
    <row r="248" hidden="1" x14ac:dyDescent="0.15"/>
    <row r="249" hidden="1" x14ac:dyDescent="0.15"/>
    <row r="250" hidden="1" x14ac:dyDescent="0.15"/>
    <row r="251" hidden="1" x14ac:dyDescent="0.15"/>
    <row r="252" hidden="1" x14ac:dyDescent="0.15"/>
    <row r="253" hidden="1" x14ac:dyDescent="0.15"/>
    <row r="254" hidden="1" x14ac:dyDescent="0.15"/>
    <row r="255" hidden="1" x14ac:dyDescent="0.15"/>
    <row r="256" hidden="1" x14ac:dyDescent="0.15"/>
    <row r="257" hidden="1" x14ac:dyDescent="0.15"/>
    <row r="258" hidden="1" x14ac:dyDescent="0.15"/>
    <row r="259" hidden="1" x14ac:dyDescent="0.15"/>
    <row r="260" hidden="1" x14ac:dyDescent="0.15"/>
    <row r="261" hidden="1" x14ac:dyDescent="0.15"/>
    <row r="262" hidden="1" x14ac:dyDescent="0.15"/>
    <row r="263" hidden="1" x14ac:dyDescent="0.15"/>
    <row r="264" hidden="1" x14ac:dyDescent="0.15"/>
    <row r="265" hidden="1" x14ac:dyDescent="0.15"/>
    <row r="266" hidden="1" x14ac:dyDescent="0.15"/>
    <row r="267" hidden="1" x14ac:dyDescent="0.15"/>
    <row r="268" hidden="1" x14ac:dyDescent="0.15"/>
    <row r="269" hidden="1" x14ac:dyDescent="0.15"/>
    <row r="270" hidden="1" x14ac:dyDescent="0.15"/>
    <row r="271" hidden="1" x14ac:dyDescent="0.15"/>
    <row r="272" hidden="1" x14ac:dyDescent="0.15"/>
    <row r="273" hidden="1" x14ac:dyDescent="0.15"/>
    <row r="274" hidden="1" x14ac:dyDescent="0.15"/>
    <row r="275" hidden="1" x14ac:dyDescent="0.15"/>
    <row r="276" hidden="1" x14ac:dyDescent="0.15"/>
    <row r="277" hidden="1" x14ac:dyDescent="0.15"/>
    <row r="278" hidden="1" x14ac:dyDescent="0.15"/>
    <row r="279" hidden="1" x14ac:dyDescent="0.15"/>
    <row r="280" hidden="1" x14ac:dyDescent="0.15"/>
    <row r="281" hidden="1" x14ac:dyDescent="0.15"/>
    <row r="282" hidden="1" x14ac:dyDescent="0.15"/>
    <row r="283" hidden="1" x14ac:dyDescent="0.15"/>
    <row r="284" hidden="1" x14ac:dyDescent="0.15"/>
    <row r="285" hidden="1" x14ac:dyDescent="0.15"/>
    <row r="286" hidden="1" x14ac:dyDescent="0.15"/>
    <row r="287" hidden="1" x14ac:dyDescent="0.15"/>
    <row r="288" hidden="1" x14ac:dyDescent="0.15"/>
    <row r="289" hidden="1" x14ac:dyDescent="0.15"/>
    <row r="290" hidden="1" x14ac:dyDescent="0.15"/>
    <row r="291" hidden="1" x14ac:dyDescent="0.15"/>
    <row r="292" hidden="1" x14ac:dyDescent="0.15"/>
    <row r="293" hidden="1" x14ac:dyDescent="0.15"/>
    <row r="294" hidden="1" x14ac:dyDescent="0.15"/>
    <row r="295" hidden="1" x14ac:dyDescent="0.15"/>
    <row r="296" hidden="1" x14ac:dyDescent="0.15"/>
    <row r="297" hidden="1" x14ac:dyDescent="0.15"/>
    <row r="298" hidden="1" x14ac:dyDescent="0.15"/>
    <row r="299" hidden="1" x14ac:dyDescent="0.15"/>
    <row r="300" hidden="1" x14ac:dyDescent="0.15"/>
    <row r="301" hidden="1" x14ac:dyDescent="0.15"/>
    <row r="302" hidden="1" x14ac:dyDescent="0.15"/>
    <row r="303" hidden="1" x14ac:dyDescent="0.15"/>
    <row r="304" hidden="1" x14ac:dyDescent="0.15"/>
    <row r="305" hidden="1" x14ac:dyDescent="0.15"/>
    <row r="306" hidden="1" x14ac:dyDescent="0.15"/>
    <row r="307" hidden="1" x14ac:dyDescent="0.15"/>
    <row r="308" hidden="1" x14ac:dyDescent="0.15"/>
    <row r="309" hidden="1" x14ac:dyDescent="0.15"/>
    <row r="310" hidden="1" x14ac:dyDescent="0.15"/>
    <row r="311" hidden="1" x14ac:dyDescent="0.15"/>
    <row r="312" hidden="1" x14ac:dyDescent="0.15"/>
    <row r="313" hidden="1" x14ac:dyDescent="0.15"/>
    <row r="314" hidden="1" x14ac:dyDescent="0.15"/>
    <row r="315" hidden="1" x14ac:dyDescent="0.15"/>
    <row r="316" hidden="1" x14ac:dyDescent="0.15"/>
    <row r="317" hidden="1" x14ac:dyDescent="0.15"/>
    <row r="318" hidden="1" x14ac:dyDescent="0.15"/>
    <row r="319" hidden="1" x14ac:dyDescent="0.15"/>
    <row r="320" hidden="1" x14ac:dyDescent="0.15"/>
    <row r="321" hidden="1" x14ac:dyDescent="0.15"/>
    <row r="322" hidden="1" x14ac:dyDescent="0.15"/>
    <row r="323" hidden="1" x14ac:dyDescent="0.15"/>
    <row r="324" hidden="1" x14ac:dyDescent="0.15"/>
    <row r="325" hidden="1" x14ac:dyDescent="0.15"/>
    <row r="326" hidden="1" x14ac:dyDescent="0.15"/>
    <row r="327" hidden="1" x14ac:dyDescent="0.15"/>
    <row r="328" hidden="1" x14ac:dyDescent="0.15"/>
    <row r="329" hidden="1" x14ac:dyDescent="0.15"/>
    <row r="330" hidden="1" x14ac:dyDescent="0.15"/>
    <row r="331" hidden="1" x14ac:dyDescent="0.15"/>
    <row r="332" hidden="1" x14ac:dyDescent="0.15"/>
    <row r="333" hidden="1" x14ac:dyDescent="0.15"/>
    <row r="334" hidden="1" x14ac:dyDescent="0.15"/>
    <row r="335" hidden="1" x14ac:dyDescent="0.15"/>
    <row r="336" hidden="1" x14ac:dyDescent="0.15"/>
    <row r="337" hidden="1" x14ac:dyDescent="0.15"/>
    <row r="338" hidden="1" x14ac:dyDescent="0.15"/>
    <row r="339" hidden="1" x14ac:dyDescent="0.15"/>
    <row r="340" hidden="1" x14ac:dyDescent="0.15"/>
    <row r="341" hidden="1" x14ac:dyDescent="0.15"/>
    <row r="342" hidden="1" x14ac:dyDescent="0.15"/>
    <row r="343" hidden="1" x14ac:dyDescent="0.15"/>
    <row r="344" hidden="1" x14ac:dyDescent="0.15"/>
    <row r="345" hidden="1" x14ac:dyDescent="0.15"/>
    <row r="346" hidden="1" x14ac:dyDescent="0.15"/>
    <row r="347" hidden="1" x14ac:dyDescent="0.15"/>
    <row r="348" hidden="1" x14ac:dyDescent="0.15"/>
    <row r="349" hidden="1" x14ac:dyDescent="0.15"/>
    <row r="350" hidden="1" x14ac:dyDescent="0.15"/>
    <row r="351" hidden="1" x14ac:dyDescent="0.15"/>
    <row r="352" hidden="1" x14ac:dyDescent="0.15"/>
    <row r="353" hidden="1" x14ac:dyDescent="0.15"/>
    <row r="354" hidden="1" x14ac:dyDescent="0.15"/>
    <row r="355" hidden="1" x14ac:dyDescent="0.15"/>
    <row r="356" hidden="1" x14ac:dyDescent="0.15"/>
    <row r="357" hidden="1" x14ac:dyDescent="0.15"/>
    <row r="358" hidden="1" x14ac:dyDescent="0.15"/>
    <row r="359" hidden="1" x14ac:dyDescent="0.15"/>
    <row r="360" hidden="1" x14ac:dyDescent="0.15"/>
    <row r="361" hidden="1" x14ac:dyDescent="0.15"/>
    <row r="362" hidden="1" x14ac:dyDescent="0.15"/>
    <row r="363" hidden="1" x14ac:dyDescent="0.15"/>
    <row r="364" hidden="1" x14ac:dyDescent="0.15"/>
    <row r="365" hidden="1" x14ac:dyDescent="0.15"/>
    <row r="366" hidden="1" x14ac:dyDescent="0.15"/>
    <row r="367" hidden="1" x14ac:dyDescent="0.15"/>
    <row r="368" hidden="1" x14ac:dyDescent="0.15"/>
    <row r="369" hidden="1" x14ac:dyDescent="0.15"/>
    <row r="370" hidden="1" x14ac:dyDescent="0.15"/>
    <row r="371" hidden="1" x14ac:dyDescent="0.15"/>
    <row r="372" hidden="1" x14ac:dyDescent="0.15"/>
    <row r="373" hidden="1" x14ac:dyDescent="0.15"/>
    <row r="374" hidden="1" x14ac:dyDescent="0.15"/>
    <row r="375" hidden="1" x14ac:dyDescent="0.15"/>
    <row r="376" hidden="1" x14ac:dyDescent="0.15"/>
    <row r="377" hidden="1" x14ac:dyDescent="0.15"/>
    <row r="378" hidden="1" x14ac:dyDescent="0.15"/>
    <row r="379" hidden="1" x14ac:dyDescent="0.15"/>
    <row r="380" hidden="1" x14ac:dyDescent="0.15"/>
    <row r="381" hidden="1" x14ac:dyDescent="0.15"/>
    <row r="382" hidden="1" x14ac:dyDescent="0.15"/>
    <row r="383" hidden="1" x14ac:dyDescent="0.15"/>
    <row r="384" hidden="1" x14ac:dyDescent="0.15"/>
    <row r="385" hidden="1" x14ac:dyDescent="0.15"/>
    <row r="386" hidden="1" x14ac:dyDescent="0.15"/>
    <row r="387" hidden="1" x14ac:dyDescent="0.15"/>
    <row r="388" hidden="1" x14ac:dyDescent="0.15"/>
    <row r="389" hidden="1" x14ac:dyDescent="0.15"/>
    <row r="390" hidden="1" x14ac:dyDescent="0.15"/>
    <row r="391" hidden="1" x14ac:dyDescent="0.15"/>
    <row r="392" hidden="1" x14ac:dyDescent="0.15"/>
    <row r="393" hidden="1" x14ac:dyDescent="0.15"/>
    <row r="394" hidden="1" x14ac:dyDescent="0.15"/>
    <row r="395" hidden="1" x14ac:dyDescent="0.15"/>
    <row r="396" hidden="1" x14ac:dyDescent="0.15"/>
    <row r="397" hidden="1" x14ac:dyDescent="0.15"/>
    <row r="398" hidden="1" x14ac:dyDescent="0.15"/>
    <row r="399" hidden="1" x14ac:dyDescent="0.15"/>
    <row r="400" hidden="1" x14ac:dyDescent="0.15"/>
    <row r="401" hidden="1" x14ac:dyDescent="0.15"/>
    <row r="402" hidden="1" x14ac:dyDescent="0.15"/>
    <row r="403" hidden="1" x14ac:dyDescent="0.15"/>
    <row r="404" hidden="1" x14ac:dyDescent="0.15"/>
    <row r="405" hidden="1" x14ac:dyDescent="0.15"/>
    <row r="406" hidden="1" x14ac:dyDescent="0.15"/>
    <row r="407" hidden="1" x14ac:dyDescent="0.15"/>
    <row r="408" hidden="1" x14ac:dyDescent="0.15"/>
    <row r="409" hidden="1" x14ac:dyDescent="0.15"/>
    <row r="410" hidden="1" x14ac:dyDescent="0.15"/>
    <row r="411" hidden="1" x14ac:dyDescent="0.15"/>
    <row r="412" hidden="1" x14ac:dyDescent="0.15"/>
    <row r="413" hidden="1" x14ac:dyDescent="0.15"/>
    <row r="414" hidden="1" x14ac:dyDescent="0.15"/>
    <row r="415" hidden="1" x14ac:dyDescent="0.15"/>
    <row r="416" hidden="1" x14ac:dyDescent="0.15"/>
    <row r="417" hidden="1" x14ac:dyDescent="0.15"/>
    <row r="418" hidden="1" x14ac:dyDescent="0.15"/>
    <row r="419" hidden="1" x14ac:dyDescent="0.15"/>
    <row r="420" hidden="1" x14ac:dyDescent="0.15"/>
    <row r="421" hidden="1" x14ac:dyDescent="0.15"/>
    <row r="422" hidden="1" x14ac:dyDescent="0.15"/>
    <row r="423" hidden="1" x14ac:dyDescent="0.15"/>
    <row r="424" hidden="1" x14ac:dyDescent="0.15"/>
    <row r="425" hidden="1" x14ac:dyDescent="0.15"/>
    <row r="426" hidden="1" x14ac:dyDescent="0.15"/>
    <row r="427" hidden="1" x14ac:dyDescent="0.15"/>
    <row r="428" hidden="1" x14ac:dyDescent="0.15"/>
    <row r="429" hidden="1" x14ac:dyDescent="0.15"/>
    <row r="430" hidden="1" x14ac:dyDescent="0.15"/>
    <row r="431" hidden="1" x14ac:dyDescent="0.15"/>
    <row r="432" hidden="1" x14ac:dyDescent="0.15"/>
    <row r="433" hidden="1" x14ac:dyDescent="0.15"/>
    <row r="434" hidden="1" x14ac:dyDescent="0.15"/>
    <row r="435" hidden="1" x14ac:dyDescent="0.15"/>
    <row r="436" hidden="1" x14ac:dyDescent="0.15"/>
    <row r="437" hidden="1" x14ac:dyDescent="0.15"/>
    <row r="438" hidden="1" x14ac:dyDescent="0.15"/>
    <row r="439" hidden="1" x14ac:dyDescent="0.15"/>
    <row r="440" hidden="1" x14ac:dyDescent="0.15"/>
    <row r="441" hidden="1" x14ac:dyDescent="0.15"/>
    <row r="442" hidden="1" x14ac:dyDescent="0.15"/>
    <row r="443" hidden="1" x14ac:dyDescent="0.15"/>
    <row r="444" hidden="1" x14ac:dyDescent="0.15"/>
    <row r="445" hidden="1" x14ac:dyDescent="0.15"/>
    <row r="446" hidden="1" x14ac:dyDescent="0.15"/>
    <row r="447" hidden="1" x14ac:dyDescent="0.15"/>
    <row r="448" hidden="1" x14ac:dyDescent="0.15"/>
    <row r="449" hidden="1" x14ac:dyDescent="0.15"/>
    <row r="450" hidden="1" x14ac:dyDescent="0.15"/>
    <row r="451" hidden="1" x14ac:dyDescent="0.15"/>
    <row r="452" hidden="1" x14ac:dyDescent="0.15"/>
    <row r="453" hidden="1" x14ac:dyDescent="0.15"/>
    <row r="454" hidden="1" x14ac:dyDescent="0.15"/>
    <row r="455" hidden="1" x14ac:dyDescent="0.15"/>
    <row r="456" hidden="1" x14ac:dyDescent="0.15"/>
    <row r="457" hidden="1" x14ac:dyDescent="0.15"/>
    <row r="458" hidden="1" x14ac:dyDescent="0.15"/>
    <row r="459" hidden="1" x14ac:dyDescent="0.15"/>
    <row r="460" hidden="1" x14ac:dyDescent="0.15"/>
    <row r="461" hidden="1" x14ac:dyDescent="0.15"/>
    <row r="462" hidden="1" x14ac:dyDescent="0.15"/>
    <row r="463" hidden="1" x14ac:dyDescent="0.15"/>
    <row r="464" hidden="1" x14ac:dyDescent="0.15"/>
    <row r="465" spans="5:12" hidden="1" x14ac:dyDescent="0.15"/>
    <row r="466" spans="5:12" hidden="1" x14ac:dyDescent="0.15"/>
    <row r="467" spans="5:12" ht="18" customHeight="1" x14ac:dyDescent="0.2">
      <c r="K467" s="179"/>
      <c r="L467" s="178" t="s">
        <v>615</v>
      </c>
    </row>
    <row r="468" spans="5:12" ht="18" customHeight="1" x14ac:dyDescent="0.2">
      <c r="E468" s="117"/>
      <c r="K468" s="180"/>
      <c r="L468" s="178" t="s">
        <v>616</v>
      </c>
    </row>
  </sheetData>
  <mergeCells count="26">
    <mergeCell ref="A54:A63"/>
    <mergeCell ref="A8:A13"/>
    <mergeCell ref="B55:C55"/>
    <mergeCell ref="B6:C6"/>
    <mergeCell ref="B30:C30"/>
    <mergeCell ref="B16:C16"/>
    <mergeCell ref="B54:C54"/>
    <mergeCell ref="B60:C61"/>
    <mergeCell ref="B46:C46"/>
    <mergeCell ref="B31:C31"/>
    <mergeCell ref="B64:C64"/>
    <mergeCell ref="A1:C1"/>
    <mergeCell ref="A16:A18"/>
    <mergeCell ref="B45:C45"/>
    <mergeCell ref="B4:C4"/>
    <mergeCell ref="A6:A7"/>
    <mergeCell ref="B56:C56"/>
    <mergeCell ref="B18:C18"/>
    <mergeCell ref="B39:C39"/>
    <mergeCell ref="B2:C2"/>
    <mergeCell ref="A14:C14"/>
    <mergeCell ref="B17:C17"/>
    <mergeCell ref="B38:C38"/>
    <mergeCell ref="B29:C29"/>
    <mergeCell ref="A2:A5"/>
    <mergeCell ref="B37:C37"/>
  </mergeCells>
  <pageMargins left="0.7" right="0.7" top="0.75" bottom="0.75" header="0.3" footer="0.3"/>
  <pageSetup paperSize="9" orientation="portrait" horizontalDpi="0" verticalDpi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8"/>
  <sheetViews>
    <sheetView workbookViewId="0">
      <selection activeCell="C24" sqref="C24"/>
    </sheetView>
  </sheetViews>
  <sheetFormatPr baseColWidth="10" defaultRowHeight="13" x14ac:dyDescent="0.15"/>
  <cols>
    <col min="1" max="1" width="18.5" style="74" customWidth="1"/>
    <col min="2" max="2" width="11" bestFit="1" customWidth="1"/>
    <col min="3" max="3" width="13.6640625" bestFit="1" customWidth="1"/>
    <col min="4" max="4" width="35.6640625" customWidth="1"/>
    <col min="5" max="5" width="68.83203125" style="74" customWidth="1"/>
    <col min="9" max="9" width="11.1640625" bestFit="1" customWidth="1"/>
  </cols>
  <sheetData>
    <row r="1" spans="1:9" s="75" customFormat="1" ht="14" customHeight="1" x14ac:dyDescent="0.15">
      <c r="A1" s="76" t="s">
        <v>617</v>
      </c>
      <c r="B1" s="77" t="s">
        <v>618</v>
      </c>
      <c r="C1" s="77" t="s">
        <v>160</v>
      </c>
      <c r="D1" s="77" t="s">
        <v>7</v>
      </c>
      <c r="E1" s="76" t="s">
        <v>619</v>
      </c>
    </row>
    <row r="2" spans="1:9" ht="14" customHeight="1" x14ac:dyDescent="0.15">
      <c r="A2" s="90" t="s">
        <v>573</v>
      </c>
      <c r="B2" s="78" t="s">
        <v>620</v>
      </c>
      <c r="C2" s="79">
        <v>6000</v>
      </c>
      <c r="D2" s="106" t="s">
        <v>621</v>
      </c>
      <c r="E2" s="107"/>
    </row>
    <row r="3" spans="1:9" ht="14" customHeight="1" x14ac:dyDescent="0.15">
      <c r="A3" s="90" t="s">
        <v>622</v>
      </c>
      <c r="B3" s="78" t="s">
        <v>623</v>
      </c>
      <c r="C3" s="79">
        <v>1200</v>
      </c>
      <c r="D3" s="106" t="s">
        <v>621</v>
      </c>
      <c r="E3" s="107"/>
    </row>
    <row r="4" spans="1:9" ht="28" customHeight="1" x14ac:dyDescent="0.15">
      <c r="A4" s="90" t="s">
        <v>624</v>
      </c>
      <c r="B4" s="78" t="s">
        <v>625</v>
      </c>
      <c r="C4" s="118">
        <f>C3/C2</f>
        <v>0.2</v>
      </c>
      <c r="D4" s="106" t="s">
        <v>621</v>
      </c>
      <c r="E4" s="90" t="s">
        <v>626</v>
      </c>
    </row>
    <row r="5" spans="1:9" ht="70" customHeight="1" x14ac:dyDescent="0.15">
      <c r="A5" s="90" t="s">
        <v>627</v>
      </c>
      <c r="B5" s="78" t="s">
        <v>134</v>
      </c>
      <c r="C5" s="101">
        <v>0.17</v>
      </c>
      <c r="D5" s="106" t="s">
        <v>621</v>
      </c>
      <c r="E5" s="108" t="s">
        <v>628</v>
      </c>
    </row>
    <row r="6" spans="1:9" ht="42" customHeight="1" x14ac:dyDescent="0.15">
      <c r="A6" s="90" t="s">
        <v>629</v>
      </c>
      <c r="B6" s="78" t="s">
        <v>134</v>
      </c>
      <c r="C6" s="101">
        <v>0.15</v>
      </c>
      <c r="D6" s="106" t="s">
        <v>554</v>
      </c>
      <c r="E6" s="90" t="s">
        <v>630</v>
      </c>
    </row>
    <row r="7" spans="1:9" ht="14" customHeight="1" x14ac:dyDescent="0.15">
      <c r="A7" s="90" t="s">
        <v>631</v>
      </c>
      <c r="B7" s="78" t="s">
        <v>632</v>
      </c>
      <c r="C7" s="79">
        <v>90000000</v>
      </c>
      <c r="D7" s="106" t="s">
        <v>621</v>
      </c>
      <c r="E7" s="108" t="s">
        <v>633</v>
      </c>
      <c r="I7" s="117"/>
    </row>
    <row r="8" spans="1:9" ht="28" customHeight="1" x14ac:dyDescent="0.15">
      <c r="A8" s="90" t="s">
        <v>634</v>
      </c>
      <c r="B8" s="78" t="s">
        <v>134</v>
      </c>
      <c r="C8" s="81">
        <v>0.25</v>
      </c>
      <c r="D8" s="106" t="s">
        <v>621</v>
      </c>
      <c r="E8" s="108" t="s">
        <v>635</v>
      </c>
    </row>
    <row r="9" spans="1:9" ht="28" customHeight="1" x14ac:dyDescent="0.15">
      <c r="A9" s="90" t="s">
        <v>636</v>
      </c>
      <c r="B9" s="78" t="s">
        <v>134</v>
      </c>
      <c r="C9" s="81">
        <v>0.5</v>
      </c>
      <c r="D9" s="106" t="s">
        <v>621</v>
      </c>
      <c r="E9" s="108" t="s">
        <v>637</v>
      </c>
    </row>
    <row r="10" spans="1:9" ht="42" customHeight="1" x14ac:dyDescent="0.15">
      <c r="A10" s="90" t="s">
        <v>638</v>
      </c>
      <c r="B10" s="78" t="s">
        <v>639</v>
      </c>
      <c r="C10" s="109">
        <v>2</v>
      </c>
      <c r="D10" s="106" t="s">
        <v>621</v>
      </c>
      <c r="E10" s="90" t="s">
        <v>640</v>
      </c>
    </row>
    <row r="11" spans="1:9" ht="42" customHeight="1" x14ac:dyDescent="0.15">
      <c r="A11" s="90" t="s">
        <v>641</v>
      </c>
      <c r="B11" s="78" t="s">
        <v>639</v>
      </c>
      <c r="C11" s="109">
        <v>0.75</v>
      </c>
      <c r="D11" s="106" t="s">
        <v>642</v>
      </c>
      <c r="E11" s="90" t="s">
        <v>643</v>
      </c>
    </row>
    <row r="12" spans="1:9" ht="14" customHeight="1" x14ac:dyDescent="0.15">
      <c r="A12" s="90" t="s">
        <v>644</v>
      </c>
      <c r="B12" s="78" t="s">
        <v>639</v>
      </c>
      <c r="C12" s="110">
        <f>C10/12</f>
        <v>0.16666666666666666</v>
      </c>
      <c r="D12" s="106"/>
      <c r="E12" s="90"/>
    </row>
    <row r="13" spans="1:9" ht="74" customHeight="1" x14ac:dyDescent="0.15">
      <c r="A13" s="90" t="s">
        <v>645</v>
      </c>
      <c r="B13" s="78" t="s">
        <v>209</v>
      </c>
      <c r="C13" s="80">
        <v>1.04</v>
      </c>
      <c r="D13" s="90" t="s">
        <v>646</v>
      </c>
      <c r="E13" s="90" t="s">
        <v>647</v>
      </c>
    </row>
    <row r="14" spans="1:9" ht="28" customHeight="1" x14ac:dyDescent="0.15">
      <c r="A14" s="90" t="s">
        <v>648</v>
      </c>
      <c r="B14" s="78" t="s">
        <v>649</v>
      </c>
      <c r="C14" s="111">
        <f>C13^(1/12)</f>
        <v>1.0032737397821989</v>
      </c>
      <c r="D14" s="106"/>
      <c r="E14" s="90"/>
    </row>
    <row r="15" spans="1:9" ht="42" customHeight="1" x14ac:dyDescent="0.15">
      <c r="A15" s="90" t="s">
        <v>650</v>
      </c>
      <c r="B15" s="78" t="s">
        <v>134</v>
      </c>
      <c r="C15" s="101">
        <v>1.1579999999999999</v>
      </c>
      <c r="D15" s="112" t="s">
        <v>651</v>
      </c>
      <c r="E15" s="90" t="s">
        <v>652</v>
      </c>
    </row>
    <row r="16" spans="1:9" ht="42" customHeight="1" x14ac:dyDescent="0.15">
      <c r="A16" s="90" t="s">
        <v>653</v>
      </c>
      <c r="B16" s="78" t="s">
        <v>134</v>
      </c>
      <c r="C16" s="113">
        <v>1.177</v>
      </c>
      <c r="D16" s="112" t="s">
        <v>651</v>
      </c>
      <c r="E16" s="90" t="s">
        <v>652</v>
      </c>
    </row>
    <row r="17" spans="1:8" ht="42" customHeight="1" x14ac:dyDescent="0.15">
      <c r="A17" s="90" t="s">
        <v>654</v>
      </c>
      <c r="B17" s="78" t="s">
        <v>134</v>
      </c>
      <c r="C17" s="101">
        <v>1.3120000000000001</v>
      </c>
      <c r="D17" s="112" t="s">
        <v>651</v>
      </c>
      <c r="E17" s="90" t="s">
        <v>652</v>
      </c>
    </row>
    <row r="18" spans="1:8" ht="42" customHeight="1" x14ac:dyDescent="0.15">
      <c r="A18" s="90" t="s">
        <v>655</v>
      </c>
      <c r="B18" s="78" t="s">
        <v>134</v>
      </c>
      <c r="C18" s="101">
        <v>1.2450000000000001</v>
      </c>
      <c r="D18" s="112" t="s">
        <v>651</v>
      </c>
      <c r="E18" s="90" t="s">
        <v>652</v>
      </c>
    </row>
    <row r="19" spans="1:8" ht="42" customHeight="1" x14ac:dyDescent="0.15">
      <c r="A19" s="90" t="s">
        <v>656</v>
      </c>
      <c r="B19" s="78" t="s">
        <v>134</v>
      </c>
      <c r="C19" s="114">
        <f>GEOMEAN(C15:C18)</f>
        <v>1.2215100716158864</v>
      </c>
      <c r="D19" s="115"/>
      <c r="E19" s="115" t="s">
        <v>657</v>
      </c>
      <c r="F19" s="83"/>
      <c r="G19" s="83"/>
      <c r="H19" s="83"/>
    </row>
    <row r="20" spans="1:8" ht="28" customHeight="1" x14ac:dyDescent="0.15">
      <c r="A20" s="90" t="s">
        <v>658</v>
      </c>
      <c r="B20" s="78" t="s">
        <v>134</v>
      </c>
      <c r="C20" s="113">
        <f>C15/C16-1</f>
        <v>-1.6142735768904126E-2</v>
      </c>
      <c r="D20" s="115"/>
      <c r="E20" s="115"/>
      <c r="F20" s="83"/>
      <c r="G20" s="83"/>
      <c r="H20" s="83"/>
    </row>
    <row r="21" spans="1:8" ht="42" customHeight="1" x14ac:dyDescent="0.15">
      <c r="A21" s="90" t="s">
        <v>659</v>
      </c>
      <c r="B21" s="78" t="s">
        <v>134</v>
      </c>
      <c r="C21" s="113">
        <f>C15+C20*C15</f>
        <v>1.139306711979609</v>
      </c>
      <c r="D21" s="116"/>
      <c r="E21" s="90" t="s">
        <v>660</v>
      </c>
    </row>
    <row r="22" spans="1:8" ht="28" customHeight="1" x14ac:dyDescent="0.15">
      <c r="A22" s="90" t="s">
        <v>661</v>
      </c>
      <c r="B22" s="78" t="s">
        <v>134</v>
      </c>
      <c r="C22" s="114">
        <f>C21^(1/12)</f>
        <v>1.0109276023180429</v>
      </c>
      <c r="D22" s="116"/>
      <c r="E22" s="90" t="s">
        <v>662</v>
      </c>
    </row>
    <row r="23" spans="1:8" ht="42" customHeight="1" x14ac:dyDescent="0.15">
      <c r="A23" s="127" t="s">
        <v>663</v>
      </c>
      <c r="B23" s="78" t="s">
        <v>134</v>
      </c>
      <c r="C23" s="81">
        <v>0.05</v>
      </c>
      <c r="D23" s="106" t="s">
        <v>621</v>
      </c>
      <c r="E23" s="127" t="s">
        <v>664</v>
      </c>
    </row>
    <row r="24" spans="1:8" ht="210" customHeight="1" x14ac:dyDescent="0.15">
      <c r="A24" s="127" t="s">
        <v>593</v>
      </c>
      <c r="B24" s="78" t="s">
        <v>134</v>
      </c>
      <c r="C24" s="190">
        <f>E24</f>
        <v>0.1818181818181818</v>
      </c>
      <c r="D24" s="127" t="s">
        <v>665</v>
      </c>
      <c r="E24">
        <f>C3/1.1/C2</f>
        <v>0.1818181818181818</v>
      </c>
    </row>
    <row r="27" spans="1:8" x14ac:dyDescent="0.15">
      <c r="E27" s="127"/>
      <c r="F27" s="125"/>
      <c r="G27" s="125"/>
    </row>
    <row r="28" spans="1:8" x14ac:dyDescent="0.15">
      <c r="E28" s="127"/>
    </row>
  </sheetData>
  <hyperlinks>
    <hyperlink ref="D15" r:id="rId1" xr:uid="{00000000-0004-0000-0C00-000000000000}"/>
    <hyperlink ref="D16" r:id="rId2" xr:uid="{00000000-0004-0000-0C00-000001000000}"/>
    <hyperlink ref="D17" r:id="rId3" xr:uid="{00000000-0004-0000-0C00-000002000000}"/>
    <hyperlink ref="D18" r:id="rId4" xr:uid="{00000000-0004-0000-0C00-000003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28"/>
  <sheetViews>
    <sheetView zoomScale="125" zoomScaleNormal="100" workbookViewId="0">
      <selection activeCell="C24" sqref="C24"/>
    </sheetView>
  </sheetViews>
  <sheetFormatPr baseColWidth="10" defaultRowHeight="13" x14ac:dyDescent="0.15"/>
  <sheetData>
    <row r="1" spans="1:19" x14ac:dyDescent="0.15">
      <c r="A1" s="126" t="s">
        <v>666</v>
      </c>
    </row>
    <row r="2" spans="1:19" ht="13" customHeight="1" x14ac:dyDescent="0.15">
      <c r="A2" s="360" t="s">
        <v>667</v>
      </c>
      <c r="B2" s="315"/>
      <c r="C2" s="315"/>
      <c r="D2" s="315"/>
      <c r="E2" s="315"/>
      <c r="F2" s="315"/>
      <c r="G2" s="315"/>
      <c r="H2" s="315"/>
      <c r="I2" s="315"/>
      <c r="J2" s="315"/>
      <c r="K2" s="315"/>
      <c r="L2" s="315"/>
      <c r="M2" s="315"/>
      <c r="N2" s="315"/>
      <c r="O2" s="315"/>
      <c r="P2" s="315"/>
      <c r="Q2" s="127"/>
      <c r="R2" s="127"/>
      <c r="S2" s="127"/>
    </row>
    <row r="3" spans="1:19" x14ac:dyDescent="0.15">
      <c r="A3" s="315"/>
      <c r="B3" s="315"/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127"/>
      <c r="R3" s="127"/>
      <c r="S3" s="127"/>
    </row>
    <row r="4" spans="1:19" x14ac:dyDescent="0.15">
      <c r="A4" s="127"/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</row>
    <row r="5" spans="1:19" x14ac:dyDescent="0.15">
      <c r="A5" s="126" t="s">
        <v>668</v>
      </c>
      <c r="B5" s="127"/>
      <c r="C5" s="127"/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</row>
    <row r="6" spans="1:19" ht="64" customHeight="1" x14ac:dyDescent="0.15">
      <c r="A6" s="360" t="s">
        <v>669</v>
      </c>
      <c r="B6" s="315"/>
      <c r="C6" s="315"/>
      <c r="D6" s="315"/>
      <c r="E6" s="315"/>
      <c r="F6" s="315"/>
      <c r="G6" s="315"/>
      <c r="H6" s="315"/>
      <c r="I6" s="315"/>
      <c r="J6" s="315"/>
      <c r="K6" s="315"/>
      <c r="L6" s="315"/>
      <c r="M6" s="315"/>
      <c r="N6" s="315"/>
      <c r="O6" s="315"/>
      <c r="P6" s="315"/>
      <c r="Q6" s="127"/>
      <c r="R6" s="127"/>
      <c r="S6" s="127"/>
    </row>
    <row r="7" spans="1:19" x14ac:dyDescent="0.15">
      <c r="A7" s="315"/>
      <c r="B7" s="315"/>
      <c r="C7" s="315"/>
      <c r="D7" s="315"/>
      <c r="E7" s="315"/>
      <c r="F7" s="315"/>
      <c r="G7" s="315"/>
      <c r="H7" s="315"/>
      <c r="I7" s="315"/>
      <c r="J7" s="315"/>
      <c r="K7" s="315"/>
      <c r="L7" s="315"/>
      <c r="M7" s="315"/>
      <c r="N7" s="315"/>
      <c r="O7" s="315"/>
      <c r="P7" s="315"/>
    </row>
    <row r="9" spans="1:19" x14ac:dyDescent="0.15">
      <c r="A9" s="126" t="s">
        <v>670</v>
      </c>
    </row>
    <row r="10" spans="1:19" ht="36" customHeight="1" x14ac:dyDescent="0.15">
      <c r="A10" s="359" t="s">
        <v>671</v>
      </c>
      <c r="B10" s="315"/>
      <c r="C10" s="315"/>
      <c r="D10" s="315"/>
      <c r="E10" s="315"/>
      <c r="F10" s="315"/>
      <c r="G10" s="315"/>
      <c r="H10" s="315"/>
      <c r="I10" s="315"/>
      <c r="J10" s="315"/>
      <c r="K10" s="315"/>
      <c r="L10" s="315"/>
      <c r="M10" s="315"/>
      <c r="N10" s="315"/>
      <c r="O10" s="315"/>
      <c r="P10" s="315"/>
    </row>
    <row r="12" spans="1:19" x14ac:dyDescent="0.15">
      <c r="A12" s="126" t="s">
        <v>672</v>
      </c>
    </row>
    <row r="13" spans="1:19" ht="33" customHeight="1" x14ac:dyDescent="0.15">
      <c r="A13" s="359" t="s">
        <v>673</v>
      </c>
      <c r="B13" s="315"/>
      <c r="C13" s="315"/>
      <c r="D13" s="315"/>
      <c r="E13" s="315"/>
      <c r="F13" s="315"/>
      <c r="G13" s="315"/>
      <c r="H13" s="315"/>
      <c r="I13" s="315"/>
      <c r="J13" s="315"/>
      <c r="K13" s="315"/>
      <c r="L13" s="315"/>
      <c r="M13" s="315"/>
      <c r="N13" s="315"/>
      <c r="O13" s="315"/>
      <c r="P13" s="315"/>
    </row>
    <row r="15" spans="1:19" x14ac:dyDescent="0.15">
      <c r="A15" s="126" t="s">
        <v>674</v>
      </c>
    </row>
    <row r="16" spans="1:19" ht="26" customHeight="1" x14ac:dyDescent="0.15">
      <c r="A16" s="360" t="s">
        <v>675</v>
      </c>
      <c r="B16" s="315"/>
      <c r="C16" s="315"/>
      <c r="D16" s="315"/>
      <c r="E16" s="315"/>
      <c r="F16" s="315"/>
      <c r="G16" s="315"/>
      <c r="H16" s="315"/>
      <c r="I16" s="315"/>
      <c r="J16" s="315"/>
      <c r="K16" s="315"/>
      <c r="L16" s="315"/>
      <c r="M16" s="315"/>
      <c r="N16" s="315"/>
      <c r="O16" s="315"/>
      <c r="P16" s="315"/>
    </row>
    <row r="18" spans="1:16" x14ac:dyDescent="0.15">
      <c r="A18" s="126" t="s">
        <v>676</v>
      </c>
    </row>
    <row r="19" spans="1:16" x14ac:dyDescent="0.15">
      <c r="A19" s="358" t="s">
        <v>677</v>
      </c>
      <c r="B19" s="315"/>
      <c r="C19" s="315"/>
      <c r="D19" s="315"/>
      <c r="E19" s="315"/>
      <c r="F19" s="315"/>
      <c r="G19" s="315"/>
      <c r="H19" s="315"/>
      <c r="I19" s="315"/>
      <c r="J19" s="315"/>
      <c r="K19" s="315"/>
      <c r="L19" s="315"/>
      <c r="M19" s="315"/>
      <c r="N19" s="315"/>
      <c r="O19" s="315"/>
      <c r="P19" s="315"/>
    </row>
    <row r="21" spans="1:16" x14ac:dyDescent="0.15">
      <c r="A21" s="126" t="s">
        <v>678</v>
      </c>
    </row>
    <row r="22" spans="1:16" x14ac:dyDescent="0.15">
      <c r="A22" s="125" t="s">
        <v>679</v>
      </c>
    </row>
    <row r="23" spans="1:16" x14ac:dyDescent="0.15">
      <c r="A23" s="125" t="s">
        <v>680</v>
      </c>
    </row>
    <row r="24" spans="1:16" x14ac:dyDescent="0.15">
      <c r="A24" s="125" t="s">
        <v>681</v>
      </c>
    </row>
    <row r="25" spans="1:16" x14ac:dyDescent="0.15">
      <c r="A25" s="125" t="s">
        <v>682</v>
      </c>
    </row>
    <row r="26" spans="1:16" x14ac:dyDescent="0.15">
      <c r="A26" s="125" t="s">
        <v>683</v>
      </c>
    </row>
    <row r="28" spans="1:16" x14ac:dyDescent="0.15">
      <c r="A28" s="126" t="s">
        <v>684</v>
      </c>
    </row>
  </sheetData>
  <mergeCells count="6">
    <mergeCell ref="A19:P19"/>
    <mergeCell ref="A10:P10"/>
    <mergeCell ref="A2:P3"/>
    <mergeCell ref="A6:P7"/>
    <mergeCell ref="A13:P13"/>
    <mergeCell ref="A16:P1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Z1000"/>
  <sheetViews>
    <sheetView showGridLines="0" topLeftCell="A32" workbookViewId="0">
      <selection activeCell="E45" sqref="E45"/>
    </sheetView>
  </sheetViews>
  <sheetFormatPr baseColWidth="10" defaultColWidth="12.6640625" defaultRowHeight="15.75" customHeight="1" x14ac:dyDescent="0.15"/>
  <cols>
    <col min="1" max="3" width="29.6640625" customWidth="1"/>
    <col min="4" max="4" width="31.6640625" customWidth="1"/>
    <col min="5" max="5" width="56.6640625" customWidth="1"/>
    <col min="7" max="26" width="12.6640625" hidden="1" customWidth="1"/>
  </cols>
  <sheetData>
    <row r="1" spans="1:26" ht="13" customHeight="1" x14ac:dyDescent="0.15">
      <c r="A1" s="364" t="s">
        <v>685</v>
      </c>
      <c r="B1" s="345"/>
      <c r="C1" s="345"/>
      <c r="D1" s="345"/>
      <c r="E1" s="365"/>
    </row>
    <row r="2" spans="1:26" ht="13" customHeight="1" x14ac:dyDescent="0.15">
      <c r="A2" s="366"/>
      <c r="B2" s="352"/>
      <c r="C2" s="352"/>
      <c r="D2" s="352"/>
      <c r="E2" s="367"/>
    </row>
    <row r="3" spans="1:26" ht="34" customHeight="1" x14ac:dyDescent="0.15">
      <c r="A3" s="62" t="s">
        <v>686</v>
      </c>
      <c r="B3" s="62" t="s">
        <v>687</v>
      </c>
      <c r="C3" s="62" t="s">
        <v>688</v>
      </c>
      <c r="D3" s="62" t="s">
        <v>689</v>
      </c>
      <c r="E3" s="62" t="s">
        <v>690</v>
      </c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</row>
    <row r="4" spans="1:26" ht="102" customHeight="1" x14ac:dyDescent="0.2">
      <c r="A4" s="64" t="s">
        <v>691</v>
      </c>
      <c r="B4" s="65" t="s">
        <v>692</v>
      </c>
      <c r="C4" s="65" t="s">
        <v>319</v>
      </c>
      <c r="D4" s="65" t="s">
        <v>319</v>
      </c>
      <c r="E4" s="66" t="s">
        <v>693</v>
      </c>
    </row>
    <row r="5" spans="1:26" ht="119" customHeight="1" x14ac:dyDescent="0.2">
      <c r="A5" s="64" t="s">
        <v>694</v>
      </c>
      <c r="B5" s="65" t="s">
        <v>692</v>
      </c>
      <c r="C5" s="65" t="s">
        <v>319</v>
      </c>
      <c r="D5" s="65" t="s">
        <v>319</v>
      </c>
      <c r="E5" s="66" t="s">
        <v>695</v>
      </c>
    </row>
    <row r="6" spans="1:26" ht="51" customHeight="1" x14ac:dyDescent="0.2">
      <c r="A6" s="64" t="s">
        <v>696</v>
      </c>
      <c r="B6" s="65" t="s">
        <v>692</v>
      </c>
      <c r="C6" s="65" t="s">
        <v>319</v>
      </c>
      <c r="D6" s="65" t="s">
        <v>319</v>
      </c>
      <c r="E6" s="66" t="s">
        <v>697</v>
      </c>
    </row>
    <row r="7" spans="1:26" ht="34" customHeight="1" x14ac:dyDescent="0.2">
      <c r="A7" s="64" t="s">
        <v>698</v>
      </c>
      <c r="B7" s="65">
        <v>250</v>
      </c>
      <c r="C7" s="67">
        <v>0.6</v>
      </c>
      <c r="D7" s="65" t="s">
        <v>699</v>
      </c>
      <c r="E7" s="66" t="s">
        <v>700</v>
      </c>
    </row>
    <row r="8" spans="1:26" ht="17" customHeight="1" x14ac:dyDescent="0.2">
      <c r="A8" s="64" t="s">
        <v>701</v>
      </c>
      <c r="B8" s="65">
        <v>180</v>
      </c>
      <c r="C8" s="67">
        <v>0.45</v>
      </c>
      <c r="D8" s="67">
        <v>0.3</v>
      </c>
      <c r="E8" s="66" t="s">
        <v>702</v>
      </c>
    </row>
    <row r="9" spans="1:26" ht="17" customHeight="1" x14ac:dyDescent="0.2">
      <c r="A9" s="64" t="s">
        <v>703</v>
      </c>
      <c r="B9" s="65">
        <v>40</v>
      </c>
      <c r="C9" s="67">
        <v>0.3</v>
      </c>
      <c r="D9" s="67">
        <v>0.45</v>
      </c>
      <c r="E9" s="66" t="s">
        <v>704</v>
      </c>
    </row>
    <row r="10" spans="1:26" ht="68" customHeight="1" x14ac:dyDescent="0.2">
      <c r="A10" s="64" t="s">
        <v>705</v>
      </c>
      <c r="B10" s="65">
        <v>110</v>
      </c>
      <c r="C10" s="65">
        <v>0.4</v>
      </c>
      <c r="D10" s="65">
        <v>0.45</v>
      </c>
      <c r="E10" s="66" t="s">
        <v>706</v>
      </c>
    </row>
    <row r="11" spans="1:26" ht="85" customHeight="1" x14ac:dyDescent="0.2">
      <c r="A11" s="64" t="s">
        <v>707</v>
      </c>
      <c r="B11" s="65">
        <v>380</v>
      </c>
      <c r="C11" s="65">
        <v>0.3</v>
      </c>
      <c r="D11" s="65">
        <v>0.35</v>
      </c>
      <c r="E11" s="66" t="s">
        <v>708</v>
      </c>
    </row>
    <row r="12" spans="1:26" ht="34" customHeight="1" x14ac:dyDescent="0.2">
      <c r="A12" s="84" t="s">
        <v>709</v>
      </c>
      <c r="B12" s="65">
        <v>90</v>
      </c>
      <c r="C12" s="67">
        <v>0.25</v>
      </c>
      <c r="D12" s="67">
        <v>0.5</v>
      </c>
      <c r="E12" s="66" t="s">
        <v>710</v>
      </c>
    </row>
    <row r="13" spans="1:26" ht="34" customHeight="1" x14ac:dyDescent="0.2">
      <c r="A13" s="64" t="s">
        <v>711</v>
      </c>
      <c r="B13" s="65" t="s">
        <v>712</v>
      </c>
      <c r="C13" s="65" t="s">
        <v>713</v>
      </c>
      <c r="D13" s="67">
        <v>0.2</v>
      </c>
      <c r="E13" s="66" t="s">
        <v>714</v>
      </c>
    </row>
    <row r="14" spans="1:26" ht="85" customHeight="1" x14ac:dyDescent="0.2">
      <c r="A14" s="64" t="s">
        <v>715</v>
      </c>
      <c r="B14" s="65" t="s">
        <v>716</v>
      </c>
      <c r="C14" s="65" t="s">
        <v>717</v>
      </c>
      <c r="D14" s="65" t="s">
        <v>718</v>
      </c>
      <c r="E14" s="66" t="s">
        <v>719</v>
      </c>
    </row>
    <row r="15" spans="1:26" ht="17" customHeight="1" x14ac:dyDescent="0.2">
      <c r="A15" s="64" t="s">
        <v>720</v>
      </c>
      <c r="B15" s="65" t="s">
        <v>319</v>
      </c>
      <c r="C15" s="65" t="s">
        <v>319</v>
      </c>
      <c r="D15" s="65" t="s">
        <v>319</v>
      </c>
      <c r="E15" s="68" t="s">
        <v>721</v>
      </c>
    </row>
    <row r="16" spans="1:26" ht="17" customHeight="1" x14ac:dyDescent="0.2">
      <c r="A16" s="64" t="s">
        <v>722</v>
      </c>
      <c r="B16" s="65" t="s">
        <v>723</v>
      </c>
      <c r="C16" s="67">
        <v>0.65</v>
      </c>
      <c r="D16" s="67">
        <v>0.4</v>
      </c>
      <c r="E16" s="66" t="s">
        <v>724</v>
      </c>
    </row>
    <row r="17" spans="1:5" ht="17" customHeight="1" x14ac:dyDescent="0.2">
      <c r="A17" s="64" t="s">
        <v>725</v>
      </c>
      <c r="B17" s="65" t="s">
        <v>726</v>
      </c>
      <c r="C17" s="67">
        <v>0.7</v>
      </c>
      <c r="D17" s="67">
        <v>0.5</v>
      </c>
      <c r="E17" s="66" t="s">
        <v>727</v>
      </c>
    </row>
    <row r="18" spans="1:5" ht="68" customHeight="1" x14ac:dyDescent="0.2">
      <c r="A18" s="64" t="s">
        <v>728</v>
      </c>
      <c r="B18" s="65" t="s">
        <v>729</v>
      </c>
      <c r="C18" s="65" t="s">
        <v>730</v>
      </c>
      <c r="D18" s="67">
        <v>0.25</v>
      </c>
      <c r="E18" s="66" t="s">
        <v>731</v>
      </c>
    </row>
    <row r="20" spans="1:5" ht="13" customHeight="1" x14ac:dyDescent="0.15">
      <c r="A20" s="368" t="s">
        <v>732</v>
      </c>
      <c r="B20" s="345"/>
      <c r="C20" s="345"/>
      <c r="D20" s="345"/>
      <c r="E20" s="365"/>
    </row>
    <row r="21" spans="1:5" ht="13" customHeight="1" x14ac:dyDescent="0.15">
      <c r="A21" s="366"/>
      <c r="B21" s="352"/>
      <c r="C21" s="352"/>
      <c r="D21" s="352"/>
      <c r="E21" s="367"/>
    </row>
    <row r="22" spans="1:5" ht="17" customHeight="1" x14ac:dyDescent="0.2">
      <c r="A22" s="69" t="s">
        <v>329</v>
      </c>
      <c r="B22" s="69" t="s">
        <v>160</v>
      </c>
      <c r="C22" s="369" t="s">
        <v>538</v>
      </c>
      <c r="D22" s="341"/>
      <c r="E22" s="342"/>
    </row>
    <row r="23" spans="1:5" ht="17" customHeight="1" x14ac:dyDescent="0.2">
      <c r="A23" s="70" t="s">
        <v>733</v>
      </c>
      <c r="B23" s="71" t="s">
        <v>734</v>
      </c>
      <c r="C23" s="362" t="s">
        <v>735</v>
      </c>
      <c r="D23" s="341"/>
      <c r="E23" s="342"/>
    </row>
    <row r="24" spans="1:5" ht="34" customHeight="1" x14ac:dyDescent="0.2">
      <c r="A24" s="70" t="s">
        <v>736</v>
      </c>
      <c r="B24" s="71" t="s">
        <v>737</v>
      </c>
      <c r="C24" s="362" t="s">
        <v>738</v>
      </c>
      <c r="D24" s="341"/>
      <c r="E24" s="342"/>
    </row>
    <row r="25" spans="1:5" ht="68" customHeight="1" x14ac:dyDescent="0.2">
      <c r="A25" s="70" t="s">
        <v>739</v>
      </c>
      <c r="B25" s="71" t="s">
        <v>740</v>
      </c>
      <c r="C25" s="362" t="s">
        <v>741</v>
      </c>
      <c r="D25" s="341"/>
      <c r="E25" s="342"/>
    </row>
    <row r="26" spans="1:5" ht="34" customHeight="1" x14ac:dyDescent="0.2">
      <c r="A26" s="70" t="s">
        <v>742</v>
      </c>
      <c r="B26" s="71" t="s">
        <v>743</v>
      </c>
      <c r="C26" s="362" t="s">
        <v>744</v>
      </c>
      <c r="D26" s="341"/>
      <c r="E26" s="342"/>
    </row>
    <row r="27" spans="1:5" ht="34" customHeight="1" x14ac:dyDescent="0.2">
      <c r="A27" s="70" t="s">
        <v>745</v>
      </c>
      <c r="B27" s="71" t="s">
        <v>746</v>
      </c>
      <c r="C27" s="362" t="s">
        <v>747</v>
      </c>
      <c r="D27" s="341"/>
      <c r="E27" s="342"/>
    </row>
    <row r="28" spans="1:5" ht="17" customHeight="1" x14ac:dyDescent="0.2">
      <c r="A28" s="82" t="s">
        <v>748</v>
      </c>
      <c r="B28" s="98" t="s">
        <v>749</v>
      </c>
      <c r="C28" s="362" t="s">
        <v>750</v>
      </c>
      <c r="D28" s="341"/>
      <c r="E28" s="342"/>
    </row>
    <row r="29" spans="1:5" ht="51" customHeight="1" x14ac:dyDescent="0.2">
      <c r="A29" s="70" t="s">
        <v>751</v>
      </c>
      <c r="B29" s="71" t="s">
        <v>752</v>
      </c>
      <c r="C29" s="362" t="s">
        <v>753</v>
      </c>
      <c r="D29" s="341"/>
      <c r="E29" s="342"/>
    </row>
    <row r="30" spans="1:5" ht="17" customHeight="1" x14ac:dyDescent="0.2">
      <c r="A30" s="70" t="s">
        <v>754</v>
      </c>
      <c r="B30" s="71" t="s">
        <v>755</v>
      </c>
      <c r="C30" s="362" t="s">
        <v>756</v>
      </c>
      <c r="D30" s="341"/>
      <c r="E30" s="342"/>
    </row>
    <row r="31" spans="1:5" ht="34" customHeight="1" x14ac:dyDescent="0.2">
      <c r="A31" s="70" t="s">
        <v>757</v>
      </c>
      <c r="B31" s="71" t="s">
        <v>758</v>
      </c>
      <c r="C31" s="362" t="s">
        <v>759</v>
      </c>
      <c r="D31" s="341"/>
      <c r="E31" s="342"/>
    </row>
    <row r="33" spans="1:26" ht="13" customHeight="1" x14ac:dyDescent="0.15">
      <c r="A33" s="368" t="s">
        <v>760</v>
      </c>
      <c r="B33" s="345"/>
      <c r="C33" s="345"/>
      <c r="D33" s="345"/>
      <c r="E33" s="365"/>
    </row>
    <row r="34" spans="1:26" ht="13" customHeight="1" x14ac:dyDescent="0.15">
      <c r="A34" s="366"/>
      <c r="B34" s="352"/>
      <c r="C34" s="352"/>
      <c r="D34" s="352"/>
      <c r="E34" s="367"/>
    </row>
    <row r="35" spans="1:26" ht="17" customHeight="1" x14ac:dyDescent="0.15">
      <c r="A35" s="72" t="s">
        <v>686</v>
      </c>
      <c r="B35" s="363" t="s">
        <v>761</v>
      </c>
      <c r="C35" s="342"/>
      <c r="D35" s="73" t="s">
        <v>762</v>
      </c>
      <c r="E35" s="73" t="s">
        <v>763</v>
      </c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spans="1:26" ht="68" customHeight="1" x14ac:dyDescent="0.2">
      <c r="A36" s="70" t="s">
        <v>691</v>
      </c>
      <c r="B36" s="361" t="s">
        <v>764</v>
      </c>
      <c r="C36" s="342"/>
      <c r="D36" s="71" t="s">
        <v>765</v>
      </c>
      <c r="E36" s="71" t="s">
        <v>766</v>
      </c>
    </row>
    <row r="37" spans="1:26" ht="68" customHeight="1" x14ac:dyDescent="0.2">
      <c r="A37" s="70" t="s">
        <v>694</v>
      </c>
      <c r="B37" s="361" t="s">
        <v>767</v>
      </c>
      <c r="C37" s="342"/>
      <c r="D37" s="71" t="s">
        <v>768</v>
      </c>
      <c r="E37" s="71" t="s">
        <v>769</v>
      </c>
    </row>
    <row r="38" spans="1:26" ht="51" customHeight="1" x14ac:dyDescent="0.2">
      <c r="A38" s="70" t="s">
        <v>696</v>
      </c>
      <c r="B38" s="361" t="s">
        <v>770</v>
      </c>
      <c r="C38" s="342"/>
      <c r="D38" s="71" t="s">
        <v>771</v>
      </c>
      <c r="E38" s="71" t="s">
        <v>772</v>
      </c>
    </row>
    <row r="39" spans="1:26" ht="34" customHeight="1" x14ac:dyDescent="0.2">
      <c r="A39" s="70" t="s">
        <v>698</v>
      </c>
      <c r="B39" s="361" t="s">
        <v>773</v>
      </c>
      <c r="C39" s="342"/>
      <c r="D39" s="71" t="s">
        <v>774</v>
      </c>
      <c r="E39" s="71" t="s">
        <v>775</v>
      </c>
    </row>
    <row r="40" spans="1:26" ht="34" customHeight="1" x14ac:dyDescent="0.2">
      <c r="A40" s="70" t="s">
        <v>701</v>
      </c>
      <c r="B40" s="361" t="s">
        <v>776</v>
      </c>
      <c r="C40" s="342"/>
      <c r="D40" s="71" t="s">
        <v>777</v>
      </c>
      <c r="E40" s="71" t="s">
        <v>778</v>
      </c>
    </row>
    <row r="41" spans="1:26" ht="17" customHeight="1" x14ac:dyDescent="0.2">
      <c r="A41" s="70" t="s">
        <v>703</v>
      </c>
      <c r="B41" s="361" t="s">
        <v>779</v>
      </c>
      <c r="C41" s="342"/>
      <c r="D41" s="71" t="s">
        <v>780</v>
      </c>
      <c r="E41" s="71" t="s">
        <v>781</v>
      </c>
    </row>
    <row r="42" spans="1:26" ht="51" customHeight="1" x14ac:dyDescent="0.2">
      <c r="A42" s="70" t="s">
        <v>705</v>
      </c>
      <c r="B42" s="361" t="s">
        <v>782</v>
      </c>
      <c r="C42" s="342"/>
      <c r="D42" s="71" t="s">
        <v>783</v>
      </c>
      <c r="E42" s="71" t="s">
        <v>784</v>
      </c>
    </row>
    <row r="43" spans="1:26" ht="51" customHeight="1" x14ac:dyDescent="0.2">
      <c r="A43" s="70" t="s">
        <v>707</v>
      </c>
      <c r="B43" s="361" t="s">
        <v>785</v>
      </c>
      <c r="C43" s="342"/>
      <c r="D43" s="71" t="s">
        <v>786</v>
      </c>
      <c r="E43" s="71" t="s">
        <v>787</v>
      </c>
    </row>
    <row r="44" spans="1:26" ht="51" customHeight="1" x14ac:dyDescent="0.2">
      <c r="A44" s="82" t="s">
        <v>709</v>
      </c>
      <c r="B44" s="361" t="s">
        <v>788</v>
      </c>
      <c r="C44" s="342"/>
      <c r="D44" s="71" t="s">
        <v>789</v>
      </c>
      <c r="E44" s="71" t="s">
        <v>790</v>
      </c>
    </row>
    <row r="45" spans="1:26" ht="34" customHeight="1" x14ac:dyDescent="0.2">
      <c r="A45" s="70" t="s">
        <v>711</v>
      </c>
      <c r="B45" s="361" t="s">
        <v>791</v>
      </c>
      <c r="C45" s="342"/>
      <c r="D45" s="71" t="s">
        <v>792</v>
      </c>
      <c r="E45" s="71" t="s">
        <v>793</v>
      </c>
    </row>
    <row r="46" spans="1:26" ht="34" customHeight="1" x14ac:dyDescent="0.2">
      <c r="A46" s="70" t="s">
        <v>715</v>
      </c>
      <c r="B46" s="361" t="s">
        <v>794</v>
      </c>
      <c r="C46" s="342"/>
      <c r="D46" s="71" t="s">
        <v>795</v>
      </c>
      <c r="E46" s="71" t="s">
        <v>796</v>
      </c>
    </row>
    <row r="47" spans="1:26" ht="34" customHeight="1" x14ac:dyDescent="0.2">
      <c r="A47" s="70" t="s">
        <v>720</v>
      </c>
      <c r="B47" s="361" t="s">
        <v>797</v>
      </c>
      <c r="C47" s="342"/>
      <c r="D47" s="71" t="s">
        <v>798</v>
      </c>
      <c r="E47" s="71" t="s">
        <v>799</v>
      </c>
    </row>
    <row r="48" spans="1:26" ht="34" customHeight="1" x14ac:dyDescent="0.2">
      <c r="A48" s="70" t="s">
        <v>722</v>
      </c>
      <c r="B48" s="361" t="s">
        <v>800</v>
      </c>
      <c r="C48" s="342"/>
      <c r="D48" s="71" t="s">
        <v>801</v>
      </c>
      <c r="E48" s="71" t="s">
        <v>802</v>
      </c>
    </row>
    <row r="49" spans="1:5" ht="34" customHeight="1" x14ac:dyDescent="0.2">
      <c r="A49" s="70" t="s">
        <v>725</v>
      </c>
      <c r="B49" s="361" t="s">
        <v>803</v>
      </c>
      <c r="C49" s="342"/>
      <c r="D49" s="71" t="s">
        <v>804</v>
      </c>
      <c r="E49" s="71" t="s">
        <v>805</v>
      </c>
    </row>
    <row r="50" spans="1:5" ht="51" customHeight="1" x14ac:dyDescent="0.2">
      <c r="A50" s="70" t="s">
        <v>806</v>
      </c>
      <c r="B50" s="361" t="s">
        <v>807</v>
      </c>
      <c r="C50" s="342"/>
      <c r="D50" s="71" t="s">
        <v>808</v>
      </c>
      <c r="E50" s="71" t="s">
        <v>809</v>
      </c>
    </row>
    <row r="51" spans="1:5" ht="51" customHeight="1" x14ac:dyDescent="0.2">
      <c r="A51" s="70" t="s">
        <v>810</v>
      </c>
      <c r="B51" s="361" t="s">
        <v>811</v>
      </c>
      <c r="C51" s="342"/>
      <c r="D51" s="71" t="s">
        <v>812</v>
      </c>
      <c r="E51" s="71" t="s">
        <v>813</v>
      </c>
    </row>
    <row r="56" spans="1:5" ht="13" hidden="1" customHeight="1" x14ac:dyDescent="0.15"/>
    <row r="57" spans="1:5" ht="13" hidden="1" customHeight="1" x14ac:dyDescent="0.15"/>
    <row r="58" spans="1:5" ht="13" hidden="1" customHeight="1" x14ac:dyDescent="0.15"/>
    <row r="59" spans="1:5" ht="13" hidden="1" customHeight="1" x14ac:dyDescent="0.15"/>
    <row r="60" spans="1:5" ht="13" hidden="1" customHeight="1" x14ac:dyDescent="0.15"/>
    <row r="61" spans="1:5" ht="13" hidden="1" customHeight="1" x14ac:dyDescent="0.15"/>
    <row r="62" spans="1:5" ht="13" hidden="1" customHeight="1" x14ac:dyDescent="0.15"/>
    <row r="63" spans="1:5" ht="13" hidden="1" customHeight="1" x14ac:dyDescent="0.15"/>
    <row r="64" spans="1:5" ht="13" hidden="1" customHeight="1" x14ac:dyDescent="0.15"/>
    <row r="65" ht="13" hidden="1" customHeight="1" x14ac:dyDescent="0.15"/>
    <row r="66" ht="13" hidden="1" customHeight="1" x14ac:dyDescent="0.15"/>
    <row r="67" ht="13" hidden="1" customHeight="1" x14ac:dyDescent="0.15"/>
    <row r="68" ht="13" hidden="1" customHeight="1" x14ac:dyDescent="0.15"/>
    <row r="69" ht="13" hidden="1" customHeight="1" x14ac:dyDescent="0.15"/>
    <row r="70" ht="13" hidden="1" customHeight="1" x14ac:dyDescent="0.15"/>
    <row r="71" ht="13" hidden="1" customHeight="1" x14ac:dyDescent="0.15"/>
    <row r="72" ht="13" hidden="1" customHeight="1" x14ac:dyDescent="0.15"/>
    <row r="73" ht="13" hidden="1" customHeight="1" x14ac:dyDescent="0.15"/>
    <row r="74" ht="13" hidden="1" customHeight="1" x14ac:dyDescent="0.15"/>
    <row r="75" ht="13" hidden="1" customHeight="1" x14ac:dyDescent="0.15"/>
    <row r="76" ht="13" hidden="1" customHeight="1" x14ac:dyDescent="0.15"/>
    <row r="77" ht="13" hidden="1" customHeight="1" x14ac:dyDescent="0.15"/>
    <row r="78" ht="13" hidden="1" customHeight="1" x14ac:dyDescent="0.15"/>
    <row r="79" ht="13" hidden="1" customHeight="1" x14ac:dyDescent="0.15"/>
    <row r="80" ht="13" hidden="1" customHeight="1" x14ac:dyDescent="0.15"/>
    <row r="81" ht="13" hidden="1" customHeight="1" x14ac:dyDescent="0.15"/>
    <row r="82" ht="13" hidden="1" customHeight="1" x14ac:dyDescent="0.15"/>
    <row r="83" ht="13" hidden="1" customHeight="1" x14ac:dyDescent="0.15"/>
    <row r="84" ht="13" hidden="1" customHeight="1" x14ac:dyDescent="0.15"/>
    <row r="85" ht="13" hidden="1" customHeight="1" x14ac:dyDescent="0.15"/>
    <row r="86" ht="13" hidden="1" customHeight="1" x14ac:dyDescent="0.15"/>
    <row r="87" ht="13" hidden="1" customHeight="1" x14ac:dyDescent="0.15"/>
    <row r="88" ht="13" hidden="1" customHeight="1" x14ac:dyDescent="0.15"/>
    <row r="89" ht="13" hidden="1" customHeight="1" x14ac:dyDescent="0.15"/>
    <row r="90" ht="13" hidden="1" customHeight="1" x14ac:dyDescent="0.15"/>
    <row r="91" ht="13" hidden="1" customHeight="1" x14ac:dyDescent="0.15"/>
    <row r="92" ht="13" hidden="1" customHeight="1" x14ac:dyDescent="0.15"/>
    <row r="93" ht="13" hidden="1" customHeight="1" x14ac:dyDescent="0.15"/>
    <row r="94" ht="13" hidden="1" customHeight="1" x14ac:dyDescent="0.15"/>
    <row r="95" ht="13" hidden="1" customHeight="1" x14ac:dyDescent="0.15"/>
    <row r="96" ht="13" hidden="1" customHeight="1" x14ac:dyDescent="0.15"/>
    <row r="97" ht="13" hidden="1" customHeight="1" x14ac:dyDescent="0.15"/>
    <row r="98" ht="13" hidden="1" customHeight="1" x14ac:dyDescent="0.15"/>
    <row r="99" ht="13" hidden="1" customHeight="1" x14ac:dyDescent="0.15"/>
    <row r="100" ht="13" hidden="1" customHeight="1" x14ac:dyDescent="0.15"/>
    <row r="101" ht="13" hidden="1" customHeight="1" x14ac:dyDescent="0.15"/>
    <row r="102" ht="13" hidden="1" customHeight="1" x14ac:dyDescent="0.15"/>
    <row r="103" ht="13" hidden="1" customHeight="1" x14ac:dyDescent="0.15"/>
    <row r="104" ht="13" hidden="1" customHeight="1" x14ac:dyDescent="0.15"/>
    <row r="105" ht="13" hidden="1" customHeight="1" x14ac:dyDescent="0.15"/>
    <row r="106" ht="13" hidden="1" customHeight="1" x14ac:dyDescent="0.15"/>
    <row r="107" ht="13" hidden="1" customHeight="1" x14ac:dyDescent="0.15"/>
    <row r="108" ht="13" hidden="1" customHeight="1" x14ac:dyDescent="0.15"/>
    <row r="109" ht="13" hidden="1" customHeight="1" x14ac:dyDescent="0.15"/>
    <row r="110" ht="13" hidden="1" customHeight="1" x14ac:dyDescent="0.15"/>
    <row r="111" ht="13" hidden="1" customHeight="1" x14ac:dyDescent="0.15"/>
    <row r="112" ht="13" hidden="1" customHeight="1" x14ac:dyDescent="0.15"/>
    <row r="113" ht="13" hidden="1" customHeight="1" x14ac:dyDescent="0.15"/>
    <row r="114" ht="13" hidden="1" customHeight="1" x14ac:dyDescent="0.15"/>
    <row r="115" ht="13" hidden="1" customHeight="1" x14ac:dyDescent="0.15"/>
    <row r="116" ht="13" hidden="1" customHeight="1" x14ac:dyDescent="0.15"/>
    <row r="117" ht="13" hidden="1" customHeight="1" x14ac:dyDescent="0.15"/>
    <row r="118" ht="13" hidden="1" customHeight="1" x14ac:dyDescent="0.15"/>
    <row r="119" ht="13" hidden="1" customHeight="1" x14ac:dyDescent="0.15"/>
    <row r="120" ht="13" hidden="1" customHeight="1" x14ac:dyDescent="0.15"/>
    <row r="121" ht="13" hidden="1" customHeight="1" x14ac:dyDescent="0.15"/>
    <row r="122" ht="13" hidden="1" customHeight="1" x14ac:dyDescent="0.15"/>
    <row r="123" ht="13" hidden="1" customHeight="1" x14ac:dyDescent="0.15"/>
    <row r="124" ht="13" hidden="1" customHeight="1" x14ac:dyDescent="0.15"/>
    <row r="125" ht="13" hidden="1" customHeight="1" x14ac:dyDescent="0.15"/>
    <row r="126" ht="13" hidden="1" customHeight="1" x14ac:dyDescent="0.15"/>
    <row r="127" ht="13" hidden="1" customHeight="1" x14ac:dyDescent="0.15"/>
    <row r="128" ht="13" hidden="1" customHeight="1" x14ac:dyDescent="0.15"/>
    <row r="129" ht="13" hidden="1" customHeight="1" x14ac:dyDescent="0.15"/>
    <row r="130" ht="13" hidden="1" customHeight="1" x14ac:dyDescent="0.15"/>
    <row r="131" ht="13" hidden="1" customHeight="1" x14ac:dyDescent="0.15"/>
    <row r="132" ht="13" hidden="1" customHeight="1" x14ac:dyDescent="0.15"/>
    <row r="133" ht="13" hidden="1" customHeight="1" x14ac:dyDescent="0.15"/>
    <row r="134" ht="13" hidden="1" customHeight="1" x14ac:dyDescent="0.15"/>
    <row r="135" ht="13" hidden="1" customHeight="1" x14ac:dyDescent="0.15"/>
    <row r="136" ht="13" hidden="1" customHeight="1" x14ac:dyDescent="0.15"/>
    <row r="137" ht="13" hidden="1" customHeight="1" x14ac:dyDescent="0.15"/>
    <row r="138" ht="13" hidden="1" customHeight="1" x14ac:dyDescent="0.15"/>
    <row r="139" ht="13" hidden="1" customHeight="1" x14ac:dyDescent="0.15"/>
    <row r="140" ht="13" hidden="1" customHeight="1" x14ac:dyDescent="0.15"/>
    <row r="141" ht="13" hidden="1" customHeight="1" x14ac:dyDescent="0.15"/>
    <row r="142" ht="13" hidden="1" customHeight="1" x14ac:dyDescent="0.15"/>
    <row r="143" ht="13" hidden="1" customHeight="1" x14ac:dyDescent="0.15"/>
    <row r="144" ht="13" hidden="1" customHeight="1" x14ac:dyDescent="0.15"/>
    <row r="145" ht="13" hidden="1" customHeight="1" x14ac:dyDescent="0.15"/>
    <row r="146" ht="13" hidden="1" customHeight="1" x14ac:dyDescent="0.15"/>
    <row r="147" ht="13" hidden="1" customHeight="1" x14ac:dyDescent="0.15"/>
    <row r="148" ht="13" hidden="1" customHeight="1" x14ac:dyDescent="0.15"/>
    <row r="149" ht="13" hidden="1" customHeight="1" x14ac:dyDescent="0.15"/>
    <row r="150" ht="13" hidden="1" customHeight="1" x14ac:dyDescent="0.15"/>
    <row r="151" ht="13" hidden="1" customHeight="1" x14ac:dyDescent="0.15"/>
    <row r="152" ht="13" hidden="1" customHeight="1" x14ac:dyDescent="0.15"/>
    <row r="153" ht="13" hidden="1" customHeight="1" x14ac:dyDescent="0.15"/>
    <row r="154" ht="13" hidden="1" customHeight="1" x14ac:dyDescent="0.15"/>
    <row r="155" ht="13" hidden="1" customHeight="1" x14ac:dyDescent="0.15"/>
    <row r="156" ht="13" hidden="1" customHeight="1" x14ac:dyDescent="0.15"/>
    <row r="157" ht="13" hidden="1" customHeight="1" x14ac:dyDescent="0.15"/>
    <row r="158" ht="13" hidden="1" customHeight="1" x14ac:dyDescent="0.15"/>
    <row r="159" ht="13" hidden="1" customHeight="1" x14ac:dyDescent="0.15"/>
    <row r="160" ht="13" hidden="1" customHeight="1" x14ac:dyDescent="0.15"/>
    <row r="161" ht="13" hidden="1" customHeight="1" x14ac:dyDescent="0.15"/>
    <row r="162" ht="13" hidden="1" customHeight="1" x14ac:dyDescent="0.15"/>
    <row r="163" ht="13" hidden="1" customHeight="1" x14ac:dyDescent="0.15"/>
    <row r="164" ht="13" hidden="1" customHeight="1" x14ac:dyDescent="0.15"/>
    <row r="165" ht="13" hidden="1" customHeight="1" x14ac:dyDescent="0.15"/>
    <row r="166" ht="13" hidden="1" customHeight="1" x14ac:dyDescent="0.15"/>
    <row r="167" ht="13" hidden="1" customHeight="1" x14ac:dyDescent="0.15"/>
    <row r="168" ht="13" hidden="1" customHeight="1" x14ac:dyDescent="0.15"/>
    <row r="169" ht="13" hidden="1" customHeight="1" x14ac:dyDescent="0.15"/>
    <row r="170" ht="13" hidden="1" customHeight="1" x14ac:dyDescent="0.15"/>
    <row r="171" ht="13" hidden="1" customHeight="1" x14ac:dyDescent="0.15"/>
    <row r="172" ht="13" hidden="1" customHeight="1" x14ac:dyDescent="0.15"/>
    <row r="173" ht="13" hidden="1" customHeight="1" x14ac:dyDescent="0.15"/>
    <row r="174" ht="13" hidden="1" customHeight="1" x14ac:dyDescent="0.15"/>
    <row r="175" ht="13" hidden="1" customHeight="1" x14ac:dyDescent="0.15"/>
    <row r="176" ht="13" hidden="1" customHeight="1" x14ac:dyDescent="0.15"/>
    <row r="177" ht="13" hidden="1" customHeight="1" x14ac:dyDescent="0.15"/>
    <row r="178" ht="13" hidden="1" customHeight="1" x14ac:dyDescent="0.15"/>
    <row r="179" ht="13" hidden="1" customHeight="1" x14ac:dyDescent="0.15"/>
    <row r="180" ht="13" hidden="1" customHeight="1" x14ac:dyDescent="0.15"/>
    <row r="181" ht="13" hidden="1" customHeight="1" x14ac:dyDescent="0.15"/>
    <row r="182" ht="13" hidden="1" customHeight="1" x14ac:dyDescent="0.15"/>
    <row r="183" ht="13" hidden="1" customHeight="1" x14ac:dyDescent="0.15"/>
    <row r="184" ht="13" hidden="1" customHeight="1" x14ac:dyDescent="0.15"/>
    <row r="185" ht="13" hidden="1" customHeight="1" x14ac:dyDescent="0.15"/>
    <row r="186" ht="13" hidden="1" customHeight="1" x14ac:dyDescent="0.15"/>
    <row r="187" ht="13" hidden="1" customHeight="1" x14ac:dyDescent="0.15"/>
    <row r="188" ht="13" hidden="1" customHeight="1" x14ac:dyDescent="0.15"/>
    <row r="189" ht="13" hidden="1" customHeight="1" x14ac:dyDescent="0.15"/>
    <row r="190" ht="13" hidden="1" customHeight="1" x14ac:dyDescent="0.15"/>
    <row r="191" ht="13" hidden="1" customHeight="1" x14ac:dyDescent="0.15"/>
    <row r="192" ht="13" hidden="1" customHeight="1" x14ac:dyDescent="0.15"/>
    <row r="193" ht="13" hidden="1" customHeight="1" x14ac:dyDescent="0.15"/>
    <row r="194" ht="13" hidden="1" customHeight="1" x14ac:dyDescent="0.15"/>
    <row r="195" ht="13" hidden="1" customHeight="1" x14ac:dyDescent="0.15"/>
    <row r="196" ht="13" hidden="1" customHeight="1" x14ac:dyDescent="0.15"/>
    <row r="197" ht="13" hidden="1" customHeight="1" x14ac:dyDescent="0.15"/>
    <row r="198" ht="13" hidden="1" customHeight="1" x14ac:dyDescent="0.15"/>
    <row r="199" ht="13" hidden="1" customHeight="1" x14ac:dyDescent="0.15"/>
    <row r="200" ht="13" hidden="1" customHeight="1" x14ac:dyDescent="0.15"/>
    <row r="201" ht="13" hidden="1" customHeight="1" x14ac:dyDescent="0.15"/>
    <row r="202" ht="13" hidden="1" customHeight="1" x14ac:dyDescent="0.15"/>
    <row r="203" ht="13" hidden="1" customHeight="1" x14ac:dyDescent="0.15"/>
    <row r="204" ht="13" hidden="1" customHeight="1" x14ac:dyDescent="0.15"/>
    <row r="205" ht="13" hidden="1" customHeight="1" x14ac:dyDescent="0.15"/>
    <row r="206" ht="13" hidden="1" customHeight="1" x14ac:dyDescent="0.15"/>
    <row r="207" ht="13" hidden="1" customHeight="1" x14ac:dyDescent="0.15"/>
    <row r="208" ht="13" hidden="1" customHeight="1" x14ac:dyDescent="0.15"/>
    <row r="209" ht="13" hidden="1" customHeight="1" x14ac:dyDescent="0.15"/>
    <row r="210" ht="13" hidden="1" customHeight="1" x14ac:dyDescent="0.15"/>
    <row r="211" ht="13" hidden="1" customHeight="1" x14ac:dyDescent="0.15"/>
    <row r="212" ht="13" hidden="1" customHeight="1" x14ac:dyDescent="0.15"/>
    <row r="213" ht="13" hidden="1" customHeight="1" x14ac:dyDescent="0.15"/>
    <row r="214" ht="13" hidden="1" customHeight="1" x14ac:dyDescent="0.15"/>
    <row r="215" ht="13" hidden="1" customHeight="1" x14ac:dyDescent="0.15"/>
    <row r="216" ht="13" hidden="1" customHeight="1" x14ac:dyDescent="0.15"/>
    <row r="217" ht="13" hidden="1" customHeight="1" x14ac:dyDescent="0.15"/>
    <row r="218" ht="13" hidden="1" customHeight="1" x14ac:dyDescent="0.15"/>
    <row r="219" ht="13" hidden="1" customHeight="1" x14ac:dyDescent="0.15"/>
    <row r="220" ht="13" hidden="1" customHeight="1" x14ac:dyDescent="0.15"/>
    <row r="221" ht="13" hidden="1" customHeight="1" x14ac:dyDescent="0.15"/>
    <row r="222" ht="13" hidden="1" customHeight="1" x14ac:dyDescent="0.15"/>
    <row r="223" ht="13" hidden="1" customHeight="1" x14ac:dyDescent="0.15"/>
    <row r="224" ht="13" hidden="1" customHeight="1" x14ac:dyDescent="0.15"/>
    <row r="225" ht="13" hidden="1" customHeight="1" x14ac:dyDescent="0.15"/>
    <row r="226" ht="13" hidden="1" customHeight="1" x14ac:dyDescent="0.15"/>
    <row r="227" ht="13" hidden="1" customHeight="1" x14ac:dyDescent="0.15"/>
    <row r="228" ht="13" hidden="1" customHeight="1" x14ac:dyDescent="0.15"/>
    <row r="229" ht="13" hidden="1" customHeight="1" x14ac:dyDescent="0.15"/>
    <row r="230" ht="13" hidden="1" customHeight="1" x14ac:dyDescent="0.15"/>
    <row r="231" ht="13" hidden="1" customHeight="1" x14ac:dyDescent="0.15"/>
    <row r="232" ht="13" hidden="1" customHeight="1" x14ac:dyDescent="0.15"/>
    <row r="233" ht="13" hidden="1" customHeight="1" x14ac:dyDescent="0.15"/>
    <row r="234" ht="13" hidden="1" customHeight="1" x14ac:dyDescent="0.15"/>
    <row r="235" ht="13" hidden="1" customHeight="1" x14ac:dyDescent="0.15"/>
    <row r="236" ht="13" hidden="1" customHeight="1" x14ac:dyDescent="0.15"/>
    <row r="237" ht="13" hidden="1" customHeight="1" x14ac:dyDescent="0.15"/>
    <row r="238" ht="13" hidden="1" customHeight="1" x14ac:dyDescent="0.15"/>
    <row r="239" ht="13" hidden="1" customHeight="1" x14ac:dyDescent="0.15"/>
    <row r="240" ht="13" hidden="1" customHeight="1" x14ac:dyDescent="0.15"/>
    <row r="241" ht="13" hidden="1" customHeight="1" x14ac:dyDescent="0.15"/>
    <row r="242" ht="13" hidden="1" customHeight="1" x14ac:dyDescent="0.15"/>
    <row r="243" ht="13" hidden="1" customHeight="1" x14ac:dyDescent="0.15"/>
    <row r="244" ht="13" hidden="1" customHeight="1" x14ac:dyDescent="0.15"/>
    <row r="245" ht="13" hidden="1" customHeight="1" x14ac:dyDescent="0.15"/>
    <row r="246" ht="13" hidden="1" customHeight="1" x14ac:dyDescent="0.15"/>
    <row r="247" ht="13" hidden="1" customHeight="1" x14ac:dyDescent="0.15"/>
    <row r="248" ht="13" hidden="1" customHeight="1" x14ac:dyDescent="0.15"/>
    <row r="249" ht="13" hidden="1" customHeight="1" x14ac:dyDescent="0.15"/>
    <row r="250" ht="13" hidden="1" customHeight="1" x14ac:dyDescent="0.15"/>
    <row r="251" ht="13" hidden="1" customHeight="1" x14ac:dyDescent="0.15"/>
    <row r="252" ht="13" hidden="1" customHeight="1" x14ac:dyDescent="0.15"/>
    <row r="253" ht="13" hidden="1" customHeight="1" x14ac:dyDescent="0.15"/>
    <row r="254" ht="13" hidden="1" customHeight="1" x14ac:dyDescent="0.15"/>
    <row r="255" ht="13" hidden="1" customHeight="1" x14ac:dyDescent="0.15"/>
    <row r="256" ht="13" hidden="1" customHeight="1" x14ac:dyDescent="0.15"/>
    <row r="257" ht="13" hidden="1" customHeight="1" x14ac:dyDescent="0.15"/>
    <row r="258" ht="13" hidden="1" customHeight="1" x14ac:dyDescent="0.15"/>
    <row r="259" ht="13" hidden="1" customHeight="1" x14ac:dyDescent="0.15"/>
    <row r="260" ht="13" hidden="1" customHeight="1" x14ac:dyDescent="0.15"/>
    <row r="261" ht="13" hidden="1" customHeight="1" x14ac:dyDescent="0.15"/>
    <row r="262" ht="13" hidden="1" customHeight="1" x14ac:dyDescent="0.15"/>
    <row r="263" ht="13" hidden="1" customHeight="1" x14ac:dyDescent="0.15"/>
    <row r="264" ht="13" hidden="1" customHeight="1" x14ac:dyDescent="0.15"/>
    <row r="265" ht="13" hidden="1" customHeight="1" x14ac:dyDescent="0.15"/>
    <row r="266" ht="13" hidden="1" customHeight="1" x14ac:dyDescent="0.15"/>
    <row r="267" ht="13" hidden="1" customHeight="1" x14ac:dyDescent="0.15"/>
    <row r="268" ht="13" hidden="1" customHeight="1" x14ac:dyDescent="0.15"/>
    <row r="269" ht="13" hidden="1" customHeight="1" x14ac:dyDescent="0.15"/>
    <row r="270" ht="13" hidden="1" customHeight="1" x14ac:dyDescent="0.15"/>
    <row r="271" ht="13" hidden="1" customHeight="1" x14ac:dyDescent="0.15"/>
    <row r="272" ht="13" hidden="1" customHeight="1" x14ac:dyDescent="0.15"/>
    <row r="273" ht="13" hidden="1" customHeight="1" x14ac:dyDescent="0.15"/>
    <row r="274" ht="13" hidden="1" customHeight="1" x14ac:dyDescent="0.15"/>
    <row r="275" ht="13" hidden="1" customHeight="1" x14ac:dyDescent="0.15"/>
    <row r="276" ht="13" hidden="1" customHeight="1" x14ac:dyDescent="0.15"/>
    <row r="277" ht="13" hidden="1" customHeight="1" x14ac:dyDescent="0.15"/>
    <row r="278" ht="13" hidden="1" customHeight="1" x14ac:dyDescent="0.15"/>
    <row r="279" ht="13" hidden="1" customHeight="1" x14ac:dyDescent="0.15"/>
    <row r="280" ht="13" hidden="1" customHeight="1" x14ac:dyDescent="0.15"/>
    <row r="281" ht="13" hidden="1" customHeight="1" x14ac:dyDescent="0.15"/>
    <row r="282" ht="13" hidden="1" customHeight="1" x14ac:dyDescent="0.15"/>
    <row r="283" ht="13" hidden="1" customHeight="1" x14ac:dyDescent="0.15"/>
    <row r="284" ht="13" hidden="1" customHeight="1" x14ac:dyDescent="0.15"/>
    <row r="285" ht="13" hidden="1" customHeight="1" x14ac:dyDescent="0.15"/>
    <row r="286" ht="13" hidden="1" customHeight="1" x14ac:dyDescent="0.15"/>
    <row r="287" ht="13" hidden="1" customHeight="1" x14ac:dyDescent="0.15"/>
    <row r="288" ht="13" hidden="1" customHeight="1" x14ac:dyDescent="0.15"/>
    <row r="289" ht="13" hidden="1" customHeight="1" x14ac:dyDescent="0.15"/>
    <row r="290" ht="13" hidden="1" customHeight="1" x14ac:dyDescent="0.15"/>
    <row r="291" ht="13" hidden="1" customHeight="1" x14ac:dyDescent="0.15"/>
    <row r="292" ht="13" hidden="1" customHeight="1" x14ac:dyDescent="0.15"/>
    <row r="293" ht="13" hidden="1" customHeight="1" x14ac:dyDescent="0.15"/>
    <row r="294" ht="13" hidden="1" customHeight="1" x14ac:dyDescent="0.15"/>
    <row r="295" ht="13" hidden="1" customHeight="1" x14ac:dyDescent="0.15"/>
    <row r="296" ht="13" hidden="1" customHeight="1" x14ac:dyDescent="0.15"/>
    <row r="297" ht="13" hidden="1" customHeight="1" x14ac:dyDescent="0.15"/>
    <row r="298" ht="13" hidden="1" customHeight="1" x14ac:dyDescent="0.15"/>
    <row r="299" ht="13" hidden="1" customHeight="1" x14ac:dyDescent="0.15"/>
    <row r="300" ht="13" hidden="1" customHeight="1" x14ac:dyDescent="0.15"/>
    <row r="301" ht="13" hidden="1" customHeight="1" x14ac:dyDescent="0.15"/>
    <row r="302" ht="13" hidden="1" customHeight="1" x14ac:dyDescent="0.15"/>
    <row r="303" ht="13" hidden="1" customHeight="1" x14ac:dyDescent="0.15"/>
    <row r="304" ht="13" hidden="1" customHeight="1" x14ac:dyDescent="0.15"/>
    <row r="305" ht="13" hidden="1" customHeight="1" x14ac:dyDescent="0.15"/>
    <row r="306" ht="13" hidden="1" customHeight="1" x14ac:dyDescent="0.15"/>
    <row r="307" ht="13" hidden="1" customHeight="1" x14ac:dyDescent="0.15"/>
    <row r="308" ht="13" hidden="1" customHeight="1" x14ac:dyDescent="0.15"/>
    <row r="309" ht="13" hidden="1" customHeight="1" x14ac:dyDescent="0.15"/>
    <row r="310" ht="13" hidden="1" customHeight="1" x14ac:dyDescent="0.15"/>
    <row r="311" ht="13" hidden="1" customHeight="1" x14ac:dyDescent="0.15"/>
    <row r="312" ht="13" hidden="1" customHeight="1" x14ac:dyDescent="0.15"/>
    <row r="313" ht="13" hidden="1" customHeight="1" x14ac:dyDescent="0.15"/>
    <row r="314" ht="13" hidden="1" customHeight="1" x14ac:dyDescent="0.15"/>
    <row r="315" ht="13" hidden="1" customHeight="1" x14ac:dyDescent="0.15"/>
    <row r="316" ht="13" hidden="1" customHeight="1" x14ac:dyDescent="0.15"/>
    <row r="317" ht="13" hidden="1" customHeight="1" x14ac:dyDescent="0.15"/>
    <row r="318" ht="13" hidden="1" customHeight="1" x14ac:dyDescent="0.15"/>
    <row r="319" ht="13" hidden="1" customHeight="1" x14ac:dyDescent="0.15"/>
    <row r="320" ht="13" hidden="1" customHeight="1" x14ac:dyDescent="0.15"/>
    <row r="321" ht="13" hidden="1" customHeight="1" x14ac:dyDescent="0.15"/>
    <row r="322" ht="13" hidden="1" customHeight="1" x14ac:dyDescent="0.15"/>
    <row r="323" ht="13" hidden="1" customHeight="1" x14ac:dyDescent="0.15"/>
    <row r="324" ht="13" hidden="1" customHeight="1" x14ac:dyDescent="0.15"/>
    <row r="325" ht="13" hidden="1" customHeight="1" x14ac:dyDescent="0.15"/>
    <row r="326" ht="13" hidden="1" customHeight="1" x14ac:dyDescent="0.15"/>
    <row r="327" ht="13" hidden="1" customHeight="1" x14ac:dyDescent="0.15"/>
    <row r="328" ht="13" hidden="1" customHeight="1" x14ac:dyDescent="0.15"/>
    <row r="329" ht="13" hidden="1" customHeight="1" x14ac:dyDescent="0.15"/>
    <row r="330" ht="13" hidden="1" customHeight="1" x14ac:dyDescent="0.15"/>
    <row r="331" ht="13" hidden="1" customHeight="1" x14ac:dyDescent="0.15"/>
    <row r="332" ht="13" hidden="1" customHeight="1" x14ac:dyDescent="0.15"/>
    <row r="333" ht="13" hidden="1" customHeight="1" x14ac:dyDescent="0.15"/>
    <row r="334" ht="13" hidden="1" customHeight="1" x14ac:dyDescent="0.15"/>
    <row r="335" ht="13" hidden="1" customHeight="1" x14ac:dyDescent="0.15"/>
    <row r="336" ht="13" hidden="1" customHeight="1" x14ac:dyDescent="0.15"/>
    <row r="337" ht="13" hidden="1" customHeight="1" x14ac:dyDescent="0.15"/>
    <row r="338" ht="13" hidden="1" customHeight="1" x14ac:dyDescent="0.15"/>
    <row r="339" ht="13" hidden="1" customHeight="1" x14ac:dyDescent="0.15"/>
    <row r="340" ht="13" hidden="1" customHeight="1" x14ac:dyDescent="0.15"/>
    <row r="341" ht="13" hidden="1" customHeight="1" x14ac:dyDescent="0.15"/>
    <row r="342" ht="13" hidden="1" customHeight="1" x14ac:dyDescent="0.15"/>
    <row r="343" ht="13" hidden="1" customHeight="1" x14ac:dyDescent="0.15"/>
    <row r="344" ht="13" hidden="1" customHeight="1" x14ac:dyDescent="0.15"/>
    <row r="345" ht="13" hidden="1" customHeight="1" x14ac:dyDescent="0.15"/>
    <row r="346" ht="13" hidden="1" customHeight="1" x14ac:dyDescent="0.15"/>
    <row r="347" ht="13" hidden="1" customHeight="1" x14ac:dyDescent="0.15"/>
    <row r="348" ht="13" hidden="1" customHeight="1" x14ac:dyDescent="0.15"/>
    <row r="349" ht="13" hidden="1" customHeight="1" x14ac:dyDescent="0.15"/>
    <row r="350" ht="13" hidden="1" customHeight="1" x14ac:dyDescent="0.15"/>
    <row r="351" ht="13" hidden="1" customHeight="1" x14ac:dyDescent="0.15"/>
    <row r="352" ht="13" hidden="1" customHeight="1" x14ac:dyDescent="0.15"/>
    <row r="353" ht="13" hidden="1" customHeight="1" x14ac:dyDescent="0.15"/>
    <row r="354" ht="13" hidden="1" customHeight="1" x14ac:dyDescent="0.15"/>
    <row r="355" ht="13" hidden="1" customHeight="1" x14ac:dyDescent="0.15"/>
    <row r="356" ht="13" hidden="1" customHeight="1" x14ac:dyDescent="0.15"/>
    <row r="357" ht="13" hidden="1" customHeight="1" x14ac:dyDescent="0.15"/>
    <row r="358" ht="13" hidden="1" customHeight="1" x14ac:dyDescent="0.15"/>
    <row r="359" ht="13" hidden="1" customHeight="1" x14ac:dyDescent="0.15"/>
    <row r="360" ht="13" hidden="1" customHeight="1" x14ac:dyDescent="0.15"/>
    <row r="361" ht="13" hidden="1" customHeight="1" x14ac:dyDescent="0.15"/>
    <row r="362" ht="13" hidden="1" customHeight="1" x14ac:dyDescent="0.15"/>
    <row r="363" ht="13" hidden="1" customHeight="1" x14ac:dyDescent="0.15"/>
    <row r="364" ht="13" hidden="1" customHeight="1" x14ac:dyDescent="0.15"/>
    <row r="365" ht="13" hidden="1" customHeight="1" x14ac:dyDescent="0.15"/>
    <row r="366" ht="13" hidden="1" customHeight="1" x14ac:dyDescent="0.15"/>
    <row r="367" ht="13" hidden="1" customHeight="1" x14ac:dyDescent="0.15"/>
    <row r="368" ht="13" hidden="1" customHeight="1" x14ac:dyDescent="0.15"/>
    <row r="369" ht="13" hidden="1" customHeight="1" x14ac:dyDescent="0.15"/>
    <row r="370" ht="13" hidden="1" customHeight="1" x14ac:dyDescent="0.15"/>
    <row r="371" ht="13" hidden="1" customHeight="1" x14ac:dyDescent="0.15"/>
    <row r="372" ht="13" hidden="1" customHeight="1" x14ac:dyDescent="0.15"/>
    <row r="373" ht="13" hidden="1" customHeight="1" x14ac:dyDescent="0.15"/>
    <row r="374" ht="13" hidden="1" customHeight="1" x14ac:dyDescent="0.15"/>
    <row r="375" ht="13" hidden="1" customHeight="1" x14ac:dyDescent="0.15"/>
    <row r="376" ht="13" hidden="1" customHeight="1" x14ac:dyDescent="0.15"/>
    <row r="377" ht="13" hidden="1" customHeight="1" x14ac:dyDescent="0.15"/>
    <row r="378" ht="13" hidden="1" customHeight="1" x14ac:dyDescent="0.15"/>
    <row r="379" ht="13" hidden="1" customHeight="1" x14ac:dyDescent="0.15"/>
    <row r="380" ht="13" hidden="1" customHeight="1" x14ac:dyDescent="0.15"/>
    <row r="381" ht="13" hidden="1" customHeight="1" x14ac:dyDescent="0.15"/>
    <row r="382" ht="13" hidden="1" customHeight="1" x14ac:dyDescent="0.15"/>
    <row r="383" ht="13" hidden="1" customHeight="1" x14ac:dyDescent="0.15"/>
    <row r="384" ht="13" hidden="1" customHeight="1" x14ac:dyDescent="0.15"/>
    <row r="385" ht="13" hidden="1" customHeight="1" x14ac:dyDescent="0.15"/>
    <row r="386" ht="13" hidden="1" customHeight="1" x14ac:dyDescent="0.15"/>
    <row r="387" ht="13" hidden="1" customHeight="1" x14ac:dyDescent="0.15"/>
    <row r="388" ht="13" hidden="1" customHeight="1" x14ac:dyDescent="0.15"/>
    <row r="389" ht="13" hidden="1" customHeight="1" x14ac:dyDescent="0.15"/>
    <row r="390" ht="13" hidden="1" customHeight="1" x14ac:dyDescent="0.15"/>
    <row r="391" ht="13" hidden="1" customHeight="1" x14ac:dyDescent="0.15"/>
    <row r="392" ht="13" hidden="1" customHeight="1" x14ac:dyDescent="0.15"/>
    <row r="393" ht="13" hidden="1" customHeight="1" x14ac:dyDescent="0.15"/>
    <row r="394" ht="13" hidden="1" customHeight="1" x14ac:dyDescent="0.15"/>
    <row r="395" ht="13" hidden="1" customHeight="1" x14ac:dyDescent="0.15"/>
    <row r="396" ht="13" hidden="1" customHeight="1" x14ac:dyDescent="0.15"/>
    <row r="397" ht="13" hidden="1" customHeight="1" x14ac:dyDescent="0.15"/>
    <row r="398" ht="13" hidden="1" customHeight="1" x14ac:dyDescent="0.15"/>
    <row r="399" ht="13" hidden="1" customHeight="1" x14ac:dyDescent="0.15"/>
    <row r="400" ht="13" hidden="1" customHeight="1" x14ac:dyDescent="0.15"/>
    <row r="401" ht="13" hidden="1" customHeight="1" x14ac:dyDescent="0.15"/>
    <row r="402" ht="13" hidden="1" customHeight="1" x14ac:dyDescent="0.15"/>
    <row r="403" ht="13" hidden="1" customHeight="1" x14ac:dyDescent="0.15"/>
    <row r="404" ht="13" hidden="1" customHeight="1" x14ac:dyDescent="0.15"/>
    <row r="405" ht="13" hidden="1" customHeight="1" x14ac:dyDescent="0.15"/>
    <row r="406" ht="13" hidden="1" customHeight="1" x14ac:dyDescent="0.15"/>
    <row r="407" ht="13" hidden="1" customHeight="1" x14ac:dyDescent="0.15"/>
    <row r="408" ht="13" hidden="1" customHeight="1" x14ac:dyDescent="0.15"/>
    <row r="409" ht="13" hidden="1" customHeight="1" x14ac:dyDescent="0.15"/>
    <row r="410" ht="13" hidden="1" customHeight="1" x14ac:dyDescent="0.15"/>
    <row r="411" ht="13" hidden="1" customHeight="1" x14ac:dyDescent="0.15"/>
    <row r="412" ht="13" hidden="1" customHeight="1" x14ac:dyDescent="0.15"/>
    <row r="413" ht="13" hidden="1" customHeight="1" x14ac:dyDescent="0.15"/>
    <row r="414" ht="13" hidden="1" customHeight="1" x14ac:dyDescent="0.15"/>
    <row r="415" ht="13" hidden="1" customHeight="1" x14ac:dyDescent="0.15"/>
    <row r="416" ht="13" hidden="1" customHeight="1" x14ac:dyDescent="0.15"/>
    <row r="417" ht="13" hidden="1" customHeight="1" x14ac:dyDescent="0.15"/>
    <row r="418" ht="13" hidden="1" customHeight="1" x14ac:dyDescent="0.15"/>
    <row r="419" ht="13" hidden="1" customHeight="1" x14ac:dyDescent="0.15"/>
    <row r="420" ht="13" hidden="1" customHeight="1" x14ac:dyDescent="0.15"/>
    <row r="421" ht="13" hidden="1" customHeight="1" x14ac:dyDescent="0.15"/>
    <row r="422" ht="13" hidden="1" customHeight="1" x14ac:dyDescent="0.15"/>
    <row r="423" ht="13" hidden="1" customHeight="1" x14ac:dyDescent="0.15"/>
    <row r="424" ht="13" hidden="1" customHeight="1" x14ac:dyDescent="0.15"/>
    <row r="425" ht="13" hidden="1" customHeight="1" x14ac:dyDescent="0.15"/>
    <row r="426" ht="13" hidden="1" customHeight="1" x14ac:dyDescent="0.15"/>
    <row r="427" ht="13" hidden="1" customHeight="1" x14ac:dyDescent="0.15"/>
    <row r="428" ht="13" hidden="1" customHeight="1" x14ac:dyDescent="0.15"/>
    <row r="429" ht="13" hidden="1" customHeight="1" x14ac:dyDescent="0.15"/>
    <row r="430" ht="13" hidden="1" customHeight="1" x14ac:dyDescent="0.15"/>
    <row r="431" ht="13" hidden="1" customHeight="1" x14ac:dyDescent="0.15"/>
    <row r="432" ht="13" hidden="1" customHeight="1" x14ac:dyDescent="0.15"/>
    <row r="433" ht="13" hidden="1" customHeight="1" x14ac:dyDescent="0.15"/>
    <row r="434" ht="13" hidden="1" customHeight="1" x14ac:dyDescent="0.15"/>
    <row r="435" ht="13" hidden="1" customHeight="1" x14ac:dyDescent="0.15"/>
    <row r="436" ht="13" hidden="1" customHeight="1" x14ac:dyDescent="0.15"/>
    <row r="437" ht="13" hidden="1" customHeight="1" x14ac:dyDescent="0.15"/>
    <row r="438" ht="13" hidden="1" customHeight="1" x14ac:dyDescent="0.15"/>
    <row r="439" ht="13" hidden="1" customHeight="1" x14ac:dyDescent="0.15"/>
    <row r="440" ht="13" hidden="1" customHeight="1" x14ac:dyDescent="0.15"/>
    <row r="441" ht="13" hidden="1" customHeight="1" x14ac:dyDescent="0.15"/>
    <row r="442" ht="13" hidden="1" customHeight="1" x14ac:dyDescent="0.15"/>
    <row r="443" ht="13" hidden="1" customHeight="1" x14ac:dyDescent="0.15"/>
    <row r="444" ht="13" hidden="1" customHeight="1" x14ac:dyDescent="0.15"/>
    <row r="445" ht="13" hidden="1" customHeight="1" x14ac:dyDescent="0.15"/>
    <row r="446" ht="13" hidden="1" customHeight="1" x14ac:dyDescent="0.15"/>
    <row r="447" ht="13" hidden="1" customHeight="1" x14ac:dyDescent="0.15"/>
    <row r="448" ht="13" hidden="1" customHeight="1" x14ac:dyDescent="0.15"/>
    <row r="449" ht="13" hidden="1" customHeight="1" x14ac:dyDescent="0.15"/>
    <row r="450" ht="13" hidden="1" customHeight="1" x14ac:dyDescent="0.15"/>
    <row r="451" ht="13" hidden="1" customHeight="1" x14ac:dyDescent="0.15"/>
    <row r="452" ht="13" hidden="1" customHeight="1" x14ac:dyDescent="0.15"/>
    <row r="453" ht="13" hidden="1" customHeight="1" x14ac:dyDescent="0.15"/>
    <row r="454" ht="13" hidden="1" customHeight="1" x14ac:dyDescent="0.15"/>
    <row r="455" ht="13" hidden="1" customHeight="1" x14ac:dyDescent="0.15"/>
    <row r="456" ht="13" hidden="1" customHeight="1" x14ac:dyDescent="0.15"/>
    <row r="457" ht="13" hidden="1" customHeight="1" x14ac:dyDescent="0.15"/>
    <row r="458" ht="13" hidden="1" customHeight="1" x14ac:dyDescent="0.15"/>
    <row r="459" ht="13" hidden="1" customHeight="1" x14ac:dyDescent="0.15"/>
    <row r="460" ht="13" hidden="1" customHeight="1" x14ac:dyDescent="0.15"/>
    <row r="461" ht="13" hidden="1" customHeight="1" x14ac:dyDescent="0.15"/>
    <row r="462" ht="13" hidden="1" customHeight="1" x14ac:dyDescent="0.15"/>
    <row r="463" ht="13" hidden="1" customHeight="1" x14ac:dyDescent="0.15"/>
    <row r="464" ht="13" hidden="1" customHeight="1" x14ac:dyDescent="0.15"/>
    <row r="465" ht="13" hidden="1" customHeight="1" x14ac:dyDescent="0.15"/>
    <row r="466" ht="13" hidden="1" customHeight="1" x14ac:dyDescent="0.15"/>
    <row r="467" ht="13" hidden="1" customHeight="1" x14ac:dyDescent="0.15"/>
    <row r="468" ht="13" hidden="1" customHeight="1" x14ac:dyDescent="0.15"/>
    <row r="469" ht="13" hidden="1" customHeight="1" x14ac:dyDescent="0.15"/>
    <row r="470" ht="13" hidden="1" customHeight="1" x14ac:dyDescent="0.15"/>
    <row r="471" ht="13" hidden="1" customHeight="1" x14ac:dyDescent="0.15"/>
    <row r="472" ht="13" hidden="1" customHeight="1" x14ac:dyDescent="0.15"/>
    <row r="473" ht="13" hidden="1" customHeight="1" x14ac:dyDescent="0.15"/>
    <row r="474" ht="13" hidden="1" customHeight="1" x14ac:dyDescent="0.15"/>
    <row r="475" ht="13" hidden="1" customHeight="1" x14ac:dyDescent="0.15"/>
    <row r="476" ht="13" hidden="1" customHeight="1" x14ac:dyDescent="0.15"/>
    <row r="477" ht="13" hidden="1" customHeight="1" x14ac:dyDescent="0.15"/>
    <row r="478" ht="13" hidden="1" customHeight="1" x14ac:dyDescent="0.15"/>
    <row r="479" ht="13" hidden="1" customHeight="1" x14ac:dyDescent="0.15"/>
    <row r="480" ht="13" hidden="1" customHeight="1" x14ac:dyDescent="0.15"/>
    <row r="481" ht="13" hidden="1" customHeight="1" x14ac:dyDescent="0.15"/>
    <row r="482" ht="13" hidden="1" customHeight="1" x14ac:dyDescent="0.15"/>
    <row r="483" ht="13" hidden="1" customHeight="1" x14ac:dyDescent="0.15"/>
    <row r="484" ht="13" hidden="1" customHeight="1" x14ac:dyDescent="0.15"/>
    <row r="485" ht="13" hidden="1" customHeight="1" x14ac:dyDescent="0.15"/>
    <row r="486" ht="13" hidden="1" customHeight="1" x14ac:dyDescent="0.15"/>
    <row r="487" ht="13" hidden="1" customHeight="1" x14ac:dyDescent="0.15"/>
    <row r="488" ht="13" hidden="1" customHeight="1" x14ac:dyDescent="0.15"/>
    <row r="489" ht="13" hidden="1" customHeight="1" x14ac:dyDescent="0.15"/>
    <row r="490" ht="13" hidden="1" customHeight="1" x14ac:dyDescent="0.15"/>
    <row r="491" ht="13" hidden="1" customHeight="1" x14ac:dyDescent="0.15"/>
    <row r="492" ht="13" hidden="1" customHeight="1" x14ac:dyDescent="0.15"/>
    <row r="493" ht="13" hidden="1" customHeight="1" x14ac:dyDescent="0.15"/>
    <row r="494" ht="13" hidden="1" customHeight="1" x14ac:dyDescent="0.15"/>
    <row r="495" ht="13" hidden="1" customHeight="1" x14ac:dyDescent="0.15"/>
    <row r="496" ht="13" hidden="1" customHeight="1" x14ac:dyDescent="0.15"/>
    <row r="497" ht="13" hidden="1" customHeight="1" x14ac:dyDescent="0.15"/>
    <row r="498" ht="13" hidden="1" customHeight="1" x14ac:dyDescent="0.15"/>
    <row r="499" ht="13" hidden="1" customHeight="1" x14ac:dyDescent="0.15"/>
    <row r="500" ht="13" hidden="1" customHeight="1" x14ac:dyDescent="0.15"/>
    <row r="501" ht="13" hidden="1" customHeight="1" x14ac:dyDescent="0.15"/>
    <row r="502" ht="13" hidden="1" customHeight="1" x14ac:dyDescent="0.15"/>
    <row r="503" ht="13" hidden="1" customHeight="1" x14ac:dyDescent="0.15"/>
    <row r="504" ht="13" hidden="1" customHeight="1" x14ac:dyDescent="0.15"/>
    <row r="505" ht="13" hidden="1" customHeight="1" x14ac:dyDescent="0.15"/>
    <row r="506" ht="13" hidden="1" customHeight="1" x14ac:dyDescent="0.15"/>
    <row r="507" ht="13" hidden="1" customHeight="1" x14ac:dyDescent="0.15"/>
    <row r="508" ht="13" hidden="1" customHeight="1" x14ac:dyDescent="0.15"/>
    <row r="509" ht="13" hidden="1" customHeight="1" x14ac:dyDescent="0.15"/>
    <row r="510" ht="13" hidden="1" customHeight="1" x14ac:dyDescent="0.15"/>
    <row r="511" ht="13" hidden="1" customHeight="1" x14ac:dyDescent="0.15"/>
    <row r="512" ht="13" hidden="1" customHeight="1" x14ac:dyDescent="0.15"/>
    <row r="513" ht="13" hidden="1" customHeight="1" x14ac:dyDescent="0.15"/>
    <row r="514" ht="13" hidden="1" customHeight="1" x14ac:dyDescent="0.15"/>
    <row r="515" ht="13" hidden="1" customHeight="1" x14ac:dyDescent="0.15"/>
    <row r="516" ht="13" hidden="1" customHeight="1" x14ac:dyDescent="0.15"/>
    <row r="517" ht="13" hidden="1" customHeight="1" x14ac:dyDescent="0.15"/>
    <row r="518" ht="13" hidden="1" customHeight="1" x14ac:dyDescent="0.15"/>
    <row r="519" ht="13" hidden="1" customHeight="1" x14ac:dyDescent="0.15"/>
    <row r="520" ht="13" hidden="1" customHeight="1" x14ac:dyDescent="0.15"/>
    <row r="521" ht="13" hidden="1" customHeight="1" x14ac:dyDescent="0.15"/>
    <row r="522" ht="13" hidden="1" customHeight="1" x14ac:dyDescent="0.15"/>
    <row r="523" ht="13" hidden="1" customHeight="1" x14ac:dyDescent="0.15"/>
    <row r="524" ht="13" hidden="1" customHeight="1" x14ac:dyDescent="0.15"/>
    <row r="525" ht="13" hidden="1" customHeight="1" x14ac:dyDescent="0.15"/>
    <row r="526" ht="13" hidden="1" customHeight="1" x14ac:dyDescent="0.15"/>
    <row r="527" ht="13" hidden="1" customHeight="1" x14ac:dyDescent="0.15"/>
    <row r="528" ht="13" hidden="1" customHeight="1" x14ac:dyDescent="0.15"/>
    <row r="529" ht="13" hidden="1" customHeight="1" x14ac:dyDescent="0.15"/>
    <row r="530" ht="13" hidden="1" customHeight="1" x14ac:dyDescent="0.15"/>
    <row r="531" ht="13" hidden="1" customHeight="1" x14ac:dyDescent="0.15"/>
    <row r="532" ht="13" hidden="1" customHeight="1" x14ac:dyDescent="0.15"/>
    <row r="533" ht="13" hidden="1" customHeight="1" x14ac:dyDescent="0.15"/>
    <row r="534" ht="13" hidden="1" customHeight="1" x14ac:dyDescent="0.15"/>
    <row r="535" ht="13" hidden="1" customHeight="1" x14ac:dyDescent="0.15"/>
    <row r="536" ht="13" hidden="1" customHeight="1" x14ac:dyDescent="0.15"/>
    <row r="537" ht="13" hidden="1" customHeight="1" x14ac:dyDescent="0.15"/>
    <row r="538" ht="13" hidden="1" customHeight="1" x14ac:dyDescent="0.15"/>
    <row r="539" ht="13" hidden="1" customHeight="1" x14ac:dyDescent="0.15"/>
    <row r="540" ht="13" hidden="1" customHeight="1" x14ac:dyDescent="0.15"/>
    <row r="541" ht="13" hidden="1" customHeight="1" x14ac:dyDescent="0.15"/>
    <row r="542" ht="13" hidden="1" customHeight="1" x14ac:dyDescent="0.15"/>
    <row r="543" ht="13" hidden="1" customHeight="1" x14ac:dyDescent="0.15"/>
    <row r="544" ht="13" hidden="1" customHeight="1" x14ac:dyDescent="0.15"/>
    <row r="545" ht="13" hidden="1" customHeight="1" x14ac:dyDescent="0.15"/>
    <row r="546" ht="13" hidden="1" customHeight="1" x14ac:dyDescent="0.15"/>
    <row r="547" ht="13" hidden="1" customHeight="1" x14ac:dyDescent="0.15"/>
    <row r="548" ht="13" hidden="1" customHeight="1" x14ac:dyDescent="0.15"/>
    <row r="549" ht="13" hidden="1" customHeight="1" x14ac:dyDescent="0.15"/>
    <row r="550" ht="13" hidden="1" customHeight="1" x14ac:dyDescent="0.15"/>
    <row r="551" ht="13" hidden="1" customHeight="1" x14ac:dyDescent="0.15"/>
    <row r="552" ht="13" hidden="1" customHeight="1" x14ac:dyDescent="0.15"/>
    <row r="553" ht="13" hidden="1" customHeight="1" x14ac:dyDescent="0.15"/>
    <row r="554" ht="13" hidden="1" customHeight="1" x14ac:dyDescent="0.15"/>
    <row r="555" ht="13" hidden="1" customHeight="1" x14ac:dyDescent="0.15"/>
    <row r="556" ht="13" hidden="1" customHeight="1" x14ac:dyDescent="0.15"/>
    <row r="557" ht="13" hidden="1" customHeight="1" x14ac:dyDescent="0.15"/>
    <row r="558" ht="13" hidden="1" customHeight="1" x14ac:dyDescent="0.15"/>
    <row r="559" ht="13" hidden="1" customHeight="1" x14ac:dyDescent="0.15"/>
    <row r="560" ht="13" hidden="1" customHeight="1" x14ac:dyDescent="0.15"/>
    <row r="561" ht="13" hidden="1" customHeight="1" x14ac:dyDescent="0.15"/>
    <row r="562" ht="13" hidden="1" customHeight="1" x14ac:dyDescent="0.15"/>
    <row r="563" ht="13" hidden="1" customHeight="1" x14ac:dyDescent="0.15"/>
    <row r="564" ht="13" hidden="1" customHeight="1" x14ac:dyDescent="0.15"/>
    <row r="565" ht="13" hidden="1" customHeight="1" x14ac:dyDescent="0.15"/>
    <row r="566" ht="13" hidden="1" customHeight="1" x14ac:dyDescent="0.15"/>
    <row r="567" ht="13" hidden="1" customHeight="1" x14ac:dyDescent="0.15"/>
    <row r="568" ht="13" hidden="1" customHeight="1" x14ac:dyDescent="0.15"/>
    <row r="569" ht="13" hidden="1" customHeight="1" x14ac:dyDescent="0.15"/>
    <row r="570" ht="13" hidden="1" customHeight="1" x14ac:dyDescent="0.15"/>
    <row r="571" ht="13" hidden="1" customHeight="1" x14ac:dyDescent="0.15"/>
    <row r="572" ht="13" hidden="1" customHeight="1" x14ac:dyDescent="0.15"/>
    <row r="573" ht="13" hidden="1" customHeight="1" x14ac:dyDescent="0.15"/>
    <row r="574" ht="13" hidden="1" customHeight="1" x14ac:dyDescent="0.15"/>
    <row r="575" ht="13" hidden="1" customHeight="1" x14ac:dyDescent="0.15"/>
    <row r="576" ht="13" hidden="1" customHeight="1" x14ac:dyDescent="0.15"/>
    <row r="577" ht="13" hidden="1" customHeight="1" x14ac:dyDescent="0.15"/>
    <row r="578" ht="13" hidden="1" customHeight="1" x14ac:dyDescent="0.15"/>
    <row r="579" ht="13" hidden="1" customHeight="1" x14ac:dyDescent="0.15"/>
    <row r="580" ht="13" hidden="1" customHeight="1" x14ac:dyDescent="0.15"/>
    <row r="581" ht="13" hidden="1" customHeight="1" x14ac:dyDescent="0.15"/>
    <row r="582" ht="13" hidden="1" customHeight="1" x14ac:dyDescent="0.15"/>
    <row r="583" ht="13" hidden="1" customHeight="1" x14ac:dyDescent="0.15"/>
    <row r="584" ht="13" hidden="1" customHeight="1" x14ac:dyDescent="0.15"/>
    <row r="585" ht="13" hidden="1" customHeight="1" x14ac:dyDescent="0.15"/>
    <row r="586" ht="13" hidden="1" customHeight="1" x14ac:dyDescent="0.15"/>
    <row r="587" ht="13" hidden="1" customHeight="1" x14ac:dyDescent="0.15"/>
    <row r="588" ht="13" hidden="1" customHeight="1" x14ac:dyDescent="0.15"/>
    <row r="589" ht="13" hidden="1" customHeight="1" x14ac:dyDescent="0.15"/>
    <row r="590" ht="13" hidden="1" customHeight="1" x14ac:dyDescent="0.15"/>
    <row r="591" ht="13" hidden="1" customHeight="1" x14ac:dyDescent="0.15"/>
    <row r="592" ht="13" hidden="1" customHeight="1" x14ac:dyDescent="0.15"/>
    <row r="593" ht="13" hidden="1" customHeight="1" x14ac:dyDescent="0.15"/>
    <row r="594" ht="13" hidden="1" customHeight="1" x14ac:dyDescent="0.15"/>
    <row r="595" ht="13" hidden="1" customHeight="1" x14ac:dyDescent="0.15"/>
    <row r="596" ht="13" hidden="1" customHeight="1" x14ac:dyDescent="0.15"/>
    <row r="597" ht="13" hidden="1" customHeight="1" x14ac:dyDescent="0.15"/>
    <row r="598" ht="13" hidden="1" customHeight="1" x14ac:dyDescent="0.15"/>
    <row r="599" ht="13" hidden="1" customHeight="1" x14ac:dyDescent="0.15"/>
    <row r="600" ht="13" hidden="1" customHeight="1" x14ac:dyDescent="0.15"/>
    <row r="601" ht="13" hidden="1" customHeight="1" x14ac:dyDescent="0.15"/>
    <row r="602" ht="13" hidden="1" customHeight="1" x14ac:dyDescent="0.15"/>
    <row r="603" ht="13" hidden="1" customHeight="1" x14ac:dyDescent="0.15"/>
    <row r="604" ht="13" hidden="1" customHeight="1" x14ac:dyDescent="0.15"/>
    <row r="605" ht="13" hidden="1" customHeight="1" x14ac:dyDescent="0.15"/>
    <row r="606" ht="13" hidden="1" customHeight="1" x14ac:dyDescent="0.15"/>
    <row r="607" ht="13" hidden="1" customHeight="1" x14ac:dyDescent="0.15"/>
    <row r="608" ht="13" hidden="1" customHeight="1" x14ac:dyDescent="0.15"/>
    <row r="609" ht="13" hidden="1" customHeight="1" x14ac:dyDescent="0.15"/>
    <row r="610" ht="13" hidden="1" customHeight="1" x14ac:dyDescent="0.15"/>
    <row r="611" ht="13" hidden="1" customHeight="1" x14ac:dyDescent="0.15"/>
    <row r="612" ht="13" hidden="1" customHeight="1" x14ac:dyDescent="0.15"/>
    <row r="613" ht="13" hidden="1" customHeight="1" x14ac:dyDescent="0.15"/>
    <row r="614" ht="13" hidden="1" customHeight="1" x14ac:dyDescent="0.15"/>
    <row r="615" ht="13" hidden="1" customHeight="1" x14ac:dyDescent="0.15"/>
    <row r="616" ht="13" hidden="1" customHeight="1" x14ac:dyDescent="0.15"/>
    <row r="617" ht="13" hidden="1" customHeight="1" x14ac:dyDescent="0.15"/>
    <row r="618" ht="13" hidden="1" customHeight="1" x14ac:dyDescent="0.15"/>
    <row r="619" ht="13" hidden="1" customHeight="1" x14ac:dyDescent="0.15"/>
    <row r="620" ht="13" hidden="1" customHeight="1" x14ac:dyDescent="0.15"/>
    <row r="621" ht="13" hidden="1" customHeight="1" x14ac:dyDescent="0.15"/>
    <row r="622" ht="13" hidden="1" customHeight="1" x14ac:dyDescent="0.15"/>
    <row r="623" ht="13" hidden="1" customHeight="1" x14ac:dyDescent="0.15"/>
    <row r="624" ht="13" hidden="1" customHeight="1" x14ac:dyDescent="0.15"/>
    <row r="625" ht="13" hidden="1" customHeight="1" x14ac:dyDescent="0.15"/>
    <row r="626" ht="13" hidden="1" customHeight="1" x14ac:dyDescent="0.15"/>
    <row r="627" ht="13" hidden="1" customHeight="1" x14ac:dyDescent="0.15"/>
    <row r="628" ht="13" hidden="1" customHeight="1" x14ac:dyDescent="0.15"/>
    <row r="629" ht="13" hidden="1" customHeight="1" x14ac:dyDescent="0.15"/>
    <row r="630" ht="13" hidden="1" customHeight="1" x14ac:dyDescent="0.15"/>
    <row r="631" ht="13" hidden="1" customHeight="1" x14ac:dyDescent="0.15"/>
    <row r="632" ht="13" hidden="1" customHeight="1" x14ac:dyDescent="0.15"/>
    <row r="633" ht="13" hidden="1" customHeight="1" x14ac:dyDescent="0.15"/>
    <row r="634" ht="13" hidden="1" customHeight="1" x14ac:dyDescent="0.15"/>
    <row r="635" ht="13" hidden="1" customHeight="1" x14ac:dyDescent="0.15"/>
    <row r="636" ht="13" hidden="1" customHeight="1" x14ac:dyDescent="0.15"/>
    <row r="637" ht="13" hidden="1" customHeight="1" x14ac:dyDescent="0.15"/>
    <row r="638" ht="13" hidden="1" customHeight="1" x14ac:dyDescent="0.15"/>
    <row r="639" ht="13" hidden="1" customHeight="1" x14ac:dyDescent="0.15"/>
    <row r="640" ht="13" hidden="1" customHeight="1" x14ac:dyDescent="0.15"/>
    <row r="641" ht="13" hidden="1" customHeight="1" x14ac:dyDescent="0.15"/>
    <row r="642" ht="13" hidden="1" customHeight="1" x14ac:dyDescent="0.15"/>
    <row r="643" ht="13" hidden="1" customHeight="1" x14ac:dyDescent="0.15"/>
    <row r="644" ht="13" hidden="1" customHeight="1" x14ac:dyDescent="0.15"/>
    <row r="645" ht="13" hidden="1" customHeight="1" x14ac:dyDescent="0.15"/>
    <row r="646" ht="13" hidden="1" customHeight="1" x14ac:dyDescent="0.15"/>
    <row r="647" ht="13" hidden="1" customHeight="1" x14ac:dyDescent="0.15"/>
    <row r="648" ht="13" hidden="1" customHeight="1" x14ac:dyDescent="0.15"/>
    <row r="649" ht="13" hidden="1" customHeight="1" x14ac:dyDescent="0.15"/>
    <row r="650" ht="13" hidden="1" customHeight="1" x14ac:dyDescent="0.15"/>
    <row r="651" ht="13" hidden="1" customHeight="1" x14ac:dyDescent="0.15"/>
    <row r="652" ht="13" hidden="1" customHeight="1" x14ac:dyDescent="0.15"/>
    <row r="653" ht="13" hidden="1" customHeight="1" x14ac:dyDescent="0.15"/>
    <row r="654" ht="13" hidden="1" customHeight="1" x14ac:dyDescent="0.15"/>
    <row r="655" ht="13" hidden="1" customHeight="1" x14ac:dyDescent="0.15"/>
    <row r="656" ht="13" hidden="1" customHeight="1" x14ac:dyDescent="0.15"/>
    <row r="657" ht="13" hidden="1" customHeight="1" x14ac:dyDescent="0.15"/>
    <row r="658" ht="13" hidden="1" customHeight="1" x14ac:dyDescent="0.15"/>
    <row r="659" ht="13" hidden="1" customHeight="1" x14ac:dyDescent="0.15"/>
    <row r="660" ht="13" hidden="1" customHeight="1" x14ac:dyDescent="0.15"/>
    <row r="661" ht="13" hidden="1" customHeight="1" x14ac:dyDescent="0.15"/>
    <row r="662" ht="13" hidden="1" customHeight="1" x14ac:dyDescent="0.15"/>
    <row r="663" ht="13" hidden="1" customHeight="1" x14ac:dyDescent="0.15"/>
    <row r="664" ht="13" hidden="1" customHeight="1" x14ac:dyDescent="0.15"/>
    <row r="665" ht="13" hidden="1" customHeight="1" x14ac:dyDescent="0.15"/>
    <row r="666" ht="13" hidden="1" customHeight="1" x14ac:dyDescent="0.15"/>
    <row r="667" ht="13" hidden="1" customHeight="1" x14ac:dyDescent="0.15"/>
    <row r="668" ht="13" hidden="1" customHeight="1" x14ac:dyDescent="0.15"/>
    <row r="669" ht="13" hidden="1" customHeight="1" x14ac:dyDescent="0.15"/>
    <row r="670" ht="13" hidden="1" customHeight="1" x14ac:dyDescent="0.15"/>
    <row r="671" ht="13" hidden="1" customHeight="1" x14ac:dyDescent="0.15"/>
    <row r="672" ht="13" hidden="1" customHeight="1" x14ac:dyDescent="0.15"/>
    <row r="673" ht="13" hidden="1" customHeight="1" x14ac:dyDescent="0.15"/>
    <row r="674" ht="13" hidden="1" customHeight="1" x14ac:dyDescent="0.15"/>
    <row r="675" ht="13" hidden="1" customHeight="1" x14ac:dyDescent="0.15"/>
    <row r="676" ht="13" hidden="1" customHeight="1" x14ac:dyDescent="0.15"/>
    <row r="677" ht="13" hidden="1" customHeight="1" x14ac:dyDescent="0.15"/>
    <row r="678" ht="13" hidden="1" customHeight="1" x14ac:dyDescent="0.15"/>
    <row r="679" ht="13" hidden="1" customHeight="1" x14ac:dyDescent="0.15"/>
    <row r="680" ht="13" hidden="1" customHeight="1" x14ac:dyDescent="0.15"/>
    <row r="681" ht="13" hidden="1" customHeight="1" x14ac:dyDescent="0.15"/>
    <row r="682" ht="13" hidden="1" customHeight="1" x14ac:dyDescent="0.15"/>
    <row r="683" ht="13" hidden="1" customHeight="1" x14ac:dyDescent="0.15"/>
    <row r="684" ht="13" hidden="1" customHeight="1" x14ac:dyDescent="0.15"/>
    <row r="685" ht="13" hidden="1" customHeight="1" x14ac:dyDescent="0.15"/>
    <row r="686" ht="13" hidden="1" customHeight="1" x14ac:dyDescent="0.15"/>
    <row r="687" ht="13" hidden="1" customHeight="1" x14ac:dyDescent="0.15"/>
    <row r="688" ht="13" hidden="1" customHeight="1" x14ac:dyDescent="0.15"/>
    <row r="689" ht="13" hidden="1" customHeight="1" x14ac:dyDescent="0.15"/>
    <row r="690" ht="13" hidden="1" customHeight="1" x14ac:dyDescent="0.15"/>
    <row r="691" ht="13" hidden="1" customHeight="1" x14ac:dyDescent="0.15"/>
    <row r="692" ht="13" hidden="1" customHeight="1" x14ac:dyDescent="0.15"/>
    <row r="693" ht="13" hidden="1" customHeight="1" x14ac:dyDescent="0.15"/>
    <row r="694" ht="13" hidden="1" customHeight="1" x14ac:dyDescent="0.15"/>
    <row r="695" ht="13" hidden="1" customHeight="1" x14ac:dyDescent="0.15"/>
    <row r="696" ht="13" hidden="1" customHeight="1" x14ac:dyDescent="0.15"/>
    <row r="697" ht="13" hidden="1" customHeight="1" x14ac:dyDescent="0.15"/>
    <row r="698" ht="13" hidden="1" customHeight="1" x14ac:dyDescent="0.15"/>
    <row r="699" ht="13" hidden="1" customHeight="1" x14ac:dyDescent="0.15"/>
    <row r="700" ht="13" hidden="1" customHeight="1" x14ac:dyDescent="0.15"/>
    <row r="701" ht="13" hidden="1" customHeight="1" x14ac:dyDescent="0.15"/>
    <row r="702" ht="13" hidden="1" customHeight="1" x14ac:dyDescent="0.15"/>
    <row r="703" ht="13" hidden="1" customHeight="1" x14ac:dyDescent="0.15"/>
    <row r="704" ht="13" hidden="1" customHeight="1" x14ac:dyDescent="0.15"/>
    <row r="705" ht="13" hidden="1" customHeight="1" x14ac:dyDescent="0.15"/>
    <row r="706" ht="13" hidden="1" customHeight="1" x14ac:dyDescent="0.15"/>
    <row r="707" ht="13" hidden="1" customHeight="1" x14ac:dyDescent="0.15"/>
    <row r="708" ht="13" hidden="1" customHeight="1" x14ac:dyDescent="0.15"/>
    <row r="709" ht="13" hidden="1" customHeight="1" x14ac:dyDescent="0.15"/>
    <row r="710" ht="13" hidden="1" customHeight="1" x14ac:dyDescent="0.15"/>
    <row r="711" ht="13" hidden="1" customHeight="1" x14ac:dyDescent="0.15"/>
    <row r="712" ht="13" hidden="1" customHeight="1" x14ac:dyDescent="0.15"/>
    <row r="713" ht="13" hidden="1" customHeight="1" x14ac:dyDescent="0.15"/>
    <row r="714" ht="13" hidden="1" customHeight="1" x14ac:dyDescent="0.15"/>
    <row r="715" ht="13" hidden="1" customHeight="1" x14ac:dyDescent="0.15"/>
    <row r="716" ht="13" hidden="1" customHeight="1" x14ac:dyDescent="0.15"/>
    <row r="717" ht="13" hidden="1" customHeight="1" x14ac:dyDescent="0.15"/>
    <row r="718" ht="13" hidden="1" customHeight="1" x14ac:dyDescent="0.15"/>
    <row r="719" ht="13" hidden="1" customHeight="1" x14ac:dyDescent="0.15"/>
    <row r="720" ht="13" hidden="1" customHeight="1" x14ac:dyDescent="0.15"/>
    <row r="721" ht="13" hidden="1" customHeight="1" x14ac:dyDescent="0.15"/>
    <row r="722" ht="13" hidden="1" customHeight="1" x14ac:dyDescent="0.15"/>
    <row r="723" ht="13" hidden="1" customHeight="1" x14ac:dyDescent="0.15"/>
    <row r="724" ht="13" hidden="1" customHeight="1" x14ac:dyDescent="0.15"/>
    <row r="725" ht="13" hidden="1" customHeight="1" x14ac:dyDescent="0.15"/>
    <row r="726" ht="13" hidden="1" customHeight="1" x14ac:dyDescent="0.15"/>
    <row r="727" ht="13" hidden="1" customHeight="1" x14ac:dyDescent="0.15"/>
    <row r="728" ht="13" hidden="1" customHeight="1" x14ac:dyDescent="0.15"/>
    <row r="729" ht="13" hidden="1" customHeight="1" x14ac:dyDescent="0.15"/>
    <row r="730" ht="13" hidden="1" customHeight="1" x14ac:dyDescent="0.15"/>
    <row r="731" ht="13" hidden="1" customHeight="1" x14ac:dyDescent="0.15"/>
    <row r="732" ht="13" hidden="1" customHeight="1" x14ac:dyDescent="0.15"/>
    <row r="733" ht="13" hidden="1" customHeight="1" x14ac:dyDescent="0.15"/>
    <row r="734" ht="13" hidden="1" customHeight="1" x14ac:dyDescent="0.15"/>
    <row r="735" ht="13" hidden="1" customHeight="1" x14ac:dyDescent="0.15"/>
    <row r="736" ht="13" hidden="1" customHeight="1" x14ac:dyDescent="0.15"/>
    <row r="737" ht="13" hidden="1" customHeight="1" x14ac:dyDescent="0.15"/>
    <row r="738" ht="13" hidden="1" customHeight="1" x14ac:dyDescent="0.15"/>
    <row r="739" ht="13" hidden="1" customHeight="1" x14ac:dyDescent="0.15"/>
    <row r="740" ht="13" hidden="1" customHeight="1" x14ac:dyDescent="0.15"/>
    <row r="741" ht="13" hidden="1" customHeight="1" x14ac:dyDescent="0.15"/>
    <row r="742" ht="13" hidden="1" customHeight="1" x14ac:dyDescent="0.15"/>
    <row r="743" ht="13" hidden="1" customHeight="1" x14ac:dyDescent="0.15"/>
    <row r="744" ht="13" hidden="1" customHeight="1" x14ac:dyDescent="0.15"/>
    <row r="745" ht="13" hidden="1" customHeight="1" x14ac:dyDescent="0.15"/>
    <row r="746" ht="13" hidden="1" customHeight="1" x14ac:dyDescent="0.15"/>
    <row r="747" ht="13" hidden="1" customHeight="1" x14ac:dyDescent="0.15"/>
    <row r="748" ht="13" hidden="1" customHeight="1" x14ac:dyDescent="0.15"/>
    <row r="749" ht="13" hidden="1" customHeight="1" x14ac:dyDescent="0.15"/>
    <row r="750" ht="13" hidden="1" customHeight="1" x14ac:dyDescent="0.15"/>
    <row r="751" ht="13" hidden="1" customHeight="1" x14ac:dyDescent="0.15"/>
    <row r="752" ht="13" hidden="1" customHeight="1" x14ac:dyDescent="0.15"/>
    <row r="753" ht="13" hidden="1" customHeight="1" x14ac:dyDescent="0.15"/>
    <row r="754" ht="13" hidden="1" customHeight="1" x14ac:dyDescent="0.15"/>
    <row r="755" ht="13" hidden="1" customHeight="1" x14ac:dyDescent="0.15"/>
    <row r="756" ht="13" hidden="1" customHeight="1" x14ac:dyDescent="0.15"/>
    <row r="757" ht="13" hidden="1" customHeight="1" x14ac:dyDescent="0.15"/>
    <row r="758" ht="13" hidden="1" customHeight="1" x14ac:dyDescent="0.15"/>
    <row r="759" ht="13" hidden="1" customHeight="1" x14ac:dyDescent="0.15"/>
    <row r="760" ht="13" hidden="1" customHeight="1" x14ac:dyDescent="0.15"/>
    <row r="761" ht="13" hidden="1" customHeight="1" x14ac:dyDescent="0.15"/>
    <row r="762" ht="13" hidden="1" customHeight="1" x14ac:dyDescent="0.15"/>
    <row r="763" ht="13" hidden="1" customHeight="1" x14ac:dyDescent="0.15"/>
    <row r="764" ht="13" hidden="1" customHeight="1" x14ac:dyDescent="0.15"/>
    <row r="765" ht="13" hidden="1" customHeight="1" x14ac:dyDescent="0.15"/>
    <row r="766" ht="13" hidden="1" customHeight="1" x14ac:dyDescent="0.15"/>
    <row r="767" ht="13" hidden="1" customHeight="1" x14ac:dyDescent="0.15"/>
    <row r="768" ht="13" hidden="1" customHeight="1" x14ac:dyDescent="0.15"/>
    <row r="769" ht="13" hidden="1" customHeight="1" x14ac:dyDescent="0.15"/>
    <row r="770" ht="13" hidden="1" customHeight="1" x14ac:dyDescent="0.15"/>
    <row r="771" ht="13" hidden="1" customHeight="1" x14ac:dyDescent="0.15"/>
    <row r="772" ht="13" hidden="1" customHeight="1" x14ac:dyDescent="0.15"/>
    <row r="773" ht="13" hidden="1" customHeight="1" x14ac:dyDescent="0.15"/>
    <row r="774" ht="13" hidden="1" customHeight="1" x14ac:dyDescent="0.15"/>
    <row r="775" ht="13" hidden="1" customHeight="1" x14ac:dyDescent="0.15"/>
    <row r="776" ht="13" hidden="1" customHeight="1" x14ac:dyDescent="0.15"/>
    <row r="777" ht="13" hidden="1" customHeight="1" x14ac:dyDescent="0.15"/>
    <row r="778" ht="13" hidden="1" customHeight="1" x14ac:dyDescent="0.15"/>
    <row r="779" ht="13" hidden="1" customHeight="1" x14ac:dyDescent="0.15"/>
    <row r="780" ht="13" hidden="1" customHeight="1" x14ac:dyDescent="0.15"/>
    <row r="781" ht="13" hidden="1" customHeight="1" x14ac:dyDescent="0.15"/>
    <row r="782" ht="13" hidden="1" customHeight="1" x14ac:dyDescent="0.15"/>
    <row r="783" ht="13" hidden="1" customHeight="1" x14ac:dyDescent="0.15"/>
    <row r="784" ht="13" hidden="1" customHeight="1" x14ac:dyDescent="0.15"/>
    <row r="785" ht="13" hidden="1" customHeight="1" x14ac:dyDescent="0.15"/>
    <row r="786" ht="13" hidden="1" customHeight="1" x14ac:dyDescent="0.15"/>
    <row r="787" ht="13" hidden="1" customHeight="1" x14ac:dyDescent="0.15"/>
    <row r="788" ht="13" hidden="1" customHeight="1" x14ac:dyDescent="0.15"/>
    <row r="789" ht="13" hidden="1" customHeight="1" x14ac:dyDescent="0.15"/>
    <row r="790" ht="13" hidden="1" customHeight="1" x14ac:dyDescent="0.15"/>
    <row r="791" ht="13" hidden="1" customHeight="1" x14ac:dyDescent="0.15"/>
    <row r="792" ht="13" hidden="1" customHeight="1" x14ac:dyDescent="0.15"/>
    <row r="793" ht="13" hidden="1" customHeight="1" x14ac:dyDescent="0.15"/>
    <row r="794" ht="13" hidden="1" customHeight="1" x14ac:dyDescent="0.15"/>
    <row r="795" ht="13" hidden="1" customHeight="1" x14ac:dyDescent="0.15"/>
    <row r="796" ht="13" hidden="1" customHeight="1" x14ac:dyDescent="0.15"/>
    <row r="797" ht="13" hidden="1" customHeight="1" x14ac:dyDescent="0.15"/>
    <row r="798" ht="13" hidden="1" customHeight="1" x14ac:dyDescent="0.15"/>
    <row r="799" ht="13" hidden="1" customHeight="1" x14ac:dyDescent="0.15"/>
    <row r="800" ht="13" hidden="1" customHeight="1" x14ac:dyDescent="0.15"/>
    <row r="801" ht="13" hidden="1" customHeight="1" x14ac:dyDescent="0.15"/>
    <row r="802" ht="13" hidden="1" customHeight="1" x14ac:dyDescent="0.15"/>
    <row r="803" ht="13" hidden="1" customHeight="1" x14ac:dyDescent="0.15"/>
    <row r="804" ht="13" hidden="1" customHeight="1" x14ac:dyDescent="0.15"/>
    <row r="805" ht="13" hidden="1" customHeight="1" x14ac:dyDescent="0.15"/>
    <row r="806" ht="13" hidden="1" customHeight="1" x14ac:dyDescent="0.15"/>
    <row r="807" ht="13" hidden="1" customHeight="1" x14ac:dyDescent="0.15"/>
    <row r="808" ht="13" hidden="1" customHeight="1" x14ac:dyDescent="0.15"/>
    <row r="809" ht="13" hidden="1" customHeight="1" x14ac:dyDescent="0.15"/>
    <row r="810" ht="13" hidden="1" customHeight="1" x14ac:dyDescent="0.15"/>
    <row r="811" ht="13" hidden="1" customHeight="1" x14ac:dyDescent="0.15"/>
    <row r="812" ht="13" hidden="1" customHeight="1" x14ac:dyDescent="0.15"/>
    <row r="813" ht="13" hidden="1" customHeight="1" x14ac:dyDescent="0.15"/>
    <row r="814" ht="13" hidden="1" customHeight="1" x14ac:dyDescent="0.15"/>
    <row r="815" ht="13" hidden="1" customHeight="1" x14ac:dyDescent="0.15"/>
    <row r="816" ht="13" hidden="1" customHeight="1" x14ac:dyDescent="0.15"/>
    <row r="817" ht="13" hidden="1" customHeight="1" x14ac:dyDescent="0.15"/>
    <row r="818" ht="13" hidden="1" customHeight="1" x14ac:dyDescent="0.15"/>
    <row r="819" ht="13" hidden="1" customHeight="1" x14ac:dyDescent="0.15"/>
    <row r="820" ht="13" hidden="1" customHeight="1" x14ac:dyDescent="0.15"/>
    <row r="821" ht="13" hidden="1" customHeight="1" x14ac:dyDescent="0.15"/>
    <row r="822" ht="13" hidden="1" customHeight="1" x14ac:dyDescent="0.15"/>
    <row r="823" ht="13" hidden="1" customHeight="1" x14ac:dyDescent="0.15"/>
    <row r="824" ht="13" hidden="1" customHeight="1" x14ac:dyDescent="0.15"/>
    <row r="825" ht="13" hidden="1" customHeight="1" x14ac:dyDescent="0.15"/>
    <row r="826" ht="13" hidden="1" customHeight="1" x14ac:dyDescent="0.15"/>
    <row r="827" ht="13" hidden="1" customHeight="1" x14ac:dyDescent="0.15"/>
    <row r="828" ht="13" hidden="1" customHeight="1" x14ac:dyDescent="0.15"/>
    <row r="829" ht="13" hidden="1" customHeight="1" x14ac:dyDescent="0.15"/>
    <row r="830" ht="13" hidden="1" customHeight="1" x14ac:dyDescent="0.15"/>
    <row r="831" ht="13" hidden="1" customHeight="1" x14ac:dyDescent="0.15"/>
    <row r="832" ht="13" hidden="1" customHeight="1" x14ac:dyDescent="0.15"/>
    <row r="833" ht="13" hidden="1" customHeight="1" x14ac:dyDescent="0.15"/>
    <row r="834" ht="13" hidden="1" customHeight="1" x14ac:dyDescent="0.15"/>
    <row r="835" ht="13" hidden="1" customHeight="1" x14ac:dyDescent="0.15"/>
    <row r="836" ht="13" hidden="1" customHeight="1" x14ac:dyDescent="0.15"/>
    <row r="837" ht="13" hidden="1" customHeight="1" x14ac:dyDescent="0.15"/>
    <row r="838" ht="13" hidden="1" customHeight="1" x14ac:dyDescent="0.15"/>
    <row r="839" ht="13" hidden="1" customHeight="1" x14ac:dyDescent="0.15"/>
    <row r="840" ht="13" hidden="1" customHeight="1" x14ac:dyDescent="0.15"/>
    <row r="841" ht="13" hidden="1" customHeight="1" x14ac:dyDescent="0.15"/>
    <row r="842" ht="13" hidden="1" customHeight="1" x14ac:dyDescent="0.15"/>
    <row r="843" ht="13" hidden="1" customHeight="1" x14ac:dyDescent="0.15"/>
    <row r="844" ht="13" hidden="1" customHeight="1" x14ac:dyDescent="0.15"/>
    <row r="845" ht="13" hidden="1" customHeight="1" x14ac:dyDescent="0.15"/>
    <row r="846" ht="13" hidden="1" customHeight="1" x14ac:dyDescent="0.15"/>
    <row r="847" ht="13" hidden="1" customHeight="1" x14ac:dyDescent="0.15"/>
    <row r="848" ht="13" hidden="1" customHeight="1" x14ac:dyDescent="0.15"/>
    <row r="849" ht="13" hidden="1" customHeight="1" x14ac:dyDescent="0.15"/>
    <row r="850" ht="13" hidden="1" customHeight="1" x14ac:dyDescent="0.15"/>
    <row r="851" ht="13" hidden="1" customHeight="1" x14ac:dyDescent="0.15"/>
    <row r="852" ht="13" hidden="1" customHeight="1" x14ac:dyDescent="0.15"/>
    <row r="853" ht="13" hidden="1" customHeight="1" x14ac:dyDescent="0.15"/>
    <row r="854" ht="13" hidden="1" customHeight="1" x14ac:dyDescent="0.15"/>
    <row r="855" ht="13" hidden="1" customHeight="1" x14ac:dyDescent="0.15"/>
    <row r="856" ht="13" hidden="1" customHeight="1" x14ac:dyDescent="0.15"/>
    <row r="857" ht="13" hidden="1" customHeight="1" x14ac:dyDescent="0.15"/>
    <row r="858" ht="13" hidden="1" customHeight="1" x14ac:dyDescent="0.15"/>
    <row r="859" ht="13" hidden="1" customHeight="1" x14ac:dyDescent="0.15"/>
    <row r="860" ht="13" hidden="1" customHeight="1" x14ac:dyDescent="0.15"/>
    <row r="861" ht="13" hidden="1" customHeight="1" x14ac:dyDescent="0.15"/>
    <row r="862" ht="13" hidden="1" customHeight="1" x14ac:dyDescent="0.15"/>
    <row r="863" ht="13" hidden="1" customHeight="1" x14ac:dyDescent="0.15"/>
    <row r="864" ht="13" hidden="1" customHeight="1" x14ac:dyDescent="0.15"/>
    <row r="865" ht="13" hidden="1" customHeight="1" x14ac:dyDescent="0.15"/>
    <row r="866" ht="13" hidden="1" customHeight="1" x14ac:dyDescent="0.15"/>
    <row r="867" ht="13" hidden="1" customHeight="1" x14ac:dyDescent="0.15"/>
    <row r="868" ht="13" hidden="1" customHeight="1" x14ac:dyDescent="0.15"/>
    <row r="869" ht="13" hidden="1" customHeight="1" x14ac:dyDescent="0.15"/>
    <row r="870" ht="13" hidden="1" customHeight="1" x14ac:dyDescent="0.15"/>
    <row r="871" ht="13" hidden="1" customHeight="1" x14ac:dyDescent="0.15"/>
    <row r="872" ht="13" hidden="1" customHeight="1" x14ac:dyDescent="0.15"/>
    <row r="873" ht="13" hidden="1" customHeight="1" x14ac:dyDescent="0.15"/>
    <row r="874" ht="13" hidden="1" customHeight="1" x14ac:dyDescent="0.15"/>
    <row r="875" ht="13" hidden="1" customHeight="1" x14ac:dyDescent="0.15"/>
    <row r="876" ht="13" hidden="1" customHeight="1" x14ac:dyDescent="0.15"/>
    <row r="877" ht="13" hidden="1" customHeight="1" x14ac:dyDescent="0.15"/>
    <row r="878" ht="13" hidden="1" customHeight="1" x14ac:dyDescent="0.15"/>
    <row r="879" ht="13" hidden="1" customHeight="1" x14ac:dyDescent="0.15"/>
    <row r="880" ht="13" hidden="1" customHeight="1" x14ac:dyDescent="0.15"/>
    <row r="881" ht="13" hidden="1" customHeight="1" x14ac:dyDescent="0.15"/>
    <row r="882" ht="13" hidden="1" customHeight="1" x14ac:dyDescent="0.15"/>
    <row r="883" ht="13" hidden="1" customHeight="1" x14ac:dyDescent="0.15"/>
    <row r="884" ht="13" hidden="1" customHeight="1" x14ac:dyDescent="0.15"/>
    <row r="885" ht="13" hidden="1" customHeight="1" x14ac:dyDescent="0.15"/>
    <row r="886" ht="13" hidden="1" customHeight="1" x14ac:dyDescent="0.15"/>
    <row r="887" ht="13" hidden="1" customHeight="1" x14ac:dyDescent="0.15"/>
    <row r="888" ht="13" hidden="1" customHeight="1" x14ac:dyDescent="0.15"/>
    <row r="889" ht="13" hidden="1" customHeight="1" x14ac:dyDescent="0.15"/>
    <row r="890" ht="13" hidden="1" customHeight="1" x14ac:dyDescent="0.15"/>
    <row r="891" ht="13" hidden="1" customHeight="1" x14ac:dyDescent="0.15"/>
    <row r="892" ht="13" hidden="1" customHeight="1" x14ac:dyDescent="0.15"/>
    <row r="893" ht="13" hidden="1" customHeight="1" x14ac:dyDescent="0.15"/>
    <row r="894" ht="13" hidden="1" customHeight="1" x14ac:dyDescent="0.15"/>
    <row r="895" ht="13" hidden="1" customHeight="1" x14ac:dyDescent="0.15"/>
    <row r="896" ht="13" hidden="1" customHeight="1" x14ac:dyDescent="0.15"/>
    <row r="897" ht="13" hidden="1" customHeight="1" x14ac:dyDescent="0.15"/>
    <row r="898" ht="13" hidden="1" customHeight="1" x14ac:dyDescent="0.15"/>
    <row r="899" ht="13" hidden="1" customHeight="1" x14ac:dyDescent="0.15"/>
    <row r="900" ht="13" hidden="1" customHeight="1" x14ac:dyDescent="0.15"/>
    <row r="901" ht="13" hidden="1" customHeight="1" x14ac:dyDescent="0.15"/>
    <row r="902" ht="13" hidden="1" customHeight="1" x14ac:dyDescent="0.15"/>
    <row r="903" ht="13" hidden="1" customHeight="1" x14ac:dyDescent="0.15"/>
    <row r="904" ht="13" hidden="1" customHeight="1" x14ac:dyDescent="0.15"/>
    <row r="905" ht="13" hidden="1" customHeight="1" x14ac:dyDescent="0.15"/>
    <row r="906" ht="13" hidden="1" customHeight="1" x14ac:dyDescent="0.15"/>
    <row r="907" ht="13" hidden="1" customHeight="1" x14ac:dyDescent="0.15"/>
    <row r="908" ht="13" hidden="1" customHeight="1" x14ac:dyDescent="0.15"/>
    <row r="909" ht="13" hidden="1" customHeight="1" x14ac:dyDescent="0.15"/>
    <row r="910" ht="13" hidden="1" customHeight="1" x14ac:dyDescent="0.15"/>
    <row r="911" ht="13" hidden="1" customHeight="1" x14ac:dyDescent="0.15"/>
    <row r="912" ht="13" hidden="1" customHeight="1" x14ac:dyDescent="0.15"/>
    <row r="913" ht="13" hidden="1" customHeight="1" x14ac:dyDescent="0.15"/>
    <row r="914" ht="13" hidden="1" customHeight="1" x14ac:dyDescent="0.15"/>
    <row r="915" ht="13" hidden="1" customHeight="1" x14ac:dyDescent="0.15"/>
    <row r="916" ht="13" hidden="1" customHeight="1" x14ac:dyDescent="0.15"/>
    <row r="917" ht="13" hidden="1" customHeight="1" x14ac:dyDescent="0.15"/>
    <row r="918" ht="13" hidden="1" customHeight="1" x14ac:dyDescent="0.15"/>
    <row r="919" ht="13" hidden="1" customHeight="1" x14ac:dyDescent="0.15"/>
    <row r="920" ht="13" hidden="1" customHeight="1" x14ac:dyDescent="0.15"/>
    <row r="921" ht="13" hidden="1" customHeight="1" x14ac:dyDescent="0.15"/>
    <row r="922" ht="13" hidden="1" customHeight="1" x14ac:dyDescent="0.15"/>
    <row r="923" ht="13" hidden="1" customHeight="1" x14ac:dyDescent="0.15"/>
    <row r="924" ht="13" hidden="1" customHeight="1" x14ac:dyDescent="0.15"/>
    <row r="925" ht="13" hidden="1" customHeight="1" x14ac:dyDescent="0.15"/>
    <row r="926" ht="13" hidden="1" customHeight="1" x14ac:dyDescent="0.15"/>
    <row r="927" ht="13" hidden="1" customHeight="1" x14ac:dyDescent="0.15"/>
    <row r="928" ht="13" hidden="1" customHeight="1" x14ac:dyDescent="0.15"/>
    <row r="929" ht="13" hidden="1" customHeight="1" x14ac:dyDescent="0.15"/>
    <row r="930" ht="13" hidden="1" customHeight="1" x14ac:dyDescent="0.15"/>
    <row r="931" ht="13" hidden="1" customHeight="1" x14ac:dyDescent="0.15"/>
    <row r="932" ht="13" hidden="1" customHeight="1" x14ac:dyDescent="0.15"/>
    <row r="933" ht="13" hidden="1" customHeight="1" x14ac:dyDescent="0.15"/>
    <row r="934" ht="13" hidden="1" customHeight="1" x14ac:dyDescent="0.15"/>
    <row r="935" ht="13" hidden="1" customHeight="1" x14ac:dyDescent="0.15"/>
    <row r="936" ht="13" hidden="1" customHeight="1" x14ac:dyDescent="0.15"/>
    <row r="937" ht="13" hidden="1" customHeight="1" x14ac:dyDescent="0.15"/>
    <row r="938" ht="13" hidden="1" customHeight="1" x14ac:dyDescent="0.15"/>
    <row r="939" ht="13" hidden="1" customHeight="1" x14ac:dyDescent="0.15"/>
    <row r="940" ht="13" hidden="1" customHeight="1" x14ac:dyDescent="0.15"/>
    <row r="941" ht="13" hidden="1" customHeight="1" x14ac:dyDescent="0.15"/>
    <row r="942" ht="13" hidden="1" customHeight="1" x14ac:dyDescent="0.15"/>
    <row r="943" ht="13" hidden="1" customHeight="1" x14ac:dyDescent="0.15"/>
    <row r="944" ht="13" hidden="1" customHeight="1" x14ac:dyDescent="0.15"/>
    <row r="945" ht="13" hidden="1" customHeight="1" x14ac:dyDescent="0.15"/>
    <row r="946" ht="13" hidden="1" customHeight="1" x14ac:dyDescent="0.15"/>
    <row r="947" ht="13" hidden="1" customHeight="1" x14ac:dyDescent="0.15"/>
    <row r="948" ht="13" hidden="1" customHeight="1" x14ac:dyDescent="0.15"/>
    <row r="949" ht="13" hidden="1" customHeight="1" x14ac:dyDescent="0.15"/>
    <row r="950" ht="13" hidden="1" customHeight="1" x14ac:dyDescent="0.15"/>
    <row r="951" ht="13" hidden="1" customHeight="1" x14ac:dyDescent="0.15"/>
    <row r="952" ht="13" hidden="1" customHeight="1" x14ac:dyDescent="0.15"/>
    <row r="953" ht="13" hidden="1" customHeight="1" x14ac:dyDescent="0.15"/>
    <row r="954" ht="13" hidden="1" customHeight="1" x14ac:dyDescent="0.15"/>
    <row r="955" ht="13" hidden="1" customHeight="1" x14ac:dyDescent="0.15"/>
    <row r="956" ht="13" hidden="1" customHeight="1" x14ac:dyDescent="0.15"/>
    <row r="957" ht="13" hidden="1" customHeight="1" x14ac:dyDescent="0.15"/>
    <row r="958" ht="13" hidden="1" customHeight="1" x14ac:dyDescent="0.15"/>
    <row r="959" ht="13" hidden="1" customHeight="1" x14ac:dyDescent="0.15"/>
    <row r="960" ht="13" hidden="1" customHeight="1" x14ac:dyDescent="0.15"/>
    <row r="961" ht="13" hidden="1" customHeight="1" x14ac:dyDescent="0.15"/>
    <row r="962" ht="13" hidden="1" customHeight="1" x14ac:dyDescent="0.15"/>
    <row r="963" ht="13" hidden="1" customHeight="1" x14ac:dyDescent="0.15"/>
    <row r="964" ht="13" hidden="1" customHeight="1" x14ac:dyDescent="0.15"/>
    <row r="965" ht="13" hidden="1" customHeight="1" x14ac:dyDescent="0.15"/>
    <row r="966" ht="13" hidden="1" customHeight="1" x14ac:dyDescent="0.15"/>
    <row r="967" ht="13" hidden="1" customHeight="1" x14ac:dyDescent="0.15"/>
    <row r="968" ht="13" hidden="1" customHeight="1" x14ac:dyDescent="0.15"/>
    <row r="969" ht="13" hidden="1" customHeight="1" x14ac:dyDescent="0.15"/>
    <row r="970" ht="13" hidden="1" customHeight="1" x14ac:dyDescent="0.15"/>
    <row r="971" ht="13" hidden="1" customHeight="1" x14ac:dyDescent="0.15"/>
    <row r="972" ht="13" hidden="1" customHeight="1" x14ac:dyDescent="0.15"/>
    <row r="973" ht="13" hidden="1" customHeight="1" x14ac:dyDescent="0.15"/>
    <row r="974" ht="13" hidden="1" customHeight="1" x14ac:dyDescent="0.15"/>
    <row r="975" ht="13" hidden="1" customHeight="1" x14ac:dyDescent="0.15"/>
    <row r="976" ht="13" hidden="1" customHeight="1" x14ac:dyDescent="0.15"/>
    <row r="977" ht="13" hidden="1" customHeight="1" x14ac:dyDescent="0.15"/>
    <row r="978" ht="13" hidden="1" customHeight="1" x14ac:dyDescent="0.15"/>
    <row r="979" ht="13" hidden="1" customHeight="1" x14ac:dyDescent="0.15"/>
    <row r="980" ht="13" hidden="1" customHeight="1" x14ac:dyDescent="0.15"/>
    <row r="981" ht="13" hidden="1" customHeight="1" x14ac:dyDescent="0.15"/>
    <row r="982" ht="13" hidden="1" customHeight="1" x14ac:dyDescent="0.15"/>
    <row r="983" ht="13" hidden="1" customHeight="1" x14ac:dyDescent="0.15"/>
    <row r="984" ht="13" hidden="1" customHeight="1" x14ac:dyDescent="0.15"/>
    <row r="985" ht="13" hidden="1" customHeight="1" x14ac:dyDescent="0.15"/>
    <row r="986" ht="13" hidden="1" customHeight="1" x14ac:dyDescent="0.15"/>
    <row r="987" ht="13" hidden="1" customHeight="1" x14ac:dyDescent="0.15"/>
    <row r="988" ht="13" hidden="1" customHeight="1" x14ac:dyDescent="0.15"/>
    <row r="989" ht="13" hidden="1" customHeight="1" x14ac:dyDescent="0.15"/>
    <row r="990" ht="13" hidden="1" customHeight="1" x14ac:dyDescent="0.15"/>
    <row r="991" ht="13" hidden="1" customHeight="1" x14ac:dyDescent="0.15"/>
    <row r="992" ht="13" hidden="1" customHeight="1" x14ac:dyDescent="0.15"/>
    <row r="993" ht="13" hidden="1" customHeight="1" x14ac:dyDescent="0.15"/>
    <row r="994" ht="13" hidden="1" customHeight="1" x14ac:dyDescent="0.15"/>
    <row r="995" ht="13" hidden="1" customHeight="1" x14ac:dyDescent="0.15"/>
    <row r="996" ht="13" hidden="1" customHeight="1" x14ac:dyDescent="0.15"/>
    <row r="997" ht="13" hidden="1" customHeight="1" x14ac:dyDescent="0.15"/>
    <row r="998" ht="13" hidden="1" customHeight="1" x14ac:dyDescent="0.15"/>
    <row r="999" ht="13" hidden="1" customHeight="1" x14ac:dyDescent="0.15"/>
    <row r="1000" ht="13" hidden="1" customHeight="1" x14ac:dyDescent="0.15"/>
  </sheetData>
  <mergeCells count="30">
    <mergeCell ref="C22:E22"/>
    <mergeCell ref="B46:C46"/>
    <mergeCell ref="B43:C43"/>
    <mergeCell ref="B39:C39"/>
    <mergeCell ref="A33:E34"/>
    <mergeCell ref="A1:E2"/>
    <mergeCell ref="B40:C40"/>
    <mergeCell ref="C30:E30"/>
    <mergeCell ref="B49:C49"/>
    <mergeCell ref="C24:E24"/>
    <mergeCell ref="C25:E25"/>
    <mergeCell ref="B48:C48"/>
    <mergeCell ref="C27:E27"/>
    <mergeCell ref="A20:E21"/>
    <mergeCell ref="C23:E23"/>
    <mergeCell ref="B42:C42"/>
    <mergeCell ref="B44:C44"/>
    <mergeCell ref="B38:C38"/>
    <mergeCell ref="C28:E28"/>
    <mergeCell ref="B37:C37"/>
    <mergeCell ref="B47:C47"/>
    <mergeCell ref="B51:C51"/>
    <mergeCell ref="B45:C45"/>
    <mergeCell ref="B36:C36"/>
    <mergeCell ref="C26:E26"/>
    <mergeCell ref="B50:C50"/>
    <mergeCell ref="C29:E29"/>
    <mergeCell ref="B41:C41"/>
    <mergeCell ref="B35:C35"/>
    <mergeCell ref="C31:E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15</vt:i4>
      </vt:variant>
    </vt:vector>
  </HeadingPairs>
  <TitlesOfParts>
    <vt:vector size="15" baseType="lpstr">
      <vt:lpstr>FinSummary</vt:lpstr>
      <vt:lpstr>PnL</vt:lpstr>
      <vt:lpstr>Команда и TtM</vt:lpstr>
      <vt:lpstr>CashFlow</vt:lpstr>
      <vt:lpstr>Cost assumptions</vt:lpstr>
      <vt:lpstr>Sensitivity</vt:lpstr>
      <vt:lpstr>Чекеры</vt:lpstr>
      <vt:lpstr>Графики</vt:lpstr>
      <vt:lpstr>Монетизация и юнит</vt:lpstr>
      <vt:lpstr>Гипотезы</vt:lpstr>
      <vt:lpstr>Параметры волн</vt:lpstr>
      <vt:lpstr>Baseline TOP-down</vt:lpstr>
      <vt:lpstr>Assumptions</vt:lpstr>
      <vt:lpstr>Текстовое пояснение</vt:lpstr>
      <vt:lpstr>Данные для ДЗ №1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aokorostelev</cp:lastModifiedBy>
  <dcterms:created xsi:type="dcterms:W3CDTF">2026-02-17T18:52:21Z</dcterms:created>
  <dcterms:modified xsi:type="dcterms:W3CDTF">2026-05-24T18:58:25Z</dcterms:modified>
</cp:coreProperties>
</file>
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dmaltseva/Downloads/"/>
    </mc:Choice>
  </mc:AlternateContent>
  <xr:revisionPtr revIDLastSave="0" documentId="13_ncr:1_{F490E6B3-15CD-DD44-BBE4-6B9D908ADEA8}" xr6:coauthVersionLast="47" xr6:coauthVersionMax="47" xr10:uidLastSave="{00000000-0000-0000-0000-000000000000}"/>
  <bookViews>
    <workbookView xWindow="5400" yWindow="660" windowWidth="23400" windowHeight="16060" activeTab="4" xr2:uid="{00000000-000D-0000-FFFF-FFFF00000000}"/>
  </bookViews>
  <sheets>
    <sheet name="Assumptions_DZ4" sheetId="1" r:id="rId1"/>
    <sheet name="Team &amp; TtM" sheetId="2" r:id="rId2"/>
    <sheet name="PnL" sheetId="3" r:id="rId3"/>
    <sheet name="CashFlow" sheetId="4" r:id="rId4"/>
    <sheet name="Checkers_DZ4" sheetId="5" r:id="rId5"/>
    <sheet name="Монетизация и юнит" sheetId="6" r:id="rId6"/>
    <sheet name="Checkers" sheetId="7" r:id="rId7"/>
    <sheet name="Гипотезы" sheetId="8" r:id="rId8"/>
    <sheet name="Graph_2026_Contacts" sheetId="9" r:id="rId9"/>
    <sheet name="Baseline - Avito Стройка" sheetId="10" r:id="rId10"/>
    <sheet name="Assumptions - Baseline (Стройка" sheetId="11" r:id="rId11"/>
    <sheet name="Top-down" sheetId="12" r:id="rId12"/>
    <sheet name="Текст" sheetId="13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2" l="1"/>
  <c r="B10" i="12"/>
  <c r="B11" i="12" s="1"/>
  <c r="B12" i="12" s="1"/>
  <c r="B13" i="12" s="1"/>
  <c r="B7" i="12"/>
  <c r="B16" i="11"/>
  <c r="B6" i="11"/>
  <c r="L16" i="10"/>
  <c r="L17" i="10" s="1"/>
  <c r="L18" i="10" s="1"/>
  <c r="G16" i="10"/>
  <c r="F16" i="10"/>
  <c r="C16" i="10"/>
  <c r="J16" i="10" s="1"/>
  <c r="T13" i="10"/>
  <c r="O13" i="10"/>
  <c r="H13" i="10" s="1"/>
  <c r="J13" i="10"/>
  <c r="E13" i="10"/>
  <c r="T12" i="10"/>
  <c r="S12" i="10"/>
  <c r="R12" i="10"/>
  <c r="P12" i="10"/>
  <c r="O12" i="10"/>
  <c r="K12" i="10" s="1"/>
  <c r="N12" i="10"/>
  <c r="M12" i="10"/>
  <c r="L12" i="10"/>
  <c r="J12" i="10"/>
  <c r="I12" i="10"/>
  <c r="H12" i="10"/>
  <c r="F12" i="10"/>
  <c r="E12" i="10"/>
  <c r="D12" i="10"/>
  <c r="C12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S10" i="10"/>
  <c r="R10" i="10"/>
  <c r="O10" i="10"/>
  <c r="L10" i="10" s="1"/>
  <c r="N10" i="10"/>
  <c r="I10" i="10"/>
  <c r="H10" i="10"/>
  <c r="E10" i="10"/>
  <c r="D10" i="10"/>
  <c r="T9" i="10"/>
  <c r="S9" i="10"/>
  <c r="R9" i="10"/>
  <c r="Q9" i="10"/>
  <c r="P9" i="10"/>
  <c r="O9" i="10"/>
  <c r="K9" i="10" s="1"/>
  <c r="N9" i="10"/>
  <c r="M9" i="10"/>
  <c r="L9" i="10"/>
  <c r="J9" i="10"/>
  <c r="I9" i="10"/>
  <c r="H9" i="10"/>
  <c r="G9" i="10"/>
  <c r="F9" i="10"/>
  <c r="E9" i="10"/>
  <c r="D9" i="10"/>
  <c r="C9" i="10"/>
  <c r="T8" i="10"/>
  <c r="O8" i="10"/>
  <c r="R8" i="10" s="1"/>
  <c r="J8" i="10"/>
  <c r="E8" i="10"/>
  <c r="T7" i="10"/>
  <c r="S7" i="10"/>
  <c r="R7" i="10"/>
  <c r="P7" i="10"/>
  <c r="O7" i="10"/>
  <c r="K7" i="10" s="1"/>
  <c r="N7" i="10"/>
  <c r="M7" i="10"/>
  <c r="L7" i="10"/>
  <c r="J7" i="10"/>
  <c r="I7" i="10"/>
  <c r="H7" i="10"/>
  <c r="F7" i="10"/>
  <c r="E7" i="10"/>
  <c r="D7" i="10"/>
  <c r="C7" i="10"/>
  <c r="N6" i="10"/>
  <c r="M6" i="10"/>
  <c r="L6" i="10"/>
  <c r="K6" i="10"/>
  <c r="J6" i="10"/>
  <c r="I6" i="10"/>
  <c r="H6" i="10"/>
  <c r="G6" i="10"/>
  <c r="F6" i="10"/>
  <c r="E6" i="10"/>
  <c r="D6" i="10"/>
  <c r="C6" i="10"/>
  <c r="O6" i="10" s="1"/>
  <c r="M11" i="9"/>
  <c r="C11" i="9"/>
  <c r="B11" i="9"/>
  <c r="M10" i="9"/>
  <c r="L10" i="9"/>
  <c r="L11" i="9" s="1"/>
  <c r="G10" i="9"/>
  <c r="G11" i="9" s="1"/>
  <c r="E10" i="9"/>
  <c r="E11" i="9" s="1"/>
  <c r="C10" i="9"/>
  <c r="B10" i="9"/>
  <c r="N9" i="9"/>
  <c r="M9" i="9"/>
  <c r="L9" i="9"/>
  <c r="K9" i="9"/>
  <c r="J9" i="9"/>
  <c r="I9" i="9"/>
  <c r="I10" i="9" s="1"/>
  <c r="I11" i="9" s="1"/>
  <c r="H9" i="9"/>
  <c r="G9" i="9"/>
  <c r="F9" i="9"/>
  <c r="E9" i="9"/>
  <c r="D9" i="9"/>
  <c r="C9" i="9"/>
  <c r="N8" i="9"/>
  <c r="M8" i="9"/>
  <c r="L8" i="9"/>
  <c r="K8" i="9"/>
  <c r="K10" i="9" s="1"/>
  <c r="K11" i="9" s="1"/>
  <c r="J8" i="9"/>
  <c r="J10" i="9" s="1"/>
  <c r="J11" i="9" s="1"/>
  <c r="I8" i="9"/>
  <c r="H8" i="9"/>
  <c r="H10" i="9" s="1"/>
  <c r="H11" i="9" s="1"/>
  <c r="G8" i="9"/>
  <c r="F8" i="9"/>
  <c r="F10" i="9" s="1"/>
  <c r="F11" i="9" s="1"/>
  <c r="E8" i="9"/>
  <c r="D8" i="9"/>
  <c r="D10" i="9" s="1"/>
  <c r="D11" i="9" s="1"/>
  <c r="C8" i="9"/>
  <c r="N7" i="9"/>
  <c r="N6" i="9"/>
  <c r="N5" i="9"/>
  <c r="B8" i="7"/>
  <c r="B21" i="6"/>
  <c r="C20" i="6"/>
  <c r="B9" i="7" s="1"/>
  <c r="C19" i="6"/>
  <c r="C21" i="6" s="1"/>
  <c r="B19" i="6"/>
  <c r="C18" i="6"/>
  <c r="B20" i="6" s="1"/>
  <c r="B18" i="6"/>
  <c r="C16" i="6"/>
  <c r="B16" i="6"/>
  <c r="I15" i="6"/>
  <c r="H15" i="6"/>
  <c r="G15" i="6"/>
  <c r="C15" i="6"/>
  <c r="B15" i="6"/>
  <c r="G14" i="6"/>
  <c r="G13" i="6"/>
  <c r="H13" i="6" s="1"/>
  <c r="I13" i="6" s="1"/>
  <c r="G12" i="6"/>
  <c r="H11" i="6"/>
  <c r="I11" i="6" s="1"/>
  <c r="G11" i="6"/>
  <c r="G10" i="6"/>
  <c r="I9" i="6"/>
  <c r="H9" i="6"/>
  <c r="G9" i="6"/>
  <c r="B7" i="6"/>
  <c r="B17" i="6" s="1"/>
  <c r="B6" i="6"/>
  <c r="B5" i="6"/>
  <c r="C13" i="2"/>
  <c r="I13" i="2" s="1"/>
  <c r="C10" i="2"/>
  <c r="I10" i="2" s="1"/>
  <c r="C8" i="2"/>
  <c r="G8" i="2" s="1"/>
  <c r="G6" i="2"/>
  <c r="C6" i="2"/>
  <c r="I6" i="2" s="1"/>
  <c r="C5" i="2"/>
  <c r="I5" i="2" s="1"/>
  <c r="M2" i="2"/>
  <c r="C4" i="2" s="1"/>
  <c r="B9" i="5"/>
  <c r="L20" i="10" l="1"/>
  <c r="J17" i="10"/>
  <c r="J18" i="10" s="1"/>
  <c r="F23" i="10"/>
  <c r="F24" i="10" s="1"/>
  <c r="G23" i="10"/>
  <c r="N11" i="9"/>
  <c r="T6" i="10"/>
  <c r="S6" i="10"/>
  <c r="R6" i="10"/>
  <c r="Q6" i="10"/>
  <c r="P6" i="10"/>
  <c r="I4" i="2"/>
  <c r="G4" i="2"/>
  <c r="N10" i="9"/>
  <c r="B15" i="12"/>
  <c r="G13" i="2"/>
  <c r="C11" i="2"/>
  <c r="H14" i="6"/>
  <c r="I14" i="6" s="1"/>
  <c r="C17" i="6"/>
  <c r="B8" i="5" s="1"/>
  <c r="G7" i="10"/>
  <c r="O29" i="10" s="1"/>
  <c r="B5" i="7" s="1"/>
  <c r="Q7" i="10"/>
  <c r="I8" i="10"/>
  <c r="S8" i="10"/>
  <c r="C10" i="10"/>
  <c r="M10" i="10"/>
  <c r="G12" i="10"/>
  <c r="Q12" i="10"/>
  <c r="I13" i="10"/>
  <c r="K16" i="10"/>
  <c r="C17" i="10"/>
  <c r="L23" i="10"/>
  <c r="L24" i="10" s="1"/>
  <c r="K8" i="10"/>
  <c r="K13" i="10"/>
  <c r="M16" i="10"/>
  <c r="C23" i="10"/>
  <c r="G5" i="2"/>
  <c r="I8" i="2"/>
  <c r="C12" i="2"/>
  <c r="L8" i="10"/>
  <c r="F10" i="10"/>
  <c r="P10" i="10"/>
  <c r="L13" i="10"/>
  <c r="D16" i="10"/>
  <c r="N16" i="10"/>
  <c r="F17" i="10"/>
  <c r="F18" i="10" s="1"/>
  <c r="C9" i="2"/>
  <c r="H12" i="6"/>
  <c r="I12" i="6" s="1"/>
  <c r="C8" i="10"/>
  <c r="M8" i="10"/>
  <c r="G10" i="10"/>
  <c r="Q10" i="10"/>
  <c r="C13" i="10"/>
  <c r="M13" i="10"/>
  <c r="E16" i="10"/>
  <c r="G17" i="10"/>
  <c r="G18" i="10" s="1"/>
  <c r="D8" i="10"/>
  <c r="N8" i="10"/>
  <c r="D13" i="10"/>
  <c r="N13" i="10"/>
  <c r="O28" i="10"/>
  <c r="B4" i="7" s="1"/>
  <c r="F8" i="10"/>
  <c r="P8" i="10"/>
  <c r="J10" i="10"/>
  <c r="J23" i="10" s="1"/>
  <c r="J24" i="10" s="1"/>
  <c r="J25" i="10" s="1"/>
  <c r="T10" i="10"/>
  <c r="F13" i="10"/>
  <c r="P13" i="10"/>
  <c r="Q13" i="10" s="1"/>
  <c r="R13" i="10" s="1"/>
  <c r="S13" i="10" s="1"/>
  <c r="H16" i="10"/>
  <c r="C7" i="2"/>
  <c r="G10" i="2"/>
  <c r="H10" i="6"/>
  <c r="I10" i="6" s="1"/>
  <c r="G8" i="10"/>
  <c r="Q8" i="10"/>
  <c r="K10" i="10"/>
  <c r="G13" i="10"/>
  <c r="I16" i="10"/>
  <c r="H8" i="10"/>
  <c r="C24" i="10" l="1"/>
  <c r="H23" i="10"/>
  <c r="H24" i="10" s="1"/>
  <c r="H25" i="10" s="1"/>
  <c r="H17" i="10"/>
  <c r="H18" i="10" s="1"/>
  <c r="G11" i="2"/>
  <c r="I11" i="2"/>
  <c r="N23" i="10"/>
  <c r="N24" i="10" s="1"/>
  <c r="N25" i="10" s="1"/>
  <c r="N17" i="10"/>
  <c r="N18" i="10" s="1"/>
  <c r="I23" i="10"/>
  <c r="I24" i="10" s="1"/>
  <c r="I25" i="10" s="1"/>
  <c r="I17" i="10"/>
  <c r="I18" i="10" s="1"/>
  <c r="G20" i="10"/>
  <c r="O16" i="10"/>
  <c r="J20" i="10"/>
  <c r="I12" i="2"/>
  <c r="I15" i="2" s="1"/>
  <c r="G12" i="2"/>
  <c r="G9" i="2"/>
  <c r="I9" i="2"/>
  <c r="L25" i="10"/>
  <c r="F20" i="10"/>
  <c r="G24" i="10"/>
  <c r="G25" i="10" s="1"/>
  <c r="E23" i="10"/>
  <c r="E24" i="10" s="1"/>
  <c r="E25" i="10" s="1"/>
  <c r="E17" i="10"/>
  <c r="E18" i="10" s="1"/>
  <c r="M23" i="10"/>
  <c r="M24" i="10" s="1"/>
  <c r="M25" i="10" s="1"/>
  <c r="M17" i="10"/>
  <c r="M18" i="10" s="1"/>
  <c r="F25" i="10"/>
  <c r="D23" i="10"/>
  <c r="D24" i="10" s="1"/>
  <c r="D25" i="10" s="1"/>
  <c r="D17" i="10"/>
  <c r="D18" i="10" s="1"/>
  <c r="C18" i="10"/>
  <c r="G7" i="2"/>
  <c r="G15" i="2" s="1"/>
  <c r="B5" i="3" s="1"/>
  <c r="I7" i="2"/>
  <c r="K17" i="10"/>
  <c r="K18" i="10" s="1"/>
  <c r="K23" i="10"/>
  <c r="K24" i="10" s="1"/>
  <c r="K25" i="10" s="1"/>
  <c r="B5" i="4" l="1"/>
  <c r="B7" i="5"/>
  <c r="B6" i="3"/>
  <c r="B6" i="4" s="1"/>
  <c r="E5" i="3"/>
  <c r="D5" i="3"/>
  <c r="F5" i="3"/>
  <c r="C5" i="3"/>
  <c r="I20" i="10"/>
  <c r="M20" i="10"/>
  <c r="N20" i="10"/>
  <c r="E20" i="10"/>
  <c r="P16" i="10"/>
  <c r="K20" i="10"/>
  <c r="O17" i="10"/>
  <c r="H20" i="10"/>
  <c r="C25" i="10"/>
  <c r="O25" i="10" s="1"/>
  <c r="O24" i="10"/>
  <c r="C20" i="10"/>
  <c r="O18" i="10"/>
  <c r="D20" i="10"/>
  <c r="O23" i="10"/>
  <c r="O30" i="10" l="1"/>
  <c r="B6" i="7" s="1"/>
  <c r="B17" i="11"/>
  <c r="P18" i="10"/>
  <c r="O20" i="10"/>
  <c r="C6" i="3"/>
  <c r="C6" i="4" s="1"/>
  <c r="C5" i="4"/>
  <c r="B4" i="3"/>
  <c r="Q16" i="10"/>
  <c r="P23" i="10"/>
  <c r="P24" i="10" s="1"/>
  <c r="P25" i="10" s="1"/>
  <c r="C4" i="3" s="1"/>
  <c r="P17" i="10"/>
  <c r="F6" i="3"/>
  <c r="F6" i="4" s="1"/>
  <c r="F5" i="4"/>
  <c r="D5" i="4"/>
  <c r="D6" i="3"/>
  <c r="D6" i="4" s="1"/>
  <c r="E5" i="4"/>
  <c r="E6" i="3"/>
  <c r="E6" i="4" s="1"/>
  <c r="P19" i="10" l="1"/>
  <c r="Q18" i="10"/>
  <c r="R16" i="10"/>
  <c r="Q23" i="10"/>
  <c r="Q17" i="10"/>
  <c r="L19" i="10"/>
  <c r="G19" i="10"/>
  <c r="F19" i="10"/>
  <c r="J19" i="10"/>
  <c r="M19" i="10"/>
  <c r="N19" i="10"/>
  <c r="H19" i="10"/>
  <c r="E19" i="10"/>
  <c r="I19" i="10"/>
  <c r="D19" i="10"/>
  <c r="K19" i="10"/>
  <c r="C19" i="10"/>
  <c r="O19" i="10" s="1"/>
  <c r="O31" i="10"/>
  <c r="B7" i="7" s="1"/>
  <c r="P20" i="10"/>
  <c r="Q20" i="10" s="1"/>
  <c r="R20" i="10" s="1"/>
  <c r="S20" i="10" s="1"/>
  <c r="C8" i="3"/>
  <c r="C8" i="4" s="1"/>
  <c r="C4" i="4"/>
  <c r="C9" i="3"/>
  <c r="C9" i="4" s="1"/>
  <c r="C7" i="3"/>
  <c r="B7" i="3"/>
  <c r="B9" i="3"/>
  <c r="B9" i="4" s="1"/>
  <c r="B4" i="4"/>
  <c r="B8" i="3"/>
  <c r="B8" i="4" s="1"/>
  <c r="C7" i="4" l="1"/>
  <c r="C10" i="3"/>
  <c r="C11" i="3" s="1"/>
  <c r="B7" i="4"/>
  <c r="B10" i="4" s="1"/>
  <c r="B10" i="3"/>
  <c r="B11" i="3" s="1"/>
  <c r="B4" i="5" s="1"/>
  <c r="Q24" i="10"/>
  <c r="C10" i="4"/>
  <c r="S16" i="10"/>
  <c r="R23" i="10"/>
  <c r="R24" i="10" s="1"/>
  <c r="R25" i="10" s="1"/>
  <c r="E4" i="3" s="1"/>
  <c r="R17" i="10"/>
  <c r="R18" i="10"/>
  <c r="Q19" i="10"/>
  <c r="T20" i="10"/>
  <c r="B5" i="5" l="1"/>
  <c r="B11" i="4"/>
  <c r="C11" i="4" s="1"/>
  <c r="S23" i="10"/>
  <c r="S17" i="10"/>
  <c r="T17" i="10" s="1"/>
  <c r="T16" i="10"/>
  <c r="Q25" i="10"/>
  <c r="S18" i="10"/>
  <c r="S19" i="10" s="1"/>
  <c r="R19" i="10"/>
  <c r="T18" i="10"/>
  <c r="T19" i="10" s="1"/>
  <c r="E9" i="3"/>
  <c r="E9" i="4" s="1"/>
  <c r="E7" i="3"/>
  <c r="E4" i="4"/>
  <c r="E8" i="3"/>
  <c r="E8" i="4" s="1"/>
  <c r="D4" i="3" l="1"/>
  <c r="E7" i="4"/>
  <c r="E10" i="4" s="1"/>
  <c r="E11" i="4" s="1"/>
  <c r="E10" i="3"/>
  <c r="E11" i="3" s="1"/>
  <c r="S24" i="10"/>
  <c r="T23" i="10"/>
  <c r="S25" i="10" l="1"/>
  <c r="T24" i="10"/>
  <c r="D9" i="3"/>
  <c r="D9" i="4" s="1"/>
  <c r="D7" i="3"/>
  <c r="D4" i="4"/>
  <c r="D8" i="3"/>
  <c r="D8" i="4" s="1"/>
  <c r="D10" i="4" l="1"/>
  <c r="D11" i="4" s="1"/>
  <c r="D7" i="4"/>
  <c r="D10" i="3"/>
  <c r="D11" i="3" s="1"/>
  <c r="F4" i="3"/>
  <c r="T25" i="10"/>
  <c r="F4" i="4" l="1"/>
  <c r="F8" i="3"/>
  <c r="F8" i="4" s="1"/>
  <c r="F9" i="3"/>
  <c r="F9" i="4" s="1"/>
  <c r="F7" i="3"/>
  <c r="F7" i="4" l="1"/>
  <c r="F10" i="3"/>
  <c r="F11" i="3" s="1"/>
  <c r="F10" i="4"/>
  <c r="F11" i="4" s="1"/>
</calcChain>
</file>

<file path=xl/sharedStrings.xml><?xml version="1.0" encoding="utf-8"?>
<sst xmlns="http://schemas.openxmlformats.org/spreadsheetml/2006/main" count="545" uniqueCount="393">
  <si>
    <t>Checkers — ДЗ4 (валидируем OPEX / PnL / CashFlow)</t>
  </si>
  <si>
    <t>Checker</t>
  </si>
  <si>
    <t>Value</t>
  </si>
  <si>
    <t>Expected / comment</t>
  </si>
  <si>
    <t>EBITDA formula check</t>
  </si>
  <si>
    <t>Should be 1.00</t>
  </si>
  <si>
    <t>Cashflow vs EBITDA check</t>
  </si>
  <si>
    <t>Should be ~1.00 (no lags)</t>
  </si>
  <si>
    <t>No CAPEX (manual)</t>
  </si>
  <si>
    <t>OK</t>
  </si>
  <si>
    <t>Проверено: CAPEX-строк нет; модель OPEX-only, разработка учтена в Payroll.</t>
  </si>
  <si>
    <t>Payroll includes build</t>
  </si>
  <si>
    <t>Should be ≥ 1.0 (build cost covered)</t>
  </si>
  <si>
    <t>LTV/CAC (from DZ3)</t>
  </si>
  <si>
    <t>Target ≥ 3.00</t>
  </si>
  <si>
    <t>Payback months (from DZ3)</t>
  </si>
  <si>
    <t>Target ≤ 6–9 months</t>
  </si>
  <si>
    <t>ДЗ№4 — Assumptions (OPEX, команда, TtM)</t>
  </si>
  <si>
    <t>Parameter</t>
  </si>
  <si>
    <t>Unit</t>
  </si>
  <si>
    <t>Comment/why</t>
  </si>
  <si>
    <t>Source / validation plan</t>
  </si>
  <si>
    <t>Confidence</t>
  </si>
  <si>
    <t>TtM_months</t>
  </si>
  <si>
    <t>months</t>
  </si>
  <si>
    <t>Discovery 1 + Build 3 + Beta/A-B 1 + Launch ramp 1.</t>
  </si>
  <si>
    <t>Из брифа ДЗ4: требуется TtM по этапам; уточнить по roadmap.</t>
  </si>
  <si>
    <t>Medium</t>
  </si>
  <si>
    <t>Loaded_cost_multiplier</t>
  </si>
  <si>
    <t>x</t>
  </si>
  <si>
    <t>Налоги/бонусы/соцпакет к окладам.</t>
  </si>
  <si>
    <t>HR/Finance: payroll taxes + бонусы/соцпакет; типично 1.25–1.45 для РФ (уточнить по компании).</t>
  </si>
  <si>
    <t>Infra_tools_%_payroll</t>
  </si>
  <si>
    <t>%</t>
  </si>
  <si>
    <t>Облако, мониторинг, аналитика, dev tools.</t>
  </si>
  <si>
    <t>Бенчмарк SaaS/marketplace: 5–15% от payroll; уточнить по фактическим счетам облака/Amplitude/Jira.</t>
  </si>
  <si>
    <t>Low</t>
  </si>
  <si>
    <t>Support_%_revenue</t>
  </si>
  <si>
    <t>Поддержка/операции.</t>
  </si>
  <si>
    <t>Бенчмарк support+ops 2–5% от revenue; уточнить по обращаемости и SLA в категории.</t>
  </si>
  <si>
    <t>Marketing_%_revenue</t>
  </si>
  <si>
    <t>Привлечение/активация исполнителей.</t>
  </si>
  <si>
    <t>Альтернатива: CAC*new paying providers (из ДЗ3); временно % от revenue как baseline. Уточнить по плану маркетинга.</t>
  </si>
  <si>
    <t>G&amp;A_%_revenue</t>
  </si>
  <si>
    <t>Юристы, финансы, админ.</t>
  </si>
  <si>
    <t>Бенчмарк 1–3% от revenue для небольшого продукта; уточнить у finance.</t>
  </si>
  <si>
    <t>Run_team_YoY_growth</t>
  </si>
  <si>
    <t>Рост команды поддержки/продаж.</t>
  </si>
  <si>
    <t>План найма/OKR: рост run-команды по мере роста paying providers и обращений в поддержку.</t>
  </si>
  <si>
    <t>Gross_margin_services</t>
  </si>
  <si>
    <t>Маржа digital-сервисов.</t>
  </si>
  <si>
    <t>Digital services gross margin обычно 80–90% (серверы/поддержка). Уточнить у finance/PEO.</t>
  </si>
  <si>
    <t>Команда, TtM и стоимость (OPEX)</t>
  </si>
  <si>
    <t>Loaded_mult</t>
  </si>
  <si>
    <t>Role</t>
  </si>
  <si>
    <t>Annual cost (₽/yr)</t>
  </si>
  <si>
    <t>Loaded (₽/yr)</t>
  </si>
  <si>
    <t>Phase</t>
  </si>
  <si>
    <t>FTE build</t>
  </si>
  <si>
    <t>Months</t>
  </si>
  <si>
    <t>Build cost (₽)</t>
  </si>
  <si>
    <t>FTE run</t>
  </si>
  <si>
    <t>Run annual (₽)</t>
  </si>
  <si>
    <t>Why needed</t>
  </si>
  <si>
    <t>Source</t>
  </si>
  <si>
    <t>PM</t>
  </si>
  <si>
    <t>Build+Run</t>
  </si>
  <si>
    <t>Координация 3 гипотез, метрики, релизы.</t>
  </si>
  <si>
    <t>Бенчмарк зарплат: HH.ru / Habr Career (IT) + внутренние вилки курса; проверить на финальной оценке: калькуляция cost/FTE от HR/Finance.</t>
  </si>
  <si>
    <t>Tech Lead</t>
  </si>
  <si>
    <t>Архитектура, интеграции, качество.</t>
  </si>
  <si>
    <t>Backend Dev</t>
  </si>
  <si>
    <t>API, шаблон КП, монетизация пакетов.</t>
  </si>
  <si>
    <t>Frontend Dev</t>
  </si>
  <si>
    <t>Карточка/формы/флоу КП, UX.</t>
  </si>
  <si>
    <t>Mobile Dev</t>
  </si>
  <si>
    <t>Мобильный флоу заказчика/исполнителя.</t>
  </si>
  <si>
    <t>ML/Ranking Eng</t>
  </si>
  <si>
    <t>Ранжирование/релевантность.</t>
  </si>
  <si>
    <t>QA</t>
  </si>
  <si>
    <t>Тестирование, регрессия, A/B.</t>
  </si>
  <si>
    <t>Analyst</t>
  </si>
  <si>
    <t>Метрики, A/B, каннибализация.</t>
  </si>
  <si>
    <t>Product Designer</t>
  </si>
  <si>
    <t>Прототипы, UX, доверие.</t>
  </si>
  <si>
    <t>B2B CS/Account</t>
  </si>
  <si>
    <t>Run</t>
  </si>
  <si>
    <t>Запуск пакетов, удержание платящих.</t>
  </si>
  <si>
    <t>TOTAL</t>
  </si>
  <si>
    <t>TtM breakdown</t>
  </si>
  <si>
    <t>Stage</t>
  </si>
  <si>
    <t>Outputs</t>
  </si>
  <si>
    <t>Risks</t>
  </si>
  <si>
    <t>Mitigation</t>
  </si>
  <si>
    <t>Discovery</t>
  </si>
  <si>
    <t>Прототип КП, требования, метрики/guardrails.</t>
  </si>
  <si>
    <t>Неясные требования.</t>
  </si>
  <si>
    <t>UX-исследование, прототип, click-test.</t>
  </si>
  <si>
    <t>Build MVP</t>
  </si>
  <si>
    <t>Шаблон КП v1, ранжирование v1, пакет v0.</t>
  </si>
  <si>
    <t>Техдолг/задержки.</t>
  </si>
  <si>
    <t>Фича-флаги, параллельная разработка.</t>
  </si>
  <si>
    <t>Beta / A-B</t>
  </si>
  <si>
    <t>A/B 10–20% трафика, настройка метрик.</t>
  </si>
  <si>
    <t>Недостаточная мощность.</t>
  </si>
  <si>
    <t>Увеличить длительность/трафик.</t>
  </si>
  <si>
    <t>Launch ramp</t>
  </si>
  <si>
    <t>Rollout 10/20/40/70/100.</t>
  </si>
  <si>
    <t>Инциденты.</t>
  </si>
  <si>
    <t>Canary rollout, on-call.</t>
  </si>
  <si>
    <t>PnL (до EBITDA), 2026–2030</t>
  </si>
  <si>
    <t>Line item</t>
  </si>
  <si>
    <t>2026</t>
  </si>
  <si>
    <t>2027</t>
  </si>
  <si>
    <t>2028</t>
  </si>
  <si>
    <t>2029</t>
  </si>
  <si>
    <t>2030</t>
  </si>
  <si>
    <t>Comment</t>
  </si>
  <si>
    <t>Revenue</t>
  </si>
  <si>
    <t>Из baseline (ДЗ1–ДЗ3).</t>
  </si>
  <si>
    <t>Payroll</t>
  </si>
  <si>
    <t>Команда build+run, loaded cost.</t>
  </si>
  <si>
    <t>Infra &amp; tools</t>
  </si>
  <si>
    <t>% от payroll.</t>
  </si>
  <si>
    <t>Support/Operations</t>
  </si>
  <si>
    <t>% от revenue.</t>
  </si>
  <si>
    <t>Marketing</t>
  </si>
  <si>
    <t>% от revenue (или CAC*new paying).</t>
  </si>
  <si>
    <t>G&amp;A</t>
  </si>
  <si>
    <t>Total OPEX</t>
  </si>
  <si>
    <t>OPEX only, no CAPEX.</t>
  </si>
  <si>
    <t>EBITDA</t>
  </si>
  <si>
    <t>Revenue - OPEX.</t>
  </si>
  <si>
    <t>Operating CashFlow (direct), 2026–2030</t>
  </si>
  <si>
    <t>Cash In: Revenue receipts</t>
  </si>
  <si>
    <t>Лаг 0 (упрощение).</t>
  </si>
  <si>
    <t>Cash Out: Payroll</t>
  </si>
  <si>
    <t>Cash Out: Infra &amp; tools</t>
  </si>
  <si>
    <t>Cash Out: Support/Operations</t>
  </si>
  <si>
    <t>Cash Out: Marketing</t>
  </si>
  <si>
    <t>Cash Out: G&amp;A</t>
  </si>
  <si>
    <t>Net operating cashflow</t>
  </si>
  <si>
    <t>≈ EBITDA без лагов.</t>
  </si>
  <si>
    <t>Cumulative cashflow</t>
  </si>
  <si>
    <t>Накопленный поток.</t>
  </si>
  <si>
    <t>Монетизация и юнит-экономика — Avito Стройка</t>
  </si>
  <si>
    <t>Параметры (Assumptions)</t>
  </si>
  <si>
    <t>Сенситивити: LTV vs retention</t>
  </si>
  <si>
    <t>Параметр</t>
  </si>
  <si>
    <t>Значение</t>
  </si>
  <si>
    <t>Ед.</t>
  </si>
  <si>
    <t>Комментарий/как проверить</t>
  </si>
  <si>
    <t>Retention</t>
  </si>
  <si>
    <t>Churn</t>
  </si>
  <si>
    <t>LTV (GM), ₽</t>
  </si>
  <si>
    <t>LTV/CAC</t>
  </si>
  <si>
    <t>ARPU (исполнитель), ₽/год</t>
  </si>
  <si>
    <t>₽/год</t>
  </si>
  <si>
    <t>Из baseline (ДЗ1). Проверка: выручка/активные исполнители по когорте.</t>
  </si>
  <si>
    <t>Share paying providers</t>
  </si>
  <si>
    <t>Доля платящих исполнителей. Проверка: paying/active providers по месяцам.</t>
  </si>
  <si>
    <t>ARPPU (платящий), ₽/мес</t>
  </si>
  <si>
    <t>₽/мес</t>
  </si>
  <si>
    <t>Derived: (ARPU_year/share_paying)/12.</t>
  </si>
  <si>
    <t>Gross margin (services)</t>
  </si>
  <si>
    <t>Допущение: высокая маржа digital-сервисов.</t>
  </si>
  <si>
    <t>Monthly retention paying</t>
  </si>
  <si>
    <t>Допущение для LTV. Проверка: когорты платящих (churn).</t>
  </si>
  <si>
    <t>CAC per paying provider, ₽</t>
  </si>
  <si>
    <t>₽</t>
  </si>
  <si>
    <t>Бенчмарк для SMB/B2B. Проверка: spend/new paying.</t>
  </si>
  <si>
    <t>Расчёт юнит-экономики (unit = paying provider)</t>
  </si>
  <si>
    <t>Метрика</t>
  </si>
  <si>
    <t>Формула</t>
  </si>
  <si>
    <t>Интерпретация</t>
  </si>
  <si>
    <t>Churn (monthly)</t>
  </si>
  <si>
    <t>Monthly churn.</t>
  </si>
  <si>
    <t>Expected lifetime, months</t>
  </si>
  <si>
    <t>1/churn.</t>
  </si>
  <si>
    <t>LTV (gross), ₽</t>
  </si>
  <si>
    <t>Revenue over lifetime.</t>
  </si>
  <si>
    <t>LTV with gross margin.</t>
  </si>
  <si>
    <t>CAC, ₽</t>
  </si>
  <si>
    <t>Acquisition cost per new paying.</t>
  </si>
  <si>
    <t>Target ≥ 3.</t>
  </si>
  <si>
    <t>Payback, months</t>
  </si>
  <si>
    <t>CAC payback in months.</t>
  </si>
  <si>
    <t>Чекеры валидации модели</t>
  </si>
  <si>
    <t>Seasonality avg</t>
  </si>
  <si>
    <t>Seasonality sum</t>
  </si>
  <si>
    <t>Should be 12.00</t>
  </si>
  <si>
    <t>Contacts 2026 / Contacts_Y1</t>
  </si>
  <si>
    <t>Should be 100%</t>
  </si>
  <si>
    <t>Deals 2026 / Deals_Y1</t>
  </si>
  <si>
    <t>Close to 100% (or within chosen range)</t>
  </si>
  <si>
    <t>ARPPU formula check</t>
  </si>
  <si>
    <t>LTV/CAC (GM)</t>
  </si>
  <si>
    <t>Avito Стройка — ДЗ №2. Гипотезы роста (2–3) + учёт каннибализации. Формат соответствует шаблону: uplift 2026–2030, % раскатки, источники/референсы, метод проверки, каннибализация, сценарии.</t>
  </si>
  <si>
    <t>Гипотеза</t>
  </si>
  <si>
    <t>Status</t>
  </si>
  <si>
    <t>Confidence Rate</t>
  </si>
  <si>
    <t>uplift</t>
  </si>
  <si>
    <t>% раскатки</t>
  </si>
  <si>
    <t>Источник / обоснование (ссылки)</t>
  </si>
  <si>
    <t>Метод проверки (срок/выборка/guardrails)</t>
  </si>
  <si>
    <t>Риск каннибализации (и учёт в модели)</t>
  </si>
  <si>
    <t>Комментарий</t>
  </si>
  <si>
    <t>Сценарий 1</t>
  </si>
  <si>
    <t>Сценарий 2</t>
  </si>
  <si>
    <t>Если мы внедрим структурированный шаблон КП/сметы + чек‑лист обязательных полей (стоимость, сроки, материалы, гарантия) и единый формат сравнения предложений, то CR контакт→сделка (Conversion to Deal) вырастет на +5–10 п.п. (консервативно моделируем как +3–8% относит. uplift к CR) у заказчиков, потому что предложения станут сопоставимыми и снизится сложность выбора.</t>
  </si>
  <si>
    <t>CR</t>
  </si>
  <si>
    <t>not started</t>
  </si>
  <si>
    <t>high</t>
  </si>
  <si>
    <t>80%</t>
  </si>
  <si>
    <t>3%</t>
  </si>
  <si>
    <t>5%</t>
  </si>
  <si>
    <t>6%</t>
  </si>
  <si>
    <t>7%</t>
  </si>
  <si>
    <t>8%</t>
  </si>
  <si>
    <t>10%</t>
  </si>
  <si>
    <t>40%</t>
  </si>
  <si>
    <t>70%</t>
  </si>
  <si>
    <t>100%</t>
  </si>
  <si>
    <t>Внутренние референсы из прошлых ДЗ: ожидаемый бизнес‑эффект от шаблонов КП — рост Conversion to Deal на +5–10 п.п. и рост запросов на +10–15% при стабильных SLA (ДЗ№4, план исследований). Прокси‑метрики и риски (TTFR, отмены, CTR на КП) описаны в дереве метрик (ДЗ№1 Анализ данных).</t>
  </si>
  <si>
    <t>Пошаговая проверка: (1) интервью + прототип (Figma) + клик‑тест (1–2 недели), (2) Fake Door (CTR на «КП по шаблону») 1–2 недели, (3) A/B-тест 10% трафика 3–4 недели или до n≥3–5k сделок/конверсий. Primary: CR contact→deal. Guardrails: TTFR, cancellation, CTR на КП, NPS/CES.</t>
  </si>
  <si>
    <t>Риск: усложнение жизни исполнителям → рост TTFR/снижение отклика и отток части исполнителей (падение active listings), а также снижение потребности в платном продвижении у части (органика растёт). Учёт: в сценарии 2 вводим коэффициент −1% к Active listings при 100% rollout и/или −0.5 п.п. к Share paying (∝rollout).</t>
  </si>
  <si>
    <t>Ключевая гипотеза из прошлых ДЗ: снижает «разнородность КП» и ускоряет выбор.</t>
  </si>
  <si>
    <t>включено</t>
  </si>
  <si>
    <t>Если мы внедрим фильтры по специализациям/типу работ и улучшим ранжирование (учёт рейтинга, скорости ответа, портфолио), то CR просмотр→контакт вырастет на +2–5% и увеличится доля релевантных просмотров, потому что заказчик быстрее находит подходящего подрядчика.</t>
  </si>
  <si>
    <t>medium</t>
  </si>
  <si>
    <t>2%</t>
  </si>
  <si>
    <t>4%</t>
  </si>
  <si>
    <t>0%</t>
  </si>
  <si>
    <t>20%</t>
  </si>
  <si>
    <t>60%</t>
  </si>
  <si>
    <t>Аналоги персонализированного ранжирования: eBay (user-based ranking) https://innovation.ebayinc.com/stories/evolving-recommendations-a-personalized-user-based-ranking-model/ ; SIGIR eCom’21 (personalized ranking live traffic): https://sigir-ecom.github.io/ecom21Papers/paper9.pdf .</t>
  </si>
  <si>
    <t>A/B: 10–20% трафика, 3–4 недели (или до n≥10k sessions). Primary: Views/listing, CR view→contact. Guardrails: концентрация показов (Gini), жалобы, retention исполнителей, active listings.</t>
  </si>
  <si>
    <t>Риск: перераспределение показов в пользу «топов» → отток long-tail → падение инвентаря. Учёт: −1% к Active listings при 100% (лаг 1–2 мес/квартал) в сценарии 2.</t>
  </si>
  <si>
    <t>Гипотеза про релевантность выдачи; критичны контр‑метрики по распределению трафика.</t>
  </si>
  <si>
    <t>Если мы запустим B2B пакет для исполнителей «фиксированные показы/лиды + аналитика», то вырастут доля платящих (+2 п.п.) и ARPPU (+5–10%), потому что повысится предсказуемость окупаемости и ценность платных инструментов.</t>
  </si>
  <si>
    <t>ARPPU</t>
  </si>
  <si>
    <t>50%</t>
  </si>
  <si>
    <t>RevenueCat (hybrid monetization/cannibalization): https://www.revenuecat.com/blog/growth/hybrid-monetization-techniques/ ; Simon‑Kucher (ARPU growth кейс как верхняя граница): https://www.simon-kucher.com/en/insights/driving-growth-re-balancing-monetization-software-and-payments .</t>
  </si>
  <si>
    <t>Пилот (MVP) 2–3 региона/подкатегории, 4–6 недель. Primary: CR leads→paying, ARPPU. Guardrails: churn платящих, support tickets, NPS исполнителей. Далее A/B раскатка 10/20/40/70/100.</t>
  </si>
  <si>
    <t>Каннибализация: переток бюджета с existing promo → net ARPPU ниже. Учёт: коэффициент 40% (net uplift = uplift*(1−0.4)) + мониторинг mix выручки.</t>
  </si>
  <si>
    <t>Гипотеза про монетизацию supply; считать net uplift после каннибализации.</t>
  </si>
  <si>
    <t>не включено</t>
  </si>
  <si>
    <t>График: baseline vs baseline + uplift (Contacts), 2026</t>
  </si>
  <si>
    <t>Baseline Contacts подтягиваются ссылками из листа Baseline (Jan–Dec). При желании uplift/rollout можно связать с листом «Гипотезы».</t>
  </si>
  <si>
    <t>Metric / Inputs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</si>
  <si>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</si>
  <si>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</si>
  <si>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</si>
  <si>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</si>
  <si>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</si>
  <si>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</si>
  <si>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</si>
  <si>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</si>
  <si>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</si>
  <si>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</si>
  <si>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</si>
  <si>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</si>
  <si>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</t>
  </si>
  <si>
    <t>Contacts baseline</t>
  </si>
  <si>
    <t>Rollout H1 (2026)</t>
  </si>
  <si>
    <t>Rollout H2 (2026)</t>
  </si>
  <si>
    <t>Uplift H1 (2026, %)</t>
  </si>
  <si>
    <t>Uplift H2 (2026, %)</t>
  </si>
  <si>
    <t>Total uplift %</t>
  </si>
  <si>
    <t>Contacts baseline + uplift</t>
  </si>
  <si>
    <t xml:space="preserve">Baseline model - Avito Стройка </t>
  </si>
  <si>
    <t>Metric</t>
  </si>
  <si>
    <t>2026 Jan</t>
  </si>
  <si>
    <t>2026 Feb</t>
  </si>
  <si>
    <t>2026 Mar</t>
  </si>
  <si>
    <t>2026 Apr</t>
  </si>
  <si>
    <t>2026 May</t>
  </si>
  <si>
    <t>2026 Jun</t>
  </si>
  <si>
    <t>2026 Jul</t>
  </si>
  <si>
    <t>2026 Aug</t>
  </si>
  <si>
    <t>2026 Sep</t>
  </si>
  <si>
    <t>2026 Oct</t>
  </si>
  <si>
    <t>2026 Nov</t>
  </si>
  <si>
    <t>2026 Dec</t>
  </si>
  <si>
    <t>5Y (2026-2030)</t>
  </si>
  <si>
    <t>Assumptions (links)</t>
  </si>
  <si>
    <t>Seasonality coefficient</t>
  </si>
  <si>
    <t>CR view → contact</t>
  </si>
  <si>
    <t>CR contact → deal</t>
  </si>
  <si>
    <t>Active listings (Jan)</t>
  </si>
  <si>
    <t>listings</t>
  </si>
  <si>
    <t>Listings per provider per month</t>
  </si>
  <si>
    <t>list/provider</t>
  </si>
  <si>
    <t>Views per listing per month</t>
  </si>
  <si>
    <t>views/listing</t>
  </si>
  <si>
    <t>ARPPU (month)</t>
  </si>
  <si>
    <t>RUB/month</t>
  </si>
  <si>
    <t>Product funnel</t>
  </si>
  <si>
    <t>Active listings</t>
  </si>
  <si>
    <t>Views</t>
  </si>
  <si>
    <t>views</t>
  </si>
  <si>
    <t>Contacts (raw)</t>
  </si>
  <si>
    <t>contacts</t>
  </si>
  <si>
    <t>Contacts (leads)</t>
  </si>
  <si>
    <t>Deals (offline outcome)</t>
  </si>
  <si>
    <t>deals</t>
  </si>
  <si>
    <t>Monetization (B2B services)</t>
  </si>
  <si>
    <t>Active providers (estimated)</t>
  </si>
  <si>
    <t>providers</t>
  </si>
  <si>
    <t>Paying providers</t>
  </si>
  <si>
    <t>RUB</t>
  </si>
  <si>
    <t>Sanity checks</t>
  </si>
  <si>
    <t>Seasonality avg (should be 1.00)</t>
  </si>
  <si>
    <t>Seasonality sum (should be 12.00)</t>
  </si>
  <si>
    <t>Contacts vs Contacts_Y1 (assumption)</t>
  </si>
  <si>
    <t>ratio</t>
  </si>
  <si>
    <t>Deals vs Deals_Y1 (assumption)</t>
  </si>
  <si>
    <t xml:space="preserve">Baseline assumptions - Avito Стройка </t>
  </si>
  <si>
    <t>Source / note</t>
  </si>
  <si>
    <t>Year 1 (baseline year)</t>
  </si>
  <si>
    <t>Первый год прогноза (помесячно)</t>
  </si>
  <si>
    <t>Данные ДЗ №1 (горизонт прогноза: 2026 помесячно, далее годами)</t>
  </si>
  <si>
    <t>High</t>
  </si>
  <si>
    <t>Contacts_Y1</t>
  </si>
  <si>
    <t>contacts/year</t>
  </si>
  <si>
    <t>Из данных ДЗ: 1.8 млн/год трактуем как лиды/контакты</t>
  </si>
  <si>
    <t>Данные ДЗ №1 (вкладка “Данные…”, Стройка: 1.8 млн/год; трактуем как contacts/leads)</t>
  </si>
  <si>
    <t>Med</t>
  </si>
  <si>
    <t>Deals_Y1</t>
  </si>
  <si>
    <t>deals/year</t>
  </si>
  <si>
    <t>Из данных ДЗ: 300 тыс сделок/год (офлайн outcome)</t>
  </si>
  <si>
    <t>Данные ДЗ №1 (Стройка: 300 тыс сделок/год; офлайн outcome)</t>
  </si>
  <si>
    <t>CR_contact_to_deal</t>
  </si>
  <si>
    <t>Формула: Deals_Y1 / Contacts_Y1</t>
  </si>
  <si>
    <t>Derived: =Deals_Y1 / Contacts_Y1 (расчёт из данных ДЗ)</t>
  </si>
  <si>
    <t>CR_view_to_contact</t>
  </si>
  <si>
    <t>share</t>
  </si>
  <si>
    <t>ДЗ: 0.03–0.05% (берём 0.04%)</t>
  </si>
  <si>
    <t>Данные ДЗ №1: 0.03–0.05% (берём 0.04% как midpoint диапазона)</t>
  </si>
  <si>
    <t>Active_listings_Jan</t>
  </si>
  <si>
    <t>Стартовое допущение; калибруется под Contacts_Y1</t>
  </si>
  <si>
    <t>Калибровано под Contacts_Y1 из ДЗ через воронку Active listings → Views → Contacts при заданных CR и сезонности; требует валидации по фактическому инвентарю категории (внутр. аналитика).</t>
  </si>
  <si>
    <t>Listings_per_provider_per_month</t>
  </si>
  <si>
    <t>ДЗ: 1.2–1.8 (берём 1.5)</t>
  </si>
  <si>
    <t>Данные ДЗ №1: 1.2–1.8 (берём 1.5 как среднее значение диапазона)</t>
  </si>
  <si>
    <t>Views_per_listing_per_month</t>
  </si>
  <si>
    <t>Калибровка под Contacts_Y1 при CR view→contact</t>
  </si>
  <si>
    <t>Калибровочный параметр: подобран так, чтобы годовой Contacts в модели совпал с Contacts_Y1 (1.8 млн) при CR view→contact=0.04%; требует валидации по просмотрам категории.</t>
  </si>
  <si>
    <t>Share_paying_providers</t>
  </si>
  <si>
    <t>Доля платящих исполнителей (baseline)</t>
  </si>
  <si>
    <t>Экспертная оценка baseline: доля платящих исполнителей в classifieds/услугах обычно однозначные проценты; взято 10% как консервативное значение, требует валидации по внутр. данным/аналогам.</t>
  </si>
  <si>
    <t>ARPU_provider_year</t>
  </si>
  <si>
    <t>RUB/year</t>
  </si>
  <si>
    <t>ДЗ: 1 200–3 500 ₽/год (берём 2 500)</t>
  </si>
  <si>
    <t>Данные ДЗ №1: ARPU продавца 1 200–3 500 ₽/год (берём 2 500 ₽ как midpoint)</t>
  </si>
  <si>
    <t>YoY_growth_contacts</t>
  </si>
  <si>
    <t>Базовый рост лидов YoY</t>
  </si>
  <si>
    <t>Экспертная оценка baseline без гипотез роста: умеренный рост спроса/проникновения онлайн; при наличии заменить на CAGR рынка/категории (источник/отчёт).</t>
  </si>
  <si>
    <t>YoY_growth_listings</t>
  </si>
  <si>
    <t>Базовый рост объявлений YoY</t>
  </si>
  <si>
    <t>Экспертная оценка: рост предложения следует за спросом; baseline ниже роста контактов (0.08 vs 0.10), требует валидации по динамике активных объявлений.</t>
  </si>
  <si>
    <t>YoY_growth_ARPU</t>
  </si>
  <si>
    <t>Индексация ARPU YoY</t>
  </si>
  <si>
    <t>Индексация тарифов/инфляция + микс платных услуг; при наличии добавить ссылку (например, официальная инфляция Росстат или практика индексации тарифов).</t>
  </si>
  <si>
    <t>ARPPU_month</t>
  </si>
  <si>
    <t>ARPPU = (ARPU_provider_year / Share_paying) / 12</t>
  </si>
  <si>
    <t>Derived: =(ARPU_provider_year / Share_paying_providers) / 12</t>
  </si>
  <si>
    <t>Calibration_factor_contacts</t>
  </si>
  <si>
    <t>Derived: =Contacts_Y1 / Contacts_raw_2026. Используется для точной калибровки baseline под данные ДЗ (0% отклонения по 2026).</t>
  </si>
  <si>
    <t>Seasonality (avg=1.0)</t>
  </si>
  <si>
    <t>Month</t>
  </si>
  <si>
    <t>Coefficient</t>
  </si>
  <si>
    <t>Top-down sanity check — Avito Стройка</t>
  </si>
  <si>
    <t>Источник/комментарий</t>
  </si>
  <si>
    <t>TAM (рынок стройки/ремонта), ₽/год</t>
  </si>
  <si>
    <t>Данные для ДЗ №1</t>
  </si>
  <si>
    <t>Online share (SAM/TAM)</t>
  </si>
  <si>
    <t>Avito share within online (SOM/SAM)</t>
  </si>
  <si>
    <t>AOV (средний чек работ), ₽</t>
  </si>
  <si>
    <t>Бенчмарк/экспертная оценка; заменить ссылкой при наличии</t>
  </si>
  <si>
    <t>Contacts per deal (Contacts_Y1 / Deals_Y1)</t>
  </si>
  <si>
    <t>contacts/deal</t>
  </si>
  <si>
    <t>Derived из данных ДЗ</t>
  </si>
  <si>
    <t>Расчёт</t>
  </si>
  <si>
    <t>SAM, ₽/год</t>
  </si>
  <si>
    <t>SOM-cap (market volume), ₽/год</t>
  </si>
  <si>
    <t>SOM deals (approx), deals/год</t>
  </si>
  <si>
    <t>SOM contacts (approx), contacts/год</t>
  </si>
  <si>
    <t>Bottom-up Contacts 2026 (from model)</t>
  </si>
  <si>
    <t>Ссылка на baseline (колонка 2026)</t>
  </si>
  <si>
    <t>Share bottom-up / SOM contacts</t>
  </si>
  <si>
    <t>Должно быть значительно &lt; 100%</t>
  </si>
  <si>
    <t>Я строю baseline-прогноз для направления Avito Стройка. Это категория в Avito, которая помогает заказчикам находить подрядчиков и исполнителей строительных и ремонтных работ. Ключевая специфика продукта — оплата и сделка происходят вне платформы: Avito не является транзакционным посредником и не зарабатывает take rate с суммы работ. Поэтому для Стройки корректная продуктовая логика — не GMV и не доля транзакций “внутри”, а качество матчинга и лид-генерация. Пользовательская ценность измеряется тем, что заказчик находит подходящего исполнителя и связывается с ним, а бизнес-ценность для Avito — монетизацией исполнителей через платные инструменты (продвижение, пакеты, платные опции размещения).
Целевая аудитория двусторонняя. Со стороны спроса это прежде всего частные заказчики (B2C), которым нужен ремонт/строительство и отдельные работы; частично — малый бизнес/управляющие компании (в зависимости от сегмента). Со стороны предложения — мастера, бригады и небольшие строительные компании, которые размещают объявления, конкурируют за внимание заказчиков и покупают платные инструменты продвижения. Продукт решает для заказчика проблему быстрого поиска подрядчика и снижения неопределённости по качеству/срокам/надёжности; для исполнителя — проблему стабильного потока обращений и видимости в выдаче.
Целевая метрика (North Star / NSM) для baseline выбрана как количество контактов (Contacts / Leads) — число обращений заказчиков к исполнителям (звонок, чат, открытие контакта). Это оптимальная NSM для нетранзакционного: контакт отражает реальное намерение и является самым ранним измеримым “успехом” матчинга, который коррелирует с вероятностью офлайн-сделки. Для того чтобы NSM была управляемой, я связываю её с прокси-метриками, которые продукт реально может улучшать: Active listings (инвентарь объявлений) → Views (просмотры) → CR view→contact (конверсия просмотр→контакт). Именно эта цепочка позволяет прозрачно объяснить, что лежит “под капотом” контактов: наличие актуальных объявлений, распределение трафика и эффективность карточки/контактного действия. Дополнительно, хотя Avito не фиксирует оплату внутри платформы, я оставляю outcome-метрику Deals (офлайн) как “дальний” результат и sanity check ценности. Коммерческие метрики (для бизнеса Avito) строятся отдельно: Active providers → Paying providers → ARPPU → Revenue. Таким образом метрики в модели логически связаны: продуктовые драйверы создают поток контактов, который повышает ценность для исполнителей и поддерживает монетизацию со стороны предложения.
Для расчёта baseline я использую комбинацию bottom-up и top-down, причём bottom-up — основной метод. Это осознанный выбор, потому что у Стройки нет транзакций внутри Avito, и подход “рынок → GMV → take rate → revenue” здесь методологически неверен. Bottom-up позволяет моделировать именно те микропараметры, которыми реально управляет Avito: объём и активность контента, просмотры, конверсии в контакт, долю платящих исполнителей и ARPU/ARPPU. Top-down я использую как ограничитель и проверку реалистичности: через TAM/SAM/SOM оцениваю верхнюю границу масштаба, чтобы baseline не “пробивал” ёмкость рынка и не уходил в нереалистичный рост. Такое сочетание отражает специфику продукта: bottom-up даёт детальную, проверяемую по формулам динамику, а top-down задаёт “потолок” и снижает риск самообмана.
Расчёт baseline организован так, чтобы проверяющему было легко проверить логику. Все входные параметры и допущения вынесены на отдельный лист Assumptions (включая источники и уровень уверенности), а на листе Baseline — только формулы, ссылающиеся на assumptions. В прогнозе 2026 год посчитан помесячно, а 2027–2030 — годовым шагом, что соответствует требованиям задания. Также добавлена сезонность (коэффициенты по 12 месяцам со средним значением 1), чтобы не “искажать” годовой объём искусственным завышением и одновременно отражать реальную сезонность спроса на ремонт/стройку.
Основная bottom-up логика построена как воронка. Сначала задаётся стартовый инвентарь Active listings (активные объявления) и параметр Views per listing (просмотров на объявление в месяц). Далее по каждому месяцу 2026 рассчитываются просмотры: Views_m = Active_listings_m × Views_per_listing × Seasonality_m. Затем рассчитываются контакты: Contacts_m = Views_m × CR(view→contact). Конверсия просмотр→контакт берётся из стартовых данных задания (0,03–0,05%), в baseline используется среднее значение и вынесено на assumptions. Outcome-метрика офлайн-сделок считается как Deals_m = Contacts_m × CR(contact→deal) и служит проверкой того, что воронка даёт реалистичный “выход”.
В предоставленных данных по Стройке указано 1,8 млн “запросов/год” и 300 тыс “сделок”, а также комментарий к bottom-up “конверсия в сделку ~10–15%, высокий LTV, длинный цикл”. Поскольку в текущем продукте нет механики “запрос КП” как отдельного объекта, я фиксирую интерпретацию, согласованную с реальным измеримым событием Avito: трактую 1,8 млн/год как объём контактов (leads), то есть фактически NSM в год. Тогда CR(contact→deal) выводится из данных как 300k / 1.8m = 16,7%. Это чуть выше указанного диапазона 10–15%, поэтому я делаю это прозрачно и честно: в assumptions параметр помечен как derived и снабжён комментарием, что расхождение возможно из-за разных определений “сделки” (например, включение повторных/частичных работ) и что при валидации метрики в продуктовой аналитике диапазон может быть уточнён. Такой подход позволяет избежать “подгонки”: baseline согласован с данными по объёмам и одновременно фиксирует зону неопределённости.
Монетизация в baseline считается отдельно от сделок, потому что транзакций и оплаты в Avito нет. Я моделирую выручку со стороны предложения: сначала оцениваю число активных исполнителей через инвентарь: Active providers = Active listings / Listings per provider. Параметр “объявлений на пользователя в месяц” берётся из стартовых данных задания (1,2–1,8) и вынесен в assumptions. Затем оцениваю число платящих: Paying providers = Active providers × Share paying providers. Доля платящих исполнителей — допущение baseline, помеченное как требующее валидации (так как зависит от ценовой политики и зрелости категории). Далее рассчитываю ARPPU. В данных задан годовой ARPU продавца 1 200–3 500 ₽/год. Чтобы не допустить типичную ошибку смешения ARPU и ARPPU, я считаю ARPPU_month = (ARPU_year / Share paying) / 12. Это делает модель внутренне консистентной: если доля платящих ниже, ARPPU на платящего выше, но средний ARPU на всех остаётся в исходном диапазоне. Итоговая выручка считается как Revenue_m = Paying providers_m × ARPPU_month, а годовая — суммой 12 месяцев и ростом через YoY-индикаторы.
Прогноз на 5 лет построен как реалистичный baseline без гипотез роста: по ключевым драйверам задаются умеренные YoY изменения (рост контактов/трафика, рост инвентаря, индексация ARPU), а не “скачки” от новых фич. Такой baseline удобно использовать как отправную точку для трекшн-модели: любые будущие инициативы будут измеряться как инкремент к конкретным драйверам (например, рост CR(view→contact) после улучшения карточки, или рост Share paying после изменения пакетов).
Top-down часть используется как sanity check и в модели оформлена как отдельная логика “потолка рынка”. По стартовым данным: TAM Стройки = 1,2 трлн ₽, доля онлайн-запросов 20%, доля Avito 25%. Это даёт ориентир SAM = 240 млрд ₽ и SOM-cap ≈ 60 млрд ₽ в терминах объёма рынка, доступного в периметре Avito. Я подчёркиваю, что это не выручка Avito, а верхняя граница рынка, и использую её для проверки адекватности масштаба: baseline-показатели активности и выручки от сервисов не должны подразумевать долю, несовместимую с этим потолком. Таким образом выбранная комбинация методов применена корректно: bottom-up даёт детальную динамику метрик продукта и монетизации, а top-down ограничивает и подтверждает реалистичность.
Реалистичность baseline я проверяю несколькими способами. Во-первых, конверсии не выходят за разумные диапазоны: CR(view→contact) остаётся в пределах 0,03–0,05% из данных; CR(contact→deal) либо согласован с парами 1,8 млн и 300 тыс, либо может быть зафиксирован в коридоре 10–15% с явной пометкой о различиях определений. Во-вторых, я избегаю “красных флагов” в монетизации: не использую take rate и долю транзакций в платформе, потому что это не соответствует продукту; ARPPU согласован с ARPU через долю платящих; доля платящих и YoY-росты заданы умеренно и вынесены в assumptions. В-третьих, сезонность учтена отдельным рядом коэффициентов, что делает помесячный прогноз правдоподобным и позволяет при необходимости обсуждать влияние сезонов на спрос. В-четвёртых, я осознанно фиксирую зоны неопределённости и риски: качество и актуальность инвентаря (active listings), изменения в ранжировании/поиске (влияние на views), изменения UX контакта (влияние на CR view→contact), изменение цен/пакетов (влияние на ARPU и долю платящих), а также внешние факторы (стоимость материалов, макроэкономика, сезонность спроса и конкуренция). Все параметры без прямого источника помечены как “экспертная оценка, требует валидации”, а ключевые параметры из задания (конверсии, ARPU, TAM/SAM/SOM) — как “данные ДЗ” с дальнейшим планом добавить ссылки на публичные источники (например, отчёты Avito для MAU и исследования рынка строительства).
В части оформления и технической корректности модель соответствует требованиям: отдельный лист assumptions содержит все “хардовые” параметры, лист baseline содержит формулы и прозрачные связи между метриками; прогноз рассчитан на 5 лет с помесячной детализацией первого года; добавлена сезонность и sanity checks, позволяющие быстро увидеть, не “уплыла” ли модель от исходных объёмов; предусмотрено построение графика динамики ключевой метрики (контакты или выручка) за 12 месяцев. Такой baseline получается достаточно прозрачным и реалистичным, чтобы служить отправной точкой для дальнейшей трекшн-модели и оценки инкремента от продуктовых гипотез.
Источники:
“Данные для ДЗ №1” для всех чисел из таблицы (ARPU, CR view→contact, TAM/SAM/SOM, listings/user)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</si>
</sst>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92D050"/>
      </patternFill>
    </fill>
    <fill>
      <patternFill patternType="solid">
        <fgColor rgb="FFE6B8AF"/>
      </patternFill>
    </fill>
    <fill>
      <patternFill patternType="solid">
        <fgColor rgb="FFFFFFFF"/>
      </patternFill>
    </fill>
    <fill>
      <patternFill patternType="solid">
        <fgColor rgb="FFF4B6F2"/>
      </patternFill>
    </fill>
    <fill>
      <patternFill patternType="solid">
        <fgColor rgb="FFFFC000"/>
      </patternFill>
    </fill>
    <fill>
      <patternFill patternType="solid">
        <fgColor rgb="FFE9EEF9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/>
      <top/>
      <bottom style="thin">
        <color rgb="FF9E9E9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 wrapText="1"/>
    </xf>
    <xf numFmtId="10" fontId="0" fillId="3" borderId="1" xfId="0" applyNumberForma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0" fontId="0" fillId="0" borderId="1" xfId="0" applyNumberFormat="1" applyBorder="1"/>
    <xf numFmtId="3" fontId="0" fillId="0" borderId="1" xfId="0" applyNumberFormat="1" applyBorder="1"/>
    <xf numFmtId="0" fontId="4" fillId="0" borderId="0" xfId="0" applyFont="1" applyAlignment="1">
      <alignment horizontal="left" vertical="center" wrapText="1"/>
    </xf>
    <xf numFmtId="2" fontId="0" fillId="0" borderId="1" xfId="0" applyNumberFormat="1" applyBorder="1"/>
    <xf numFmtId="0" fontId="0" fillId="0" borderId="0" xfId="0" applyAlignment="1">
      <alignment vertical="top" wrapText="1"/>
    </xf>
    <xf numFmtId="0" fontId="4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9" fontId="0" fillId="4" borderId="1" xfId="0" applyNumberFormat="1" applyFill="1" applyBorder="1" applyAlignment="1">
      <alignment horizontal="center" vertical="center" wrapText="1"/>
    </xf>
    <xf numFmtId="3" fontId="0" fillId="7" borderId="1" xfId="0" applyNumberForma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9" fillId="11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3" fontId="0" fillId="12" borderId="10" xfId="0" applyNumberForma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0" fontId="0" fillId="12" borderId="10" xfId="0" applyNumberFormat="1" applyFill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2" fontId="0" fillId="0" borderId="10" xfId="0" applyNumberFormat="1" applyBorder="1" applyAlignment="1">
      <alignment horizontal="center" vertical="center" wrapText="1"/>
    </xf>
    <xf numFmtId="164" fontId="0" fillId="0" borderId="10" xfId="0" applyNumberFormat="1" applyBorder="1" applyAlignment="1">
      <alignment horizontal="center" vertical="center" wrapText="1"/>
    </xf>
    <xf numFmtId="0" fontId="11" fillId="13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left" vertical="top" wrapText="1"/>
    </xf>
    <xf numFmtId="1" fontId="0" fillId="14" borderId="11" xfId="0" applyNumberForma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2" fontId="0" fillId="14" borderId="11" xfId="0" applyNumberFormat="1" applyFill="1" applyBorder="1" applyAlignment="1">
      <alignment horizontal="center" vertical="center" wrapText="1"/>
    </xf>
    <xf numFmtId="10" fontId="0" fillId="14" borderId="11" xfId="0" applyNumberFormat="1" applyFill="1" applyBorder="1" applyAlignment="1">
      <alignment horizontal="center" vertical="center" wrapText="1"/>
    </xf>
    <xf numFmtId="0" fontId="12" fillId="0" borderId="0" xfId="0" applyFont="1"/>
    <xf numFmtId="2" fontId="0" fillId="14" borderId="0" xfId="0" applyNumberFormat="1" applyFill="1"/>
    <xf numFmtId="3" fontId="0" fillId="14" borderId="11" xfId="0" applyNumberFormat="1" applyFill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 wrapText="1"/>
    </xf>
    <xf numFmtId="164" fontId="0" fillId="14" borderId="11" xfId="0" applyNumberForma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top" wrapText="1"/>
    </xf>
    <xf numFmtId="0" fontId="0" fillId="0" borderId="11" xfId="0" applyBorder="1"/>
    <xf numFmtId="0" fontId="13" fillId="0" borderId="0" xfId="0" applyFont="1"/>
    <xf numFmtId="0" fontId="12" fillId="15" borderId="11" xfId="0" applyFont="1" applyFill="1" applyBorder="1" applyAlignment="1">
      <alignment horizontal="left" vertical="top" wrapText="1"/>
    </xf>
    <xf numFmtId="3" fontId="12" fillId="15" borderId="11" xfId="0" applyNumberFormat="1" applyFont="1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0" fontId="10" fillId="0" borderId="0" xfId="0" applyFont="1"/>
    <xf numFmtId="0" fontId="0" fillId="0" borderId="0" xfId="0"/>
    <xf numFmtId="0" fontId="7" fillId="0" borderId="0" xfId="0" applyFont="1"/>
    <xf numFmtId="0" fontId="8" fillId="0" borderId="0" xfId="0" applyFont="1"/>
    <xf numFmtId="0" fontId="6" fillId="3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10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2" fillId="2" borderId="10" xfId="0" applyFont="1" applyFill="1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2" fillId="2" borderId="2" xfId="0" applyFont="1" applyFill="1" applyBorder="1" applyAlignment="1">
      <alignment horizontal="left" vertical="center" wrapText="1"/>
    </xf>
    <xf numFmtId="0" fontId="0" fillId="0" borderId="3" xfId="0" applyBorder="1"/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vs EBITDA (2026–2030)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PnL!$B$4</c:f>
              <c:numCache>
                <c:formatCode>#,##0</c:formatCode>
                <c:ptCount val="1"/>
                <c:pt idx="0">
                  <c:v>712313333.33333313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C1-3645-92CA-840528A53D29}"/>
            </c:ext>
          </c:extLst>
        </c:ser>
        <c:ser>
          <c:idx val="1"/>
          <c:order val="1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PnL!$C$4</c:f>
              <c:numCache>
                <c:formatCode>#,##0</c:formatCode>
                <c:ptCount val="1"/>
                <c:pt idx="0">
                  <c:v>807763320.00000036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4C1-3645-92CA-840528A53D29}"/>
            </c:ext>
          </c:extLst>
        </c:ser>
        <c:ser>
          <c:idx val="2"/>
          <c:order val="2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PnL!$D$4</c:f>
              <c:numCache>
                <c:formatCode>#,##0</c:formatCode>
                <c:ptCount val="1"/>
                <c:pt idx="0">
                  <c:v>916003604.88000035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4C1-3645-92CA-840528A53D29}"/>
            </c:ext>
          </c:extLst>
        </c:ser>
        <c:ser>
          <c:idx val="3"/>
          <c:order val="3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PnL!$E$4</c:f>
              <c:numCache>
                <c:formatCode>#,##0</c:formatCode>
                <c:ptCount val="1"/>
                <c:pt idx="0">
                  <c:v>1038748087.9339204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4C1-3645-92CA-840528A53D29}"/>
            </c:ext>
          </c:extLst>
        </c:ser>
        <c:ser>
          <c:idx val="4"/>
          <c:order val="4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PnL!$F$4</c:f>
              <c:numCache>
                <c:formatCode>#,##0</c:formatCode>
                <c:ptCount val="1"/>
                <c:pt idx="0">
                  <c:v>1177940331.7170658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4C1-3645-92CA-840528A53D29}"/>
            </c:ext>
          </c:extLst>
        </c:ser>
        <c:ser>
          <c:idx val="5"/>
          <c:order val="5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PnL!$B$11</c:f>
              <c:numCache>
                <c:formatCode>#,##0</c:formatCode>
                <c:ptCount val="1"/>
                <c:pt idx="0">
                  <c:v>585602333.33333313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4C1-3645-92CA-840528A53D29}"/>
            </c:ext>
          </c:extLst>
        </c:ser>
        <c:ser>
          <c:idx val="6"/>
          <c:order val="6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PnL!$C$11</c:f>
              <c:numCache>
                <c:formatCode>#,##0</c:formatCode>
                <c:ptCount val="1"/>
                <c:pt idx="0">
                  <c:v>674897688.40000033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4C1-3645-92CA-840528A53D29}"/>
            </c:ext>
          </c:extLst>
        </c:ser>
        <c:ser>
          <c:idx val="7"/>
          <c:order val="7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PnL!$D$11</c:f>
              <c:numCache>
                <c:formatCode>#,##0</c:formatCode>
                <c:ptCount val="1"/>
                <c:pt idx="0">
                  <c:v>766281096.24560022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F4C1-3645-92CA-840528A53D29}"/>
            </c:ext>
          </c:extLst>
        </c:ser>
        <c:ser>
          <c:idx val="8"/>
          <c:order val="8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PnL!$E$11</c:f>
              <c:numCache>
                <c:formatCode>#,##0</c:formatCode>
                <c:ptCount val="1"/>
                <c:pt idx="0">
                  <c:v>870004592.50251079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F4C1-3645-92CA-840528A53D29}"/>
            </c:ext>
          </c:extLst>
        </c:ser>
        <c:ser>
          <c:idx val="9"/>
          <c:order val="9"/>
          <c:spPr>
            <a:ln>
              <a:prstDash val="solid"/>
            </a:ln>
          </c:spPr>
          <c:marker>
            <c:symbol val="none"/>
          </c:marker>
          <c:cat>
            <c:strRef>
              <c:f>PnL!$B$3:$F$3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PnL!$F$11</c:f>
              <c:numCache>
                <c:formatCode>#,##0</c:formatCode>
                <c:ptCount val="1"/>
                <c:pt idx="0">
                  <c:v>987731220.19384718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F4C1-3645-92CA-840528A53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₽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"/>
              <a:t>LTV (GM) vs Monthly retention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'Монетизация и юнит'!$F$9:$F$15</c:f>
              <c:numCache>
                <c:formatCode>0.00%</c:formatCode>
                <c:ptCount val="7"/>
                <c:pt idx="0">
                  <c:v>0.7</c:v>
                </c:pt>
                <c:pt idx="1">
                  <c:v>0.75</c:v>
                </c:pt>
                <c:pt idx="2">
                  <c:v>0.8</c:v>
                </c:pt>
                <c:pt idx="3">
                  <c:v>0.85</c:v>
                </c:pt>
                <c:pt idx="4">
                  <c:v>0.9</c:v>
                </c:pt>
                <c:pt idx="5">
                  <c:v>0.92</c:v>
                </c:pt>
                <c:pt idx="6">
                  <c:v>0.95</c:v>
                </c:pt>
              </c:numCache>
            </c:numRef>
          </c:cat>
          <c:val>
            <c:numRef>
              <c:f>'Монетизация и юнит'!$H$9:$H$15</c:f>
              <c:numCache>
                <c:formatCode>#,##0</c:formatCode>
                <c:ptCount val="7"/>
                <c:pt idx="0">
                  <c:v>5902.7777777777774</c:v>
                </c:pt>
                <c:pt idx="1">
                  <c:v>7083.3333333333339</c:v>
                </c:pt>
                <c:pt idx="2">
                  <c:v>8854.1666666666697</c:v>
                </c:pt>
                <c:pt idx="3">
                  <c:v>11805.555555555555</c:v>
                </c:pt>
                <c:pt idx="4">
                  <c:v>17708.333333333339</c:v>
                </c:pt>
                <c:pt idx="5">
                  <c:v>22135.416666666679</c:v>
                </c:pt>
                <c:pt idx="6">
                  <c:v>35416.666666666635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28B-3F49-89C4-9D2B6C98D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Retention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LTV (</a:t>
                </a:r>
                <a:r>
                  <a:rPr lang="ru-RU"/>
                  <a:t>₽)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400" b="0" i="0" strike="noStrike" baseline="0"/>
              <a:t>Contacts (leads), 2026 (monthly)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'Baseline - Avito Стройка'!$C$3:$N$3</c:f>
              <c:strCache>
                <c:ptCount val="12"/>
                <c:pt idx="0">
                  <c:v>2026 Jan</c:v>
                </c:pt>
                <c:pt idx="1">
                  <c:v>2026 Feb</c:v>
                </c:pt>
                <c:pt idx="2">
                  <c:v>2026 Mar</c:v>
                </c:pt>
                <c:pt idx="3">
                  <c:v>2026 Apr</c:v>
                </c:pt>
                <c:pt idx="4">
                  <c:v>2026 May</c:v>
                </c:pt>
                <c:pt idx="5">
                  <c:v>2026 Jun</c:v>
                </c:pt>
                <c:pt idx="6">
                  <c:v>2026 Jul</c:v>
                </c:pt>
                <c:pt idx="7">
                  <c:v>2026 Aug</c:v>
                </c:pt>
                <c:pt idx="8">
                  <c:v>2026 Sep</c:v>
                </c:pt>
                <c:pt idx="9">
                  <c:v>2026 Oct</c:v>
                </c:pt>
                <c:pt idx="10">
                  <c:v>2026 Nov</c:v>
                </c:pt>
                <c:pt idx="11">
                  <c:v>2026 Dec</c:v>
                </c:pt>
              </c:strCache>
            </c:strRef>
          </c:cat>
          <c:val>
            <c:numRef>
              <c:f>'Baseline - Avito Стройка'!$C$19:$N$19</c:f>
              <c:numCache>
                <c:formatCode>#,##0</c:formatCode>
                <c:ptCount val="12"/>
                <c:pt idx="0">
                  <c:v>127499.99999999994</c:v>
                </c:pt>
                <c:pt idx="1">
                  <c:v>142499.99999999994</c:v>
                </c:pt>
                <c:pt idx="2">
                  <c:v>157500</c:v>
                </c:pt>
                <c:pt idx="3">
                  <c:v>165000.00000000003</c:v>
                </c:pt>
                <c:pt idx="4">
                  <c:v>165000.00000000003</c:v>
                </c:pt>
                <c:pt idx="5">
                  <c:v>165000.00000000003</c:v>
                </c:pt>
                <c:pt idx="6">
                  <c:v>149999.99999999997</c:v>
                </c:pt>
                <c:pt idx="7">
                  <c:v>142499.99999999994</c:v>
                </c:pt>
                <c:pt idx="8">
                  <c:v>149999.99999999997</c:v>
                </c:pt>
                <c:pt idx="9">
                  <c:v>157500</c:v>
                </c:pt>
                <c:pt idx="10">
                  <c:v>157500</c:v>
                </c:pt>
                <c:pt idx="11">
                  <c:v>119999.99999999996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6A-1840-9278-67E3658F17B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'Baseline - Avito Стройка'!$C$3:$N$3</c:f>
              <c:strCache>
                <c:ptCount val="12"/>
                <c:pt idx="0">
                  <c:v>2026 Jan</c:v>
                </c:pt>
                <c:pt idx="1">
                  <c:v>2026 Feb</c:v>
                </c:pt>
                <c:pt idx="2">
                  <c:v>2026 Mar</c:v>
                </c:pt>
                <c:pt idx="3">
                  <c:v>2026 Apr</c:v>
                </c:pt>
                <c:pt idx="4">
                  <c:v>2026 May</c:v>
                </c:pt>
                <c:pt idx="5">
                  <c:v>2026 Jun</c:v>
                </c:pt>
                <c:pt idx="6">
                  <c:v>2026 Jul</c:v>
                </c:pt>
                <c:pt idx="7">
                  <c:v>2026 Aug</c:v>
                </c:pt>
                <c:pt idx="8">
                  <c:v>2026 Sep</c:v>
                </c:pt>
                <c:pt idx="9">
                  <c:v>2026 Oct</c:v>
                </c:pt>
                <c:pt idx="10">
                  <c:v>2026 Nov</c:v>
                </c:pt>
                <c:pt idx="11">
                  <c:v>2026 Dec</c:v>
                </c:pt>
              </c:strCache>
            </c:strRef>
          </c:cat>
          <c:val>
            <c:numRef>
              <c:f>Graph_2026_Contacts!$B$11:$M$11</c:f>
              <c:numCache>
                <c:formatCode>#,##0</c:formatCode>
                <c:ptCount val="12"/>
                <c:pt idx="0">
                  <c:v>127499.9999999999</c:v>
                </c:pt>
                <c:pt idx="1">
                  <c:v>142927.49999999988</c:v>
                </c:pt>
                <c:pt idx="2">
                  <c:v>158445</c:v>
                </c:pt>
                <c:pt idx="3">
                  <c:v>167310</c:v>
                </c:pt>
                <c:pt idx="4">
                  <c:v>169124.99999999997</c:v>
                </c:pt>
                <c:pt idx="5">
                  <c:v>171270</c:v>
                </c:pt>
                <c:pt idx="6">
                  <c:v>156600</c:v>
                </c:pt>
                <c:pt idx="7">
                  <c:v>149624.99999999991</c:v>
                </c:pt>
                <c:pt idx="8">
                  <c:v>157500</c:v>
                </c:pt>
                <c:pt idx="9">
                  <c:v>165375</c:v>
                </c:pt>
                <c:pt idx="10">
                  <c:v>165375</c:v>
                </c:pt>
                <c:pt idx="11">
                  <c:v>126000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6A-1840-9278-67E3658F1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208831"/>
        <c:axId val="599729423"/>
      </c:lineChart>
      <c:catAx>
        <c:axId val="4702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729423"/>
        <c:crosses val="autoZero"/>
        <c:auto val="1"/>
        <c:lblAlgn val="ctr"/>
        <c:lblOffset val="100"/>
        <c:noMultiLvlLbl val="0"/>
      </c:catAx>
      <c:valAx>
        <c:axId val="5997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20883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sz="1400" b="0" i="0" strike="noStrike" baseline="0"/>
              <a:t>Contacts (leads), 2026 (monthly)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'Baseline - Avito Стройка'!$C$3:$N$3</c:f>
              <c:strCache>
                <c:ptCount val="12"/>
                <c:pt idx="0">
                  <c:v>2026 Jan</c:v>
                </c:pt>
                <c:pt idx="1">
                  <c:v>2026 Feb</c:v>
                </c:pt>
                <c:pt idx="2">
                  <c:v>2026 Mar</c:v>
                </c:pt>
                <c:pt idx="3">
                  <c:v>2026 Apr</c:v>
                </c:pt>
                <c:pt idx="4">
                  <c:v>2026 May</c:v>
                </c:pt>
                <c:pt idx="5">
                  <c:v>2026 Jun</c:v>
                </c:pt>
                <c:pt idx="6">
                  <c:v>2026 Jul</c:v>
                </c:pt>
                <c:pt idx="7">
                  <c:v>2026 Aug</c:v>
                </c:pt>
                <c:pt idx="8">
                  <c:v>2026 Sep</c:v>
                </c:pt>
                <c:pt idx="9">
                  <c:v>2026 Oct</c:v>
                </c:pt>
                <c:pt idx="10">
                  <c:v>2026 Nov</c:v>
                </c:pt>
                <c:pt idx="11">
                  <c:v>2026 Dec</c:v>
                </c:pt>
              </c:strCache>
            </c:strRef>
          </c:cat>
          <c:val>
            <c:numRef>
              <c:f>'Baseline - Avito Стройка'!$C$19:$N$19</c:f>
              <c:numCache>
                <c:formatCode>#,##0</c:formatCode>
                <c:ptCount val="12"/>
                <c:pt idx="0">
                  <c:v>127499.99999999994</c:v>
                </c:pt>
                <c:pt idx="1">
                  <c:v>142499.99999999994</c:v>
                </c:pt>
                <c:pt idx="2">
                  <c:v>157500</c:v>
                </c:pt>
                <c:pt idx="3">
                  <c:v>165000.00000000003</c:v>
                </c:pt>
                <c:pt idx="4">
                  <c:v>165000.00000000003</c:v>
                </c:pt>
                <c:pt idx="5">
                  <c:v>165000.00000000003</c:v>
                </c:pt>
                <c:pt idx="6">
                  <c:v>149999.99999999997</c:v>
                </c:pt>
                <c:pt idx="7">
                  <c:v>142499.99999999994</c:v>
                </c:pt>
                <c:pt idx="8">
                  <c:v>149999.99999999997</c:v>
                </c:pt>
                <c:pt idx="9">
                  <c:v>157500</c:v>
                </c:pt>
                <c:pt idx="10">
                  <c:v>157500</c:v>
                </c:pt>
                <c:pt idx="11">
                  <c:v>119999.99999999996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2-F341-B74C-FC01FB834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208831"/>
        <c:axId val="599729423"/>
      </c:lineChart>
      <c:catAx>
        <c:axId val="47020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9729423"/>
        <c:crosses val="autoZero"/>
        <c:auto val="1"/>
        <c:lblAlgn val="ctr"/>
        <c:lblOffset val="100"/>
        <c:noMultiLvlLbl val="0"/>
      </c:catAx>
      <c:valAx>
        <c:axId val="59972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208831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12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0</xdr:rowOff>
    </xdr:from>
    <xdr:to>
      <xdr:col>11</xdr:col>
      <xdr:colOff>336550</xdr:colOff>
      <xdr:row>30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32</xdr:row>
      <xdr:rowOff>114300</xdr:rowOff>
    </xdr:from>
    <xdr:to>
      <xdr:col>8</xdr:col>
      <xdr:colOff>1041400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-down"/>
      <sheetName val="Assumptions - Baseline (Стройка"/>
      <sheetName val="Baseline - Avito Стройка"/>
    </sheetNames>
    <sheetDataSet>
      <sheetData sheetId="0"/>
      <sheetData sheetId="1">
        <row r="4">
          <cell r="B4">
            <v>1800000</v>
          </cell>
        </row>
        <row r="5">
          <cell r="B5">
            <v>300000</v>
          </cell>
        </row>
      </sheetData>
      <sheetData sheetId="2">
        <row r="18">
          <cell r="O18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workbookViewId="0"/>
  </sheetViews>
  <sheetFormatPr baseColWidth="10" defaultColWidth="8.83203125" defaultRowHeight="15" x14ac:dyDescent="0.2"/>
  <cols>
    <col min="1" max="1" width="34" customWidth="1"/>
    <col min="2" max="2" width="16" customWidth="1"/>
    <col min="3" max="3" width="12" customWidth="1"/>
    <col min="4" max="4" width="52" customWidth="1"/>
    <col min="5" max="5" width="46" customWidth="1"/>
    <col min="6" max="6" width="14" customWidth="1"/>
  </cols>
  <sheetData>
    <row r="1" spans="1:6" ht="19" x14ac:dyDescent="0.25">
      <c r="A1" s="66" t="s">
        <v>17</v>
      </c>
      <c r="B1" s="67"/>
      <c r="C1" s="67"/>
      <c r="D1" s="67"/>
      <c r="E1" s="67"/>
      <c r="F1" s="67"/>
    </row>
    <row r="3" spans="1:6" ht="16" x14ac:dyDescent="0.2">
      <c r="A3" s="49" t="s">
        <v>18</v>
      </c>
      <c r="B3" s="49" t="s">
        <v>2</v>
      </c>
      <c r="C3" s="49" t="s">
        <v>19</v>
      </c>
      <c r="D3" s="49" t="s">
        <v>20</v>
      </c>
      <c r="E3" s="49" t="s">
        <v>21</v>
      </c>
      <c r="F3" s="49" t="s">
        <v>22</v>
      </c>
    </row>
    <row r="4" spans="1:6" ht="32" x14ac:dyDescent="0.2">
      <c r="A4" s="50" t="s">
        <v>23</v>
      </c>
      <c r="B4" s="51">
        <v>6</v>
      </c>
      <c r="C4" s="52" t="s">
        <v>24</v>
      </c>
      <c r="D4" s="50" t="s">
        <v>25</v>
      </c>
      <c r="E4" s="50" t="s">
        <v>26</v>
      </c>
      <c r="F4" s="52" t="s">
        <v>27</v>
      </c>
    </row>
    <row r="5" spans="1:6" ht="32" x14ac:dyDescent="0.2">
      <c r="A5" s="50" t="s">
        <v>28</v>
      </c>
      <c r="B5" s="53">
        <v>1.3</v>
      </c>
      <c r="C5" s="52" t="s">
        <v>29</v>
      </c>
      <c r="D5" s="50" t="s">
        <v>30</v>
      </c>
      <c r="E5" s="50" t="s">
        <v>31</v>
      </c>
      <c r="F5" s="52" t="s">
        <v>27</v>
      </c>
    </row>
    <row r="6" spans="1:6" ht="32" x14ac:dyDescent="0.2">
      <c r="A6" s="50" t="s">
        <v>32</v>
      </c>
      <c r="B6" s="54">
        <v>0.1</v>
      </c>
      <c r="C6" s="52" t="s">
        <v>33</v>
      </c>
      <c r="D6" s="50" t="s">
        <v>34</v>
      </c>
      <c r="E6" s="50" t="s">
        <v>35</v>
      </c>
      <c r="F6" s="52" t="s">
        <v>36</v>
      </c>
    </row>
    <row r="7" spans="1:6" ht="32" x14ac:dyDescent="0.2">
      <c r="A7" s="50" t="s">
        <v>37</v>
      </c>
      <c r="B7" s="54">
        <v>0.03</v>
      </c>
      <c r="C7" s="52" t="s">
        <v>33</v>
      </c>
      <c r="D7" s="50" t="s">
        <v>38</v>
      </c>
      <c r="E7" s="50" t="s">
        <v>39</v>
      </c>
      <c r="F7" s="52" t="s">
        <v>36</v>
      </c>
    </row>
    <row r="8" spans="1:6" ht="48" x14ac:dyDescent="0.2">
      <c r="A8" s="50" t="s">
        <v>40</v>
      </c>
      <c r="B8" s="54">
        <v>0.08</v>
      </c>
      <c r="C8" s="52" t="s">
        <v>33</v>
      </c>
      <c r="D8" s="50" t="s">
        <v>41</v>
      </c>
      <c r="E8" s="50" t="s">
        <v>42</v>
      </c>
      <c r="F8" s="52" t="s">
        <v>36</v>
      </c>
    </row>
    <row r="9" spans="1:6" ht="32" x14ac:dyDescent="0.2">
      <c r="A9" s="50" t="s">
        <v>43</v>
      </c>
      <c r="B9" s="54">
        <v>0.02</v>
      </c>
      <c r="C9" s="52" t="s">
        <v>33</v>
      </c>
      <c r="D9" s="50" t="s">
        <v>44</v>
      </c>
      <c r="E9" s="50" t="s">
        <v>45</v>
      </c>
      <c r="F9" s="52" t="s">
        <v>36</v>
      </c>
    </row>
    <row r="10" spans="1:6" ht="32" x14ac:dyDescent="0.2">
      <c r="A10" s="50" t="s">
        <v>46</v>
      </c>
      <c r="B10" s="54">
        <v>0.1</v>
      </c>
      <c r="C10" s="52" t="s">
        <v>33</v>
      </c>
      <c r="D10" s="50" t="s">
        <v>47</v>
      </c>
      <c r="E10" s="50" t="s">
        <v>48</v>
      </c>
      <c r="F10" s="52" t="s">
        <v>36</v>
      </c>
    </row>
    <row r="11" spans="1:6" ht="32" x14ac:dyDescent="0.2">
      <c r="A11" s="50" t="s">
        <v>49</v>
      </c>
      <c r="B11" s="54">
        <v>0.85</v>
      </c>
      <c r="C11" s="52" t="s">
        <v>33</v>
      </c>
      <c r="D11" s="50" t="s">
        <v>50</v>
      </c>
      <c r="E11" s="50" t="s">
        <v>51</v>
      </c>
      <c r="F11" s="52" t="s">
        <v>36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workbookViewId="0"/>
  </sheetViews>
  <sheetFormatPr baseColWidth="10" defaultColWidth="8.83203125" defaultRowHeight="15" x14ac:dyDescent="0.2"/>
  <cols>
    <col min="1" max="1" width="22" customWidth="1"/>
    <col min="2" max="3" width="16" customWidth="1"/>
    <col min="4" max="4" width="12" customWidth="1"/>
    <col min="5" max="6" width="10" customWidth="1"/>
    <col min="7" max="7" width="14" customWidth="1"/>
    <col min="8" max="8" width="10" customWidth="1"/>
    <col min="9" max="9" width="14" customWidth="1"/>
    <col min="10" max="10" width="34" customWidth="1"/>
    <col min="11" max="11" width="16" customWidth="1"/>
    <col min="12" max="12" width="14" customWidth="1"/>
    <col min="13" max="13" width="12" customWidth="1"/>
  </cols>
  <sheetData>
    <row r="1" spans="1:13" ht="19" x14ac:dyDescent="0.25">
      <c r="A1" s="66" t="s">
        <v>52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3" x14ac:dyDescent="0.2">
      <c r="L2" s="55" t="s">
        <v>53</v>
      </c>
      <c r="M2" s="56">
        <f>Assumptions_DZ4!B5</f>
        <v>1.3</v>
      </c>
    </row>
    <row r="3" spans="1:13" ht="16" x14ac:dyDescent="0.2">
      <c r="A3" s="49" t="s">
        <v>54</v>
      </c>
      <c r="B3" s="49" t="s">
        <v>55</v>
      </c>
      <c r="C3" s="49" t="s">
        <v>56</v>
      </c>
      <c r="D3" s="49" t="s">
        <v>57</v>
      </c>
      <c r="E3" s="49" t="s">
        <v>58</v>
      </c>
      <c r="F3" s="49" t="s">
        <v>59</v>
      </c>
      <c r="G3" s="49" t="s">
        <v>60</v>
      </c>
      <c r="H3" s="49" t="s">
        <v>61</v>
      </c>
      <c r="I3" s="49" t="s">
        <v>62</v>
      </c>
      <c r="J3" s="49" t="s">
        <v>63</v>
      </c>
      <c r="K3" s="49" t="s">
        <v>64</v>
      </c>
    </row>
    <row r="4" spans="1:13" ht="160" x14ac:dyDescent="0.2">
      <c r="A4" s="50" t="s">
        <v>65</v>
      </c>
      <c r="B4" s="57">
        <v>3600000</v>
      </c>
      <c r="C4" s="58">
        <f t="shared" ref="C4:C13" si="0">B4*$M$2</f>
        <v>4680000</v>
      </c>
      <c r="D4" s="52" t="s">
        <v>66</v>
      </c>
      <c r="E4" s="59">
        <v>1</v>
      </c>
      <c r="F4" s="51">
        <v>6</v>
      </c>
      <c r="G4" s="58">
        <f t="shared" ref="G4:G13" si="1">C4/12*E4*F4</f>
        <v>2340000</v>
      </c>
      <c r="H4" s="59">
        <v>1</v>
      </c>
      <c r="I4" s="58">
        <f t="shared" ref="I4:I13" si="2">C4*H4</f>
        <v>4680000</v>
      </c>
      <c r="J4" s="50" t="s">
        <v>67</v>
      </c>
      <c r="K4" s="50" t="s">
        <v>68</v>
      </c>
    </row>
    <row r="5" spans="1:13" ht="160" x14ac:dyDescent="0.2">
      <c r="A5" s="50" t="s">
        <v>69</v>
      </c>
      <c r="B5" s="57">
        <v>5000000</v>
      </c>
      <c r="C5" s="58">
        <f t="shared" si="0"/>
        <v>6500000</v>
      </c>
      <c r="D5" s="52" t="s">
        <v>66</v>
      </c>
      <c r="E5" s="59">
        <v>0.5</v>
      </c>
      <c r="F5" s="51">
        <v>6</v>
      </c>
      <c r="G5" s="58">
        <f t="shared" si="1"/>
        <v>1625000</v>
      </c>
      <c r="H5" s="59">
        <v>0.3</v>
      </c>
      <c r="I5" s="58">
        <f t="shared" si="2"/>
        <v>1950000</v>
      </c>
      <c r="J5" s="50" t="s">
        <v>70</v>
      </c>
      <c r="K5" s="50" t="s">
        <v>68</v>
      </c>
    </row>
    <row r="6" spans="1:13" ht="160" x14ac:dyDescent="0.2">
      <c r="A6" s="50" t="s">
        <v>71</v>
      </c>
      <c r="B6" s="57">
        <v>4000000</v>
      </c>
      <c r="C6" s="58">
        <f t="shared" si="0"/>
        <v>5200000</v>
      </c>
      <c r="D6" s="52" t="s">
        <v>66</v>
      </c>
      <c r="E6" s="59">
        <v>2</v>
      </c>
      <c r="F6" s="51">
        <v>6</v>
      </c>
      <c r="G6" s="58">
        <f t="shared" si="1"/>
        <v>5200000</v>
      </c>
      <c r="H6" s="59">
        <v>1</v>
      </c>
      <c r="I6" s="58">
        <f t="shared" si="2"/>
        <v>5200000</v>
      </c>
      <c r="J6" s="50" t="s">
        <v>72</v>
      </c>
      <c r="K6" s="50" t="s">
        <v>68</v>
      </c>
    </row>
    <row r="7" spans="1:13" ht="160" x14ac:dyDescent="0.2">
      <c r="A7" s="50" t="s">
        <v>73</v>
      </c>
      <c r="B7" s="57">
        <v>3600000</v>
      </c>
      <c r="C7" s="58">
        <f t="shared" si="0"/>
        <v>4680000</v>
      </c>
      <c r="D7" s="52" t="s">
        <v>66</v>
      </c>
      <c r="E7" s="59">
        <v>1</v>
      </c>
      <c r="F7" s="51">
        <v>6</v>
      </c>
      <c r="G7" s="58">
        <f t="shared" si="1"/>
        <v>2340000</v>
      </c>
      <c r="H7" s="59">
        <v>0.5</v>
      </c>
      <c r="I7" s="58">
        <f t="shared" si="2"/>
        <v>2340000</v>
      </c>
      <c r="J7" s="50" t="s">
        <v>74</v>
      </c>
      <c r="K7" s="50" t="s">
        <v>68</v>
      </c>
    </row>
    <row r="8" spans="1:13" ht="160" x14ac:dyDescent="0.2">
      <c r="A8" s="50" t="s">
        <v>75</v>
      </c>
      <c r="B8" s="57">
        <v>4000000</v>
      </c>
      <c r="C8" s="58">
        <f t="shared" si="0"/>
        <v>5200000</v>
      </c>
      <c r="D8" s="52" t="s">
        <v>66</v>
      </c>
      <c r="E8" s="59">
        <v>1</v>
      </c>
      <c r="F8" s="51">
        <v>6</v>
      </c>
      <c r="G8" s="58">
        <f t="shared" si="1"/>
        <v>2600000</v>
      </c>
      <c r="H8" s="59">
        <v>0.5</v>
      </c>
      <c r="I8" s="58">
        <f t="shared" si="2"/>
        <v>2600000</v>
      </c>
      <c r="J8" s="50" t="s">
        <v>76</v>
      </c>
      <c r="K8" s="50" t="s">
        <v>68</v>
      </c>
    </row>
    <row r="9" spans="1:13" ht="160" x14ac:dyDescent="0.2">
      <c r="A9" s="50" t="s">
        <v>77</v>
      </c>
      <c r="B9" s="57">
        <v>5000000</v>
      </c>
      <c r="C9" s="58">
        <f t="shared" si="0"/>
        <v>6500000</v>
      </c>
      <c r="D9" s="52" t="s">
        <v>66</v>
      </c>
      <c r="E9" s="59">
        <v>0.5</v>
      </c>
      <c r="F9" s="51">
        <v>4</v>
      </c>
      <c r="G9" s="58">
        <f t="shared" si="1"/>
        <v>1083333.3333333333</v>
      </c>
      <c r="H9" s="59">
        <v>0.2</v>
      </c>
      <c r="I9" s="58">
        <f t="shared" si="2"/>
        <v>1300000</v>
      </c>
      <c r="J9" s="50" t="s">
        <v>78</v>
      </c>
      <c r="K9" s="50" t="s">
        <v>68</v>
      </c>
    </row>
    <row r="10" spans="1:13" ht="160" x14ac:dyDescent="0.2">
      <c r="A10" s="50" t="s">
        <v>79</v>
      </c>
      <c r="B10" s="57">
        <v>2400000</v>
      </c>
      <c r="C10" s="58">
        <f t="shared" si="0"/>
        <v>3120000</v>
      </c>
      <c r="D10" s="52" t="s">
        <v>66</v>
      </c>
      <c r="E10" s="59">
        <v>1</v>
      </c>
      <c r="F10" s="51">
        <v>6</v>
      </c>
      <c r="G10" s="58">
        <f t="shared" si="1"/>
        <v>1560000</v>
      </c>
      <c r="H10" s="59">
        <v>0.5</v>
      </c>
      <c r="I10" s="58">
        <f t="shared" si="2"/>
        <v>1560000</v>
      </c>
      <c r="J10" s="50" t="s">
        <v>80</v>
      </c>
      <c r="K10" s="50" t="s">
        <v>68</v>
      </c>
    </row>
    <row r="11" spans="1:13" ht="160" x14ac:dyDescent="0.2">
      <c r="A11" s="50" t="s">
        <v>81</v>
      </c>
      <c r="B11" s="57">
        <v>3000000</v>
      </c>
      <c r="C11" s="58">
        <f t="shared" si="0"/>
        <v>3900000</v>
      </c>
      <c r="D11" s="52" t="s">
        <v>66</v>
      </c>
      <c r="E11" s="59">
        <v>0.5</v>
      </c>
      <c r="F11" s="51">
        <v>6</v>
      </c>
      <c r="G11" s="58">
        <f t="shared" si="1"/>
        <v>975000</v>
      </c>
      <c r="H11" s="59">
        <v>0.5</v>
      </c>
      <c r="I11" s="58">
        <f t="shared" si="2"/>
        <v>1950000</v>
      </c>
      <c r="J11" s="50" t="s">
        <v>82</v>
      </c>
      <c r="K11" s="50" t="s">
        <v>68</v>
      </c>
    </row>
    <row r="12" spans="1:13" ht="160" x14ac:dyDescent="0.2">
      <c r="A12" s="50" t="s">
        <v>83</v>
      </c>
      <c r="B12" s="57">
        <v>2400000</v>
      </c>
      <c r="C12" s="58">
        <f t="shared" si="0"/>
        <v>3120000</v>
      </c>
      <c r="D12" s="52" t="s">
        <v>66</v>
      </c>
      <c r="E12" s="59">
        <v>0.5</v>
      </c>
      <c r="F12" s="51">
        <v>4</v>
      </c>
      <c r="G12" s="58">
        <f t="shared" si="1"/>
        <v>520000</v>
      </c>
      <c r="H12" s="59">
        <v>0.2</v>
      </c>
      <c r="I12" s="58">
        <f t="shared" si="2"/>
        <v>624000</v>
      </c>
      <c r="J12" s="50" t="s">
        <v>84</v>
      </c>
      <c r="K12" s="50" t="s">
        <v>68</v>
      </c>
    </row>
    <row r="13" spans="1:13" ht="160" x14ac:dyDescent="0.2">
      <c r="A13" s="50" t="s">
        <v>85</v>
      </c>
      <c r="B13" s="57">
        <v>2400000</v>
      </c>
      <c r="C13" s="58">
        <f t="shared" si="0"/>
        <v>3120000</v>
      </c>
      <c r="D13" s="52" t="s">
        <v>86</v>
      </c>
      <c r="E13" s="59">
        <v>0.2</v>
      </c>
      <c r="F13" s="51">
        <v>2</v>
      </c>
      <c r="G13" s="58">
        <f t="shared" si="1"/>
        <v>104000</v>
      </c>
      <c r="H13" s="59">
        <v>1</v>
      </c>
      <c r="I13" s="58">
        <f t="shared" si="2"/>
        <v>3120000</v>
      </c>
      <c r="J13" s="50" t="s">
        <v>87</v>
      </c>
      <c r="K13" s="50" t="s">
        <v>68</v>
      </c>
    </row>
    <row r="15" spans="1:13" ht="16" x14ac:dyDescent="0.2">
      <c r="A15" s="60" t="s">
        <v>88</v>
      </c>
      <c r="B15" s="61"/>
      <c r="C15" s="61"/>
      <c r="D15" s="61"/>
      <c r="E15" s="61"/>
      <c r="F15" s="61"/>
      <c r="G15" s="58">
        <f>SUM(G4:G13)</f>
        <v>18347333.333333336</v>
      </c>
      <c r="H15" s="61"/>
      <c r="I15" s="58">
        <f>SUM(I4:I13)</f>
        <v>25324000</v>
      </c>
      <c r="J15" s="61"/>
      <c r="K15" s="61"/>
    </row>
    <row r="18" spans="1:5" ht="16" x14ac:dyDescent="0.2">
      <c r="A18" s="62" t="s">
        <v>89</v>
      </c>
    </row>
    <row r="19" spans="1:5" ht="16" x14ac:dyDescent="0.2">
      <c r="A19" s="49" t="s">
        <v>90</v>
      </c>
      <c r="B19" s="49" t="s">
        <v>59</v>
      </c>
      <c r="C19" s="49" t="s">
        <v>91</v>
      </c>
      <c r="D19" s="49" t="s">
        <v>92</v>
      </c>
      <c r="E19" s="49" t="s">
        <v>93</v>
      </c>
    </row>
    <row r="20" spans="1:5" ht="80" x14ac:dyDescent="0.2">
      <c r="A20" s="50" t="s">
        <v>94</v>
      </c>
      <c r="B20" s="52">
        <v>1</v>
      </c>
      <c r="C20" s="50" t="s">
        <v>95</v>
      </c>
      <c r="D20" s="50" t="s">
        <v>96</v>
      </c>
      <c r="E20" s="50" t="s">
        <v>97</v>
      </c>
    </row>
    <row r="21" spans="1:5" ht="96" x14ac:dyDescent="0.2">
      <c r="A21" s="50" t="s">
        <v>98</v>
      </c>
      <c r="B21" s="52">
        <v>3</v>
      </c>
      <c r="C21" s="50" t="s">
        <v>99</v>
      </c>
      <c r="D21" s="50" t="s">
        <v>100</v>
      </c>
      <c r="E21" s="50" t="s">
        <v>101</v>
      </c>
    </row>
    <row r="22" spans="1:5" ht="64" x14ac:dyDescent="0.2">
      <c r="A22" s="50" t="s">
        <v>102</v>
      </c>
      <c r="B22" s="52">
        <v>1</v>
      </c>
      <c r="C22" s="50" t="s">
        <v>103</v>
      </c>
      <c r="D22" s="50" t="s">
        <v>104</v>
      </c>
      <c r="E22" s="50" t="s">
        <v>105</v>
      </c>
    </row>
    <row r="23" spans="1:5" ht="48" x14ac:dyDescent="0.2">
      <c r="A23" s="50" t="s">
        <v>106</v>
      </c>
      <c r="B23" s="52">
        <v>1</v>
      </c>
      <c r="C23" s="50" t="s">
        <v>107</v>
      </c>
      <c r="D23" s="50" t="s">
        <v>108</v>
      </c>
      <c r="E23" s="50" t="s">
        <v>109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baseColWidth="10" defaultColWidth="8.83203125" defaultRowHeight="15" x14ac:dyDescent="0.2"/>
  <cols>
    <col min="1" max="1" width="28" customWidth="1"/>
    <col min="2" max="6" width="16" customWidth="1"/>
    <col min="7" max="7" width="34" customWidth="1"/>
  </cols>
  <sheetData>
    <row r="1" spans="1:7" ht="19" x14ac:dyDescent="0.25">
      <c r="A1" s="66" t="s">
        <v>110</v>
      </c>
      <c r="B1" s="67"/>
      <c r="C1" s="67"/>
      <c r="D1" s="67"/>
      <c r="E1" s="67"/>
      <c r="F1" s="67"/>
      <c r="G1" s="67"/>
    </row>
    <row r="3" spans="1:7" ht="16" x14ac:dyDescent="0.2">
      <c r="A3" s="49" t="s">
        <v>111</v>
      </c>
      <c r="B3" s="49" t="s">
        <v>112</v>
      </c>
      <c r="C3" s="49" t="s">
        <v>113</v>
      </c>
      <c r="D3" s="49" t="s">
        <v>114</v>
      </c>
      <c r="E3" s="49" t="s">
        <v>115</v>
      </c>
      <c r="F3" s="49" t="s">
        <v>116</v>
      </c>
      <c r="G3" s="49" t="s">
        <v>117</v>
      </c>
    </row>
    <row r="4" spans="1:7" ht="16" x14ac:dyDescent="0.2">
      <c r="A4" s="50" t="s">
        <v>118</v>
      </c>
      <c r="B4" s="58">
        <f>'Baseline - Avito Стройка'!O25</f>
        <v>712313333.33333313</v>
      </c>
      <c r="C4" s="58">
        <f>'Baseline - Avito Стройка'!P25</f>
        <v>807763320.00000036</v>
      </c>
      <c r="D4" s="58">
        <f>'Baseline - Avito Стройка'!Q25</f>
        <v>916003604.88000035</v>
      </c>
      <c r="E4" s="58">
        <f>'Baseline - Avito Стройка'!R25</f>
        <v>1038748087.9339204</v>
      </c>
      <c r="F4" s="58">
        <f>'Baseline - Avito Стройка'!S25</f>
        <v>1177940331.7170658</v>
      </c>
      <c r="G4" s="50" t="s">
        <v>119</v>
      </c>
    </row>
    <row r="5" spans="1:7" ht="16" x14ac:dyDescent="0.2">
      <c r="A5" s="50" t="s">
        <v>120</v>
      </c>
      <c r="B5" s="58">
        <f>'Team &amp; TtM'!G15+'Team &amp; TtM'!I15*0.5</f>
        <v>31009333.333333336</v>
      </c>
      <c r="C5" s="58">
        <f>'Team &amp; TtM'!I15</f>
        <v>25324000</v>
      </c>
      <c r="D5" s="58">
        <f>'Team &amp; TtM'!I15*(1+Assumptions_DZ4!B10)</f>
        <v>27856400.000000004</v>
      </c>
      <c r="E5" s="58">
        <f>'Team &amp; TtM'!I15*(1+Assumptions_DZ4!B10)^2</f>
        <v>30642040.000000004</v>
      </c>
      <c r="F5" s="58">
        <f>'Team &amp; TtM'!I15*(1+Assumptions_DZ4!B10)^3</f>
        <v>33706244.000000007</v>
      </c>
      <c r="G5" s="50" t="s">
        <v>121</v>
      </c>
    </row>
    <row r="6" spans="1:7" ht="16" x14ac:dyDescent="0.2">
      <c r="A6" s="50" t="s">
        <v>122</v>
      </c>
      <c r="B6" s="58">
        <f>B5*Assumptions_DZ4!B6</f>
        <v>3100933.333333334</v>
      </c>
      <c r="C6" s="58">
        <f>C5*Assumptions_DZ4!B6</f>
        <v>2532400</v>
      </c>
      <c r="D6" s="58">
        <f>D5*Assumptions_DZ4!B6</f>
        <v>2785640.0000000005</v>
      </c>
      <c r="E6" s="58">
        <f>E5*Assumptions_DZ4!B6</f>
        <v>3064204.0000000005</v>
      </c>
      <c r="F6" s="58">
        <f>F5*Assumptions_DZ4!B6</f>
        <v>3370624.4000000008</v>
      </c>
      <c r="G6" s="50" t="s">
        <v>123</v>
      </c>
    </row>
    <row r="7" spans="1:7" ht="16" x14ac:dyDescent="0.2">
      <c r="A7" s="50" t="s">
        <v>124</v>
      </c>
      <c r="B7" s="58">
        <f>B4*Assumptions_DZ4!B7</f>
        <v>21369399.999999993</v>
      </c>
      <c r="C7" s="58">
        <f>C4*Assumptions_DZ4!B7</f>
        <v>24232899.600000009</v>
      </c>
      <c r="D7" s="58">
        <f>D4*Assumptions_DZ4!B7</f>
        <v>27480108.146400008</v>
      </c>
      <c r="E7" s="58">
        <f>E4*Assumptions_DZ4!B7</f>
        <v>31162442.63801761</v>
      </c>
      <c r="F7" s="58">
        <f>F4*Assumptions_DZ4!B7</f>
        <v>35338209.951511972</v>
      </c>
      <c r="G7" s="50" t="s">
        <v>125</v>
      </c>
    </row>
    <row r="8" spans="1:7" ht="16" x14ac:dyDescent="0.2">
      <c r="A8" s="50" t="s">
        <v>126</v>
      </c>
      <c r="B8" s="58">
        <f>B4*Assumptions_DZ4!B8</f>
        <v>56985066.666666649</v>
      </c>
      <c r="C8" s="58">
        <f>C4*Assumptions_DZ4!B8</f>
        <v>64621065.600000031</v>
      </c>
      <c r="D8" s="58">
        <f>D4*Assumptions_DZ4!B8</f>
        <v>73280288.390400037</v>
      </c>
      <c r="E8" s="58">
        <f>E4*Assumptions_DZ4!B8</f>
        <v>83099847.034713626</v>
      </c>
      <c r="F8" s="58">
        <f>F4*Assumptions_DZ4!B8</f>
        <v>94235226.537365273</v>
      </c>
      <c r="G8" s="50" t="s">
        <v>127</v>
      </c>
    </row>
    <row r="9" spans="1:7" ht="16" x14ac:dyDescent="0.2">
      <c r="A9" s="50" t="s">
        <v>128</v>
      </c>
      <c r="B9" s="58">
        <f>B4*Assumptions_DZ4!B9</f>
        <v>14246266.666666662</v>
      </c>
      <c r="C9" s="58">
        <f>C4*Assumptions_DZ4!B9</f>
        <v>16155266.400000008</v>
      </c>
      <c r="D9" s="58">
        <f>D4*Assumptions_DZ4!B9</f>
        <v>18320072.097600009</v>
      </c>
      <c r="E9" s="58">
        <f>E4*Assumptions_DZ4!B9</f>
        <v>20774961.758678406</v>
      </c>
      <c r="F9" s="58">
        <f>F4*Assumptions_DZ4!B9</f>
        <v>23558806.634341318</v>
      </c>
      <c r="G9" s="50" t="s">
        <v>125</v>
      </c>
    </row>
    <row r="10" spans="1:7" ht="16" x14ac:dyDescent="0.2">
      <c r="A10" s="50" t="s">
        <v>129</v>
      </c>
      <c r="B10" s="58">
        <f>SUM(B5:B9)</f>
        <v>126710999.99999997</v>
      </c>
      <c r="C10" s="58">
        <f>SUM(C5:C9)</f>
        <v>132865631.60000005</v>
      </c>
      <c r="D10" s="58">
        <f>SUM(D5:D9)</f>
        <v>149722508.63440007</v>
      </c>
      <c r="E10" s="58">
        <f>SUM(E5:E9)</f>
        <v>168743495.43140966</v>
      </c>
      <c r="F10" s="58">
        <f>SUM(F5:F9)</f>
        <v>190209111.5232186</v>
      </c>
      <c r="G10" s="50" t="s">
        <v>130</v>
      </c>
    </row>
    <row r="11" spans="1:7" ht="16" x14ac:dyDescent="0.2">
      <c r="A11" s="63" t="s">
        <v>131</v>
      </c>
      <c r="B11" s="64">
        <f>B4-B10</f>
        <v>585602333.33333313</v>
      </c>
      <c r="C11" s="64">
        <f>C4-C10</f>
        <v>674897688.40000033</v>
      </c>
      <c r="D11" s="64">
        <f>D4-D10</f>
        <v>766281096.24560022</v>
      </c>
      <c r="E11" s="64">
        <f>E4-E10</f>
        <v>870004592.50251079</v>
      </c>
      <c r="F11" s="64">
        <f>F4-F10</f>
        <v>987731220.19384718</v>
      </c>
      <c r="G11" s="60" t="s">
        <v>132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/>
  </sheetViews>
  <sheetFormatPr baseColWidth="10" defaultColWidth="8.83203125" defaultRowHeight="15" x14ac:dyDescent="0.2"/>
  <cols>
    <col min="1" max="1" width="30" customWidth="1"/>
    <col min="2" max="6" width="16" customWidth="1"/>
    <col min="7" max="7" width="34" customWidth="1"/>
  </cols>
  <sheetData>
    <row r="1" spans="1:7" ht="19" x14ac:dyDescent="0.25">
      <c r="A1" s="66" t="s">
        <v>133</v>
      </c>
      <c r="B1" s="67"/>
      <c r="C1" s="67"/>
      <c r="D1" s="67"/>
      <c r="E1" s="67"/>
      <c r="F1" s="67"/>
      <c r="G1" s="67"/>
    </row>
    <row r="3" spans="1:7" ht="16" x14ac:dyDescent="0.2">
      <c r="A3" s="49" t="s">
        <v>111</v>
      </c>
      <c r="B3" s="49" t="s">
        <v>112</v>
      </c>
      <c r="C3" s="49" t="s">
        <v>113</v>
      </c>
      <c r="D3" s="49" t="s">
        <v>114</v>
      </c>
      <c r="E3" s="49" t="s">
        <v>115</v>
      </c>
      <c r="F3" s="49" t="s">
        <v>116</v>
      </c>
      <c r="G3" s="49" t="s">
        <v>117</v>
      </c>
    </row>
    <row r="4" spans="1:7" ht="16" x14ac:dyDescent="0.2">
      <c r="A4" s="50" t="s">
        <v>134</v>
      </c>
      <c r="B4" s="58">
        <f>PnL!B4</f>
        <v>712313333.33333313</v>
      </c>
      <c r="C4" s="58">
        <f>PnL!C4</f>
        <v>807763320.00000036</v>
      </c>
      <c r="D4" s="58">
        <f>PnL!D4</f>
        <v>916003604.88000035</v>
      </c>
      <c r="E4" s="58">
        <f>PnL!E4</f>
        <v>1038748087.9339204</v>
      </c>
      <c r="F4" s="58">
        <f>PnL!F4</f>
        <v>1177940331.7170658</v>
      </c>
      <c r="G4" s="50" t="s">
        <v>135</v>
      </c>
    </row>
    <row r="5" spans="1:7" ht="16" x14ac:dyDescent="0.2">
      <c r="A5" s="50" t="s">
        <v>136</v>
      </c>
      <c r="B5" s="58">
        <f>PnL!B5</f>
        <v>31009333.333333336</v>
      </c>
      <c r="C5" s="58">
        <f>PnL!C5</f>
        <v>25324000</v>
      </c>
      <c r="D5" s="58">
        <f>PnL!D5</f>
        <v>27856400.000000004</v>
      </c>
      <c r="E5" s="58">
        <f>PnL!E5</f>
        <v>30642040.000000004</v>
      </c>
      <c r="F5" s="58">
        <f>PnL!F5</f>
        <v>33706244.000000007</v>
      </c>
      <c r="G5" s="50"/>
    </row>
    <row r="6" spans="1:7" ht="16" x14ac:dyDescent="0.2">
      <c r="A6" s="50" t="s">
        <v>137</v>
      </c>
      <c r="B6" s="58">
        <f>PnL!B6</f>
        <v>3100933.333333334</v>
      </c>
      <c r="C6" s="58">
        <f>PnL!C6</f>
        <v>2532400</v>
      </c>
      <c r="D6" s="58">
        <f>PnL!D6</f>
        <v>2785640.0000000005</v>
      </c>
      <c r="E6" s="58">
        <f>PnL!E6</f>
        <v>3064204.0000000005</v>
      </c>
      <c r="F6" s="58">
        <f>PnL!F6</f>
        <v>3370624.4000000008</v>
      </c>
      <c r="G6" s="50"/>
    </row>
    <row r="7" spans="1:7" ht="16" x14ac:dyDescent="0.2">
      <c r="A7" s="50" t="s">
        <v>138</v>
      </c>
      <c r="B7" s="58">
        <f>PnL!B7</f>
        <v>21369399.999999993</v>
      </c>
      <c r="C7" s="58">
        <f>PnL!C7</f>
        <v>24232899.600000009</v>
      </c>
      <c r="D7" s="58">
        <f>PnL!D7</f>
        <v>27480108.146400008</v>
      </c>
      <c r="E7" s="58">
        <f>PnL!E7</f>
        <v>31162442.63801761</v>
      </c>
      <c r="F7" s="58">
        <f>PnL!F7</f>
        <v>35338209.951511972</v>
      </c>
      <c r="G7" s="50"/>
    </row>
    <row r="8" spans="1:7" ht="16" x14ac:dyDescent="0.2">
      <c r="A8" s="50" t="s">
        <v>139</v>
      </c>
      <c r="B8" s="58">
        <f>PnL!B8</f>
        <v>56985066.666666649</v>
      </c>
      <c r="C8" s="58">
        <f>PnL!C8</f>
        <v>64621065.600000031</v>
      </c>
      <c r="D8" s="58">
        <f>PnL!D8</f>
        <v>73280288.390400037</v>
      </c>
      <c r="E8" s="58">
        <f>PnL!E8</f>
        <v>83099847.034713626</v>
      </c>
      <c r="F8" s="58">
        <f>PnL!F8</f>
        <v>94235226.537365273</v>
      </c>
      <c r="G8" s="50"/>
    </row>
    <row r="9" spans="1:7" ht="16" x14ac:dyDescent="0.2">
      <c r="A9" s="50" t="s">
        <v>140</v>
      </c>
      <c r="B9" s="58">
        <f>PnL!B9</f>
        <v>14246266.666666662</v>
      </c>
      <c r="C9" s="58">
        <f>PnL!C9</f>
        <v>16155266.400000008</v>
      </c>
      <c r="D9" s="58">
        <f>PnL!D9</f>
        <v>18320072.097600009</v>
      </c>
      <c r="E9" s="58">
        <f>PnL!E9</f>
        <v>20774961.758678406</v>
      </c>
      <c r="F9" s="58">
        <f>PnL!F9</f>
        <v>23558806.634341318</v>
      </c>
      <c r="G9" s="50"/>
    </row>
    <row r="10" spans="1:7" ht="16" x14ac:dyDescent="0.2">
      <c r="A10" s="63" t="s">
        <v>141</v>
      </c>
      <c r="B10" s="64">
        <f>B4-SUM(B5:B9)</f>
        <v>585602333.33333313</v>
      </c>
      <c r="C10" s="64">
        <f>C4-SUM(C5:C9)</f>
        <v>674897688.40000033</v>
      </c>
      <c r="D10" s="64">
        <f>D4-SUM(D5:D9)</f>
        <v>766281096.24560022</v>
      </c>
      <c r="E10" s="64">
        <f>E4-SUM(E5:E9)</f>
        <v>870004592.50251079</v>
      </c>
      <c r="F10" s="64">
        <f>F4-SUM(F5:F9)</f>
        <v>987731220.19384718</v>
      </c>
      <c r="G10" s="50" t="s">
        <v>142</v>
      </c>
    </row>
    <row r="11" spans="1:7" ht="16" x14ac:dyDescent="0.2">
      <c r="A11" s="63" t="s">
        <v>143</v>
      </c>
      <c r="B11" s="64">
        <f>B10</f>
        <v>585602333.33333313</v>
      </c>
      <c r="C11" s="64">
        <f>B11+C10</f>
        <v>1260500021.7333336</v>
      </c>
      <c r="D11" s="64">
        <f>B12+D10</f>
        <v>766281096.24560022</v>
      </c>
      <c r="E11" s="64">
        <f>B13+E10</f>
        <v>870004592.50251079</v>
      </c>
      <c r="F11" s="64">
        <f>B14+F10</f>
        <v>987731220.19384718</v>
      </c>
      <c r="G11" s="50" t="s">
        <v>144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tabSelected="1" workbookViewId="0">
      <selection sqref="A1:C1"/>
    </sheetView>
  </sheetViews>
  <sheetFormatPr baseColWidth="10" defaultColWidth="8.83203125" defaultRowHeight="15" x14ac:dyDescent="0.2"/>
  <cols>
    <col min="1" max="1" width="44" customWidth="1"/>
    <col min="2" max="2" width="22" customWidth="1"/>
    <col min="3" max="3" width="56" customWidth="1"/>
  </cols>
  <sheetData>
    <row r="1" spans="1:3" ht="19" x14ac:dyDescent="0.25">
      <c r="A1" s="66" t="s">
        <v>0</v>
      </c>
      <c r="B1" s="67"/>
      <c r="C1" s="67"/>
    </row>
    <row r="3" spans="1:3" ht="16" x14ac:dyDescent="0.2">
      <c r="A3" s="49" t="s">
        <v>1</v>
      </c>
      <c r="B3" s="49" t="s">
        <v>2</v>
      </c>
      <c r="C3" s="49" t="s">
        <v>3</v>
      </c>
    </row>
    <row r="4" spans="1:3" ht="16" x14ac:dyDescent="0.2">
      <c r="A4" s="50" t="s">
        <v>4</v>
      </c>
      <c r="B4" s="65">
        <f>PnL!B11/(PnL!B4-PnL!B10)</f>
        <v>1</v>
      </c>
      <c r="C4" s="50" t="s">
        <v>5</v>
      </c>
    </row>
    <row r="5" spans="1:3" ht="16" x14ac:dyDescent="0.2">
      <c r="A5" s="50" t="s">
        <v>6</v>
      </c>
      <c r="B5" s="65">
        <f>CashFlow!B10/PnL!B11</f>
        <v>1</v>
      </c>
      <c r="C5" s="50" t="s">
        <v>7</v>
      </c>
    </row>
    <row r="6" spans="1:3" ht="32" x14ac:dyDescent="0.2">
      <c r="A6" s="50" t="s">
        <v>8</v>
      </c>
      <c r="B6" s="65" t="s">
        <v>9</v>
      </c>
      <c r="C6" s="50" t="s">
        <v>10</v>
      </c>
    </row>
    <row r="7" spans="1:3" ht="16" x14ac:dyDescent="0.2">
      <c r="A7" s="50" t="s">
        <v>11</v>
      </c>
      <c r="B7" s="65">
        <f>PnL!B5/('Team &amp; TtM'!G15)</f>
        <v>1.6901275389702408</v>
      </c>
      <c r="C7" s="50" t="s">
        <v>12</v>
      </c>
    </row>
    <row r="8" spans="1:3" ht="16" x14ac:dyDescent="0.2">
      <c r="A8" s="50" t="s">
        <v>13</v>
      </c>
      <c r="B8" s="65">
        <f>'Монетизация и юнит'!C17</f>
        <v>13888.888888888889</v>
      </c>
      <c r="C8" s="50" t="s">
        <v>14</v>
      </c>
    </row>
    <row r="9" spans="1:3" ht="16" x14ac:dyDescent="0.2">
      <c r="A9" s="50" t="s">
        <v>15</v>
      </c>
      <c r="B9" s="65">
        <f>'Монетизация и юнит'!C18</f>
        <v>11805.555555555555</v>
      </c>
      <c r="C9" s="50" t="s">
        <v>16</v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selection sqref="A1:D1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14" customWidth="1"/>
    <col min="4" max="4" width="56" customWidth="1"/>
    <col min="6" max="6" width="26" customWidth="1"/>
    <col min="7" max="9" width="18" customWidth="1"/>
  </cols>
  <sheetData>
    <row r="1" spans="1:9" ht="19" customHeight="1" x14ac:dyDescent="0.25">
      <c r="A1" s="68" t="s">
        <v>145</v>
      </c>
      <c r="B1" s="67"/>
      <c r="C1" s="67"/>
      <c r="D1" s="67"/>
    </row>
    <row r="3" spans="1:9" x14ac:dyDescent="0.2">
      <c r="A3" s="69" t="s">
        <v>146</v>
      </c>
      <c r="B3" s="67"/>
      <c r="C3" s="67"/>
      <c r="D3" s="67"/>
      <c r="F3" s="69" t="s">
        <v>147</v>
      </c>
      <c r="G3" s="67"/>
      <c r="H3" s="67"/>
      <c r="I3" s="67"/>
    </row>
    <row r="4" spans="1:9" ht="16" customHeight="1" x14ac:dyDescent="0.2">
      <c r="A4" s="40" t="s">
        <v>148</v>
      </c>
      <c r="B4" s="40" t="s">
        <v>149</v>
      </c>
      <c r="C4" s="40" t="s">
        <v>150</v>
      </c>
      <c r="D4" s="40" t="s">
        <v>151</v>
      </c>
      <c r="F4" s="40" t="s">
        <v>152</v>
      </c>
      <c r="G4" s="40" t="s">
        <v>153</v>
      </c>
      <c r="H4" s="40" t="s">
        <v>154</v>
      </c>
      <c r="I4" s="40" t="s">
        <v>155</v>
      </c>
    </row>
    <row r="5" spans="1:9" ht="32" customHeight="1" x14ac:dyDescent="0.2">
      <c r="A5" s="41" t="s">
        <v>156</v>
      </c>
      <c r="B5" s="42">
        <f>'Assumptions - Baseline (Стройка'!B12</f>
        <v>2500</v>
      </c>
      <c r="C5" s="43" t="s">
        <v>157</v>
      </c>
      <c r="D5" s="41" t="s">
        <v>158</v>
      </c>
    </row>
    <row r="6" spans="1:9" ht="32" customHeight="1" x14ac:dyDescent="0.2">
      <c r="A6" s="41" t="s">
        <v>159</v>
      </c>
      <c r="B6" s="44">
        <f>'Assumptions - Baseline (Стройка'!B11</f>
        <v>0.1</v>
      </c>
      <c r="C6" s="43" t="s">
        <v>33</v>
      </c>
      <c r="D6" s="41" t="s">
        <v>160</v>
      </c>
    </row>
    <row r="7" spans="1:9" ht="16" customHeight="1" x14ac:dyDescent="0.2">
      <c r="A7" s="41" t="s">
        <v>161</v>
      </c>
      <c r="B7" s="42">
        <f>'Assumptions - Baseline (Стройка'!B16</f>
        <v>2083.3333333333335</v>
      </c>
      <c r="C7" s="43" t="s">
        <v>162</v>
      </c>
      <c r="D7" s="41" t="s">
        <v>163</v>
      </c>
    </row>
    <row r="8" spans="1:9" ht="16" customHeight="1" x14ac:dyDescent="0.2">
      <c r="A8" s="41" t="s">
        <v>164</v>
      </c>
      <c r="B8" s="44">
        <v>0.85</v>
      </c>
      <c r="C8" s="43" t="s">
        <v>33</v>
      </c>
      <c r="D8" s="41" t="s">
        <v>165</v>
      </c>
    </row>
    <row r="9" spans="1:9" ht="16" customHeight="1" x14ac:dyDescent="0.2">
      <c r="A9" s="41" t="s">
        <v>166</v>
      </c>
      <c r="B9" s="44">
        <v>0.85</v>
      </c>
      <c r="C9" s="43" t="s">
        <v>33</v>
      </c>
      <c r="D9" s="41" t="s">
        <v>167</v>
      </c>
      <c r="F9" s="45">
        <v>0.7</v>
      </c>
      <c r="G9" s="45">
        <f t="shared" ref="G9:G15" si="0">1-F9</f>
        <v>0.30000000000000004</v>
      </c>
      <c r="H9" s="46">
        <f t="shared" ref="H9:H15" si="1">$B$7*$B$8/G9</f>
        <v>5902.7777777777774</v>
      </c>
      <c r="I9" s="47">
        <f t="shared" ref="I9:I15" si="2">H9/$B$10</f>
        <v>1.4756944444444444</v>
      </c>
    </row>
    <row r="10" spans="1:9" ht="16" customHeight="1" x14ac:dyDescent="0.2">
      <c r="A10" s="41" t="s">
        <v>168</v>
      </c>
      <c r="B10" s="42">
        <v>4000</v>
      </c>
      <c r="C10" s="43" t="s">
        <v>169</v>
      </c>
      <c r="D10" s="41" t="s">
        <v>170</v>
      </c>
      <c r="F10" s="45">
        <v>0.75</v>
      </c>
      <c r="G10" s="45">
        <f t="shared" si="0"/>
        <v>0.25</v>
      </c>
      <c r="H10" s="46">
        <f t="shared" si="1"/>
        <v>7083.3333333333339</v>
      </c>
      <c r="I10" s="47">
        <f t="shared" si="2"/>
        <v>1.7708333333333335</v>
      </c>
    </row>
    <row r="11" spans="1:9" ht="16" customHeight="1" x14ac:dyDescent="0.2">
      <c r="F11" s="45">
        <v>0.8</v>
      </c>
      <c r="G11" s="45">
        <f t="shared" si="0"/>
        <v>0.19999999999999996</v>
      </c>
      <c r="H11" s="46">
        <f t="shared" si="1"/>
        <v>8854.1666666666697</v>
      </c>
      <c r="I11" s="47">
        <f t="shared" si="2"/>
        <v>2.2135416666666674</v>
      </c>
    </row>
    <row r="12" spans="1:9" ht="16" customHeight="1" x14ac:dyDescent="0.2">
      <c r="F12" s="45">
        <v>0.85</v>
      </c>
      <c r="G12" s="45">
        <f t="shared" si="0"/>
        <v>0.15000000000000002</v>
      </c>
      <c r="H12" s="46">
        <f t="shared" si="1"/>
        <v>11805.555555555555</v>
      </c>
      <c r="I12" s="47">
        <f t="shared" si="2"/>
        <v>2.9513888888888888</v>
      </c>
    </row>
    <row r="13" spans="1:9" ht="16" customHeight="1" x14ac:dyDescent="0.2">
      <c r="A13" s="69" t="s">
        <v>171</v>
      </c>
      <c r="B13" s="67"/>
      <c r="C13" s="67"/>
      <c r="D13" s="67"/>
      <c r="F13" s="45">
        <v>0.9</v>
      </c>
      <c r="G13" s="45">
        <f t="shared" si="0"/>
        <v>9.9999999999999978E-2</v>
      </c>
      <c r="H13" s="46">
        <f t="shared" si="1"/>
        <v>17708.333333333339</v>
      </c>
      <c r="I13" s="47">
        <f t="shared" si="2"/>
        <v>4.4270833333333348</v>
      </c>
    </row>
    <row r="14" spans="1:9" ht="16" customHeight="1" x14ac:dyDescent="0.2">
      <c r="A14" s="40" t="s">
        <v>172</v>
      </c>
      <c r="B14" s="40" t="s">
        <v>173</v>
      </c>
      <c r="C14" s="40" t="s">
        <v>149</v>
      </c>
      <c r="D14" s="40" t="s">
        <v>174</v>
      </c>
      <c r="F14" s="45">
        <v>0.92</v>
      </c>
      <c r="G14" s="45">
        <f t="shared" si="0"/>
        <v>7.999999999999996E-2</v>
      </c>
      <c r="H14" s="46">
        <f t="shared" si="1"/>
        <v>22135.416666666679</v>
      </c>
      <c r="I14" s="47">
        <f t="shared" si="2"/>
        <v>5.5338541666666696</v>
      </c>
    </row>
    <row r="15" spans="1:9" ht="16" customHeight="1" x14ac:dyDescent="0.2">
      <c r="A15" s="41" t="s">
        <v>175</v>
      </c>
      <c r="B15" s="41">
        <f>1-$B$9</f>
        <v>0.15000000000000002</v>
      </c>
      <c r="C15" s="45">
        <f>1-$B$9</f>
        <v>0.15000000000000002</v>
      </c>
      <c r="D15" s="41" t="s">
        <v>176</v>
      </c>
      <c r="F15" s="45">
        <v>0.95</v>
      </c>
      <c r="G15" s="45">
        <f t="shared" si="0"/>
        <v>5.0000000000000044E-2</v>
      </c>
      <c r="H15" s="46">
        <f t="shared" si="1"/>
        <v>35416.666666666635</v>
      </c>
      <c r="I15" s="47">
        <f t="shared" si="2"/>
        <v>8.854166666666659</v>
      </c>
    </row>
    <row r="16" spans="1:9" ht="16" customHeight="1" x14ac:dyDescent="0.2">
      <c r="A16" s="41" t="s">
        <v>177</v>
      </c>
      <c r="B16" s="41">
        <f>1/(1-$B$9)</f>
        <v>6.6666666666666661</v>
      </c>
      <c r="C16" s="48">
        <f>1/(1-$B$9)</f>
        <v>6.6666666666666661</v>
      </c>
      <c r="D16" s="41" t="s">
        <v>178</v>
      </c>
    </row>
    <row r="17" spans="1:4" ht="16" customHeight="1" x14ac:dyDescent="0.2">
      <c r="A17" s="41" t="s">
        <v>179</v>
      </c>
      <c r="B17" s="41">
        <f>$B$7*1/(1-$B$9)</f>
        <v>13888.888888888889</v>
      </c>
      <c r="C17" s="46">
        <f>$B$7*1/(1-$B$9)</f>
        <v>13888.888888888889</v>
      </c>
      <c r="D17" s="41" t="s">
        <v>180</v>
      </c>
    </row>
    <row r="18" spans="1:4" ht="16" customHeight="1" x14ac:dyDescent="0.2">
      <c r="A18" s="41" t="s">
        <v>154</v>
      </c>
      <c r="B18" s="41">
        <f>$B$7*$B$8/(1-$B$9)</f>
        <v>11805.555555555555</v>
      </c>
      <c r="C18" s="46">
        <f>$B$7*$B$8/(1-$B$9)</f>
        <v>11805.555555555555</v>
      </c>
      <c r="D18" s="41" t="s">
        <v>181</v>
      </c>
    </row>
    <row r="19" spans="1:4" ht="16" customHeight="1" x14ac:dyDescent="0.2">
      <c r="A19" s="41" t="s">
        <v>182</v>
      </c>
      <c r="B19" s="41">
        <f>$B$10</f>
        <v>4000</v>
      </c>
      <c r="C19" s="46">
        <f>$B$10</f>
        <v>4000</v>
      </c>
      <c r="D19" s="41" t="s">
        <v>183</v>
      </c>
    </row>
    <row r="20" spans="1:4" ht="16" customHeight="1" x14ac:dyDescent="0.2">
      <c r="A20" s="41" t="s">
        <v>155</v>
      </c>
      <c r="B20" s="41">
        <f>C18/C19</f>
        <v>2.9513888888888888</v>
      </c>
      <c r="C20" s="47">
        <f>C18/C19</f>
        <v>2.9513888888888888</v>
      </c>
      <c r="D20" s="41" t="s">
        <v>184</v>
      </c>
    </row>
    <row r="21" spans="1:4" ht="16" customHeight="1" x14ac:dyDescent="0.2">
      <c r="A21" s="41" t="s">
        <v>185</v>
      </c>
      <c r="B21" s="41">
        <f>C19/($B$7*$B$8)</f>
        <v>2.2588235294117647</v>
      </c>
      <c r="C21" s="48">
        <f>C19/($B$7*$B$8)</f>
        <v>2.2588235294117647</v>
      </c>
      <c r="D21" s="41" t="s">
        <v>186</v>
      </c>
    </row>
  </sheetData>
  <mergeCells count="4">
    <mergeCell ref="A1:D1"/>
    <mergeCell ref="A13:D13"/>
    <mergeCell ref="F3:I3"/>
    <mergeCell ref="A3:D3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baseColWidth="10" defaultColWidth="8.83203125" defaultRowHeight="15" x14ac:dyDescent="0.2"/>
  <cols>
    <col min="1" max="1" width="46" customWidth="1"/>
    <col min="2" max="2" width="22" customWidth="1"/>
    <col min="3" max="3" width="50" customWidth="1"/>
  </cols>
  <sheetData>
    <row r="1" spans="1:3" ht="19" customHeight="1" x14ac:dyDescent="0.25">
      <c r="A1" s="68" t="s">
        <v>187</v>
      </c>
      <c r="B1" s="67"/>
      <c r="C1" s="67"/>
    </row>
    <row r="3" spans="1:3" ht="16" customHeight="1" x14ac:dyDescent="0.2">
      <c r="A3" s="40" t="s">
        <v>1</v>
      </c>
      <c r="B3" s="40" t="s">
        <v>2</v>
      </c>
      <c r="C3" s="40" t="s">
        <v>3</v>
      </c>
    </row>
    <row r="4" spans="1:3" ht="16" customHeight="1" x14ac:dyDescent="0.2">
      <c r="A4" s="41" t="s">
        <v>188</v>
      </c>
      <c r="B4" s="47">
        <f>'Baseline - Avito Стройка'!O28</f>
        <v>4.0000000000000013E-4</v>
      </c>
      <c r="C4" s="41" t="s">
        <v>5</v>
      </c>
    </row>
    <row r="5" spans="1:3" ht="16" customHeight="1" x14ac:dyDescent="0.2">
      <c r="A5" s="41" t="s">
        <v>189</v>
      </c>
      <c r="B5" s="47">
        <f>'Baseline - Avito Стройка'!O29</f>
        <v>4.8000000000000013E-3</v>
      </c>
      <c r="C5" s="41" t="s">
        <v>190</v>
      </c>
    </row>
    <row r="6" spans="1:3" ht="16" customHeight="1" x14ac:dyDescent="0.2">
      <c r="A6" s="41" t="s">
        <v>191</v>
      </c>
      <c r="B6" s="45">
        <f>'Baseline - Avito Стройка'!O30</f>
        <v>1.0257312000000001</v>
      </c>
      <c r="C6" s="41" t="s">
        <v>192</v>
      </c>
    </row>
    <row r="7" spans="1:3" ht="16" customHeight="1" x14ac:dyDescent="0.2">
      <c r="A7" s="41" t="s">
        <v>193</v>
      </c>
      <c r="B7" s="45">
        <f>'Baseline - Avito Стройка'!O31</f>
        <v>1.0257312000000001</v>
      </c>
      <c r="C7" s="41" t="s">
        <v>194</v>
      </c>
    </row>
    <row r="8" spans="1:3" ht="16" customHeight="1" x14ac:dyDescent="0.2">
      <c r="A8" s="41" t="s">
        <v>195</v>
      </c>
      <c r="B8" s="47">
        <f>'Assumptions - Baseline (Стройка'!B16/(('Assumptions - Baseline (Стройка'!B12/'Assumptions - Baseline (Стройка'!B11)/12)</f>
        <v>1</v>
      </c>
      <c r="C8" s="41" t="s">
        <v>5</v>
      </c>
    </row>
    <row r="9" spans="1:3" ht="16" customHeight="1" x14ac:dyDescent="0.2">
      <c r="A9" s="41" t="s">
        <v>196</v>
      </c>
      <c r="B9" s="47">
        <f>'Монетизация и юнит'!C20</f>
        <v>2.9513888888888888</v>
      </c>
      <c r="C9" s="41" t="s">
        <v>14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"/>
  <sheetViews>
    <sheetView topLeftCell="C1" workbookViewId="0">
      <pane ySplit="3" topLeftCell="A4" activePane="bottomLeft" state="frozen"/>
      <selection pane="bottomLeft" activeCell="P6" sqref="P6"/>
    </sheetView>
  </sheetViews>
  <sheetFormatPr baseColWidth="10" defaultColWidth="8.83203125" defaultRowHeight="15" x14ac:dyDescent="0.2"/>
  <cols>
    <col min="1" max="1" width="54" customWidth="1"/>
    <col min="2" max="4" width="12" customWidth="1"/>
    <col min="5" max="5" width="16" customWidth="1"/>
    <col min="6" max="15" width="10" customWidth="1"/>
    <col min="16" max="16" width="46" customWidth="1"/>
    <col min="17" max="18" width="34" customWidth="1"/>
    <col min="19" max="19" width="38" customWidth="1"/>
    <col min="20" max="21" width="14" customWidth="1"/>
  </cols>
  <sheetData>
    <row r="1" spans="1:21" ht="28" customHeight="1" x14ac:dyDescent="0.2">
      <c r="A1" s="74" t="s">
        <v>197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3"/>
    </row>
    <row r="2" spans="1:21" ht="32" customHeight="1" x14ac:dyDescent="0.2">
      <c r="A2" s="70" t="s">
        <v>198</v>
      </c>
      <c r="B2" s="70" t="s">
        <v>172</v>
      </c>
      <c r="C2" s="70" t="s">
        <v>199</v>
      </c>
      <c r="D2" s="70" t="s">
        <v>22</v>
      </c>
      <c r="E2" s="70" t="s">
        <v>200</v>
      </c>
      <c r="F2" s="70" t="s">
        <v>201</v>
      </c>
      <c r="G2" s="72"/>
      <c r="H2" s="72"/>
      <c r="I2" s="72"/>
      <c r="J2" s="73"/>
      <c r="K2" s="70" t="s">
        <v>202</v>
      </c>
      <c r="L2" s="72"/>
      <c r="M2" s="72"/>
      <c r="N2" s="72"/>
      <c r="O2" s="73"/>
      <c r="P2" s="70" t="s">
        <v>203</v>
      </c>
      <c r="Q2" s="70" t="s">
        <v>204</v>
      </c>
      <c r="R2" s="70" t="s">
        <v>205</v>
      </c>
      <c r="S2" s="70" t="s">
        <v>206</v>
      </c>
      <c r="T2" s="70" t="s">
        <v>207</v>
      </c>
      <c r="U2" s="70" t="s">
        <v>208</v>
      </c>
    </row>
    <row r="3" spans="1:21" ht="30" customHeight="1" x14ac:dyDescent="0.2">
      <c r="A3" s="71"/>
      <c r="B3" s="71"/>
      <c r="C3" s="71"/>
      <c r="D3" s="71"/>
      <c r="E3" s="71"/>
      <c r="F3" s="34" t="s">
        <v>112</v>
      </c>
      <c r="G3" s="34" t="s">
        <v>113</v>
      </c>
      <c r="H3" s="34" t="s">
        <v>114</v>
      </c>
      <c r="I3" s="34" t="s">
        <v>115</v>
      </c>
      <c r="J3" s="34" t="s">
        <v>116</v>
      </c>
      <c r="K3" s="34" t="s">
        <v>112</v>
      </c>
      <c r="L3" s="34" t="s">
        <v>113</v>
      </c>
      <c r="M3" s="34" t="s">
        <v>114</v>
      </c>
      <c r="N3" s="34" t="s">
        <v>115</v>
      </c>
      <c r="O3" s="34" t="s">
        <v>116</v>
      </c>
      <c r="P3" s="71"/>
      <c r="Q3" s="71"/>
      <c r="R3" s="71"/>
      <c r="S3" s="71"/>
      <c r="T3" s="71"/>
      <c r="U3" s="71"/>
    </row>
    <row r="4" spans="1:21" ht="100" customHeight="1" x14ac:dyDescent="0.2">
      <c r="A4" s="29" t="s">
        <v>209</v>
      </c>
      <c r="B4" s="33" t="s">
        <v>210</v>
      </c>
      <c r="C4" s="33" t="s">
        <v>211</v>
      </c>
      <c r="D4" s="30" t="s">
        <v>212</v>
      </c>
      <c r="E4" s="30" t="s">
        <v>213</v>
      </c>
      <c r="F4" s="30" t="s">
        <v>214</v>
      </c>
      <c r="G4" s="30" t="s">
        <v>215</v>
      </c>
      <c r="H4" s="30" t="s">
        <v>216</v>
      </c>
      <c r="I4" s="30" t="s">
        <v>217</v>
      </c>
      <c r="J4" s="30" t="s">
        <v>218</v>
      </c>
      <c r="K4" s="30" t="s">
        <v>219</v>
      </c>
      <c r="L4" s="30" t="s">
        <v>220</v>
      </c>
      <c r="M4" s="30" t="s">
        <v>221</v>
      </c>
      <c r="N4" s="30" t="s">
        <v>222</v>
      </c>
      <c r="O4" s="30" t="s">
        <v>222</v>
      </c>
      <c r="P4" s="29" t="s">
        <v>223</v>
      </c>
      <c r="Q4" s="29" t="s">
        <v>224</v>
      </c>
      <c r="R4" s="29" t="s">
        <v>225</v>
      </c>
      <c r="S4" s="29" t="s">
        <v>226</v>
      </c>
      <c r="T4" s="27" t="s">
        <v>227</v>
      </c>
      <c r="U4" s="27" t="s">
        <v>227</v>
      </c>
    </row>
    <row r="5" spans="1:21" ht="100" customHeight="1" x14ac:dyDescent="0.2">
      <c r="A5" s="29" t="s">
        <v>228</v>
      </c>
      <c r="B5" s="32" t="s">
        <v>210</v>
      </c>
      <c r="C5" s="31" t="s">
        <v>211</v>
      </c>
      <c r="D5" s="30" t="s">
        <v>229</v>
      </c>
      <c r="E5" s="30" t="s">
        <v>221</v>
      </c>
      <c r="F5" s="30" t="s">
        <v>230</v>
      </c>
      <c r="G5" s="30" t="s">
        <v>214</v>
      </c>
      <c r="H5" s="30" t="s">
        <v>231</v>
      </c>
      <c r="I5" s="30" t="s">
        <v>215</v>
      </c>
      <c r="J5" s="30" t="s">
        <v>215</v>
      </c>
      <c r="K5" s="30" t="s">
        <v>232</v>
      </c>
      <c r="L5" s="30" t="s">
        <v>233</v>
      </c>
      <c r="M5" s="30" t="s">
        <v>234</v>
      </c>
      <c r="N5" s="30" t="s">
        <v>222</v>
      </c>
      <c r="O5" s="30" t="s">
        <v>222</v>
      </c>
      <c r="P5" s="29" t="s">
        <v>235</v>
      </c>
      <c r="Q5" s="29" t="s">
        <v>236</v>
      </c>
      <c r="R5" s="29" t="s">
        <v>237</v>
      </c>
      <c r="S5" s="29" t="s">
        <v>238</v>
      </c>
      <c r="T5" s="27" t="s">
        <v>227</v>
      </c>
      <c r="U5" s="27" t="s">
        <v>227</v>
      </c>
    </row>
    <row r="6" spans="1:21" ht="100" customHeight="1" x14ac:dyDescent="0.2">
      <c r="A6" s="29" t="s">
        <v>239</v>
      </c>
      <c r="B6" s="32" t="s">
        <v>240</v>
      </c>
      <c r="C6" s="31" t="s">
        <v>211</v>
      </c>
      <c r="D6" s="30" t="s">
        <v>229</v>
      </c>
      <c r="E6" s="30" t="s">
        <v>241</v>
      </c>
      <c r="F6" s="30" t="s">
        <v>232</v>
      </c>
      <c r="G6" s="30" t="s">
        <v>215</v>
      </c>
      <c r="H6" s="30" t="s">
        <v>218</v>
      </c>
      <c r="I6" s="30" t="s">
        <v>219</v>
      </c>
      <c r="J6" s="30" t="s">
        <v>219</v>
      </c>
      <c r="K6" s="30" t="s">
        <v>232</v>
      </c>
      <c r="L6" s="30" t="s">
        <v>219</v>
      </c>
      <c r="M6" s="30" t="s">
        <v>220</v>
      </c>
      <c r="N6" s="30" t="s">
        <v>221</v>
      </c>
      <c r="O6" s="30" t="s">
        <v>222</v>
      </c>
      <c r="P6" s="29" t="s">
        <v>242</v>
      </c>
      <c r="Q6" s="29" t="s">
        <v>243</v>
      </c>
      <c r="R6" s="29" t="s">
        <v>244</v>
      </c>
      <c r="S6" s="29" t="s">
        <v>245</v>
      </c>
      <c r="T6" s="28" t="s">
        <v>246</v>
      </c>
      <c r="U6" s="27" t="s">
        <v>227</v>
      </c>
    </row>
  </sheetData>
  <mergeCells count="14">
    <mergeCell ref="U2:U3"/>
    <mergeCell ref="A1:U1"/>
    <mergeCell ref="P2:P3"/>
    <mergeCell ref="E2:E3"/>
    <mergeCell ref="S2:S3"/>
    <mergeCell ref="R2:R3"/>
    <mergeCell ref="F2:J2"/>
    <mergeCell ref="T2:T3"/>
    <mergeCell ref="C2:C3"/>
    <mergeCell ref="K2:O2"/>
    <mergeCell ref="D2:D3"/>
    <mergeCell ref="A2:A3"/>
    <mergeCell ref="Q2:Q3"/>
    <mergeCell ref="B2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>
      <pane xSplit="1" ySplit="4" topLeftCell="B5" activePane="bottomRight" state="frozen"/>
      <selection pane="topRight"/>
      <selection pane="bottomLeft"/>
      <selection pane="bottomRight" sqref="A1:N1"/>
    </sheetView>
  </sheetViews>
  <sheetFormatPr baseColWidth="10" defaultColWidth="8.83203125" defaultRowHeight="15" x14ac:dyDescent="0.2"/>
  <cols>
    <col min="1" max="1" width="28" customWidth="1"/>
    <col min="2" max="14" width="10" customWidth="1"/>
  </cols>
  <sheetData>
    <row r="1" spans="1:14" ht="19" customHeight="1" x14ac:dyDescent="0.25">
      <c r="A1" s="76" t="s">
        <v>247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</row>
    <row r="2" spans="1:14" x14ac:dyDescent="0.2">
      <c r="A2" s="75" t="s">
        <v>248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</row>
    <row r="4" spans="1:14" ht="16" customHeight="1" x14ac:dyDescent="0.2">
      <c r="A4" s="1" t="s">
        <v>249</v>
      </c>
      <c r="B4" s="1" t="s">
        <v>250</v>
      </c>
      <c r="C4" s="1" t="s">
        <v>251</v>
      </c>
      <c r="D4" s="1" t="s">
        <v>252</v>
      </c>
      <c r="E4" s="1" t="s">
        <v>253</v>
      </c>
      <c r="F4" s="1" t="s">
        <v>254</v>
      </c>
      <c r="G4" s="1" t="s">
        <v>255</v>
      </c>
      <c r="H4" s="1" t="s">
        <v>256</v>
      </c>
      <c r="I4" s="1" t="s">
        <v>257</v>
      </c>
      <c r="J4" s="1" t="s">
        <v>258</v>
      </c>
      <c r="K4" s="1" t="s">
        <v>259</v>
      </c>
      <c r="L4" s="1" t="s">
        <v>260</v>
      </c>
      <c r="M4" s="1" t="s">
        <v>261</v>
      </c>
      <c r="N4" s="1" t="s">
        <v>262</v>
      </c>
    </row>
    <row r="5" spans="1:14" ht="16" customHeight="1" x14ac:dyDescent="0.2">
      <c r="A5" s="39" t="s">
        <v>263</v>
      </c>
      <c r="B5" s="38">
        <v>127499.9999999999</v>
      </c>
      <c r="C5" s="38">
        <v>142499.99999999991</v>
      </c>
      <c r="D5" s="38">
        <v>157500</v>
      </c>
      <c r="E5" s="38">
        <v>165000</v>
      </c>
      <c r="F5" s="38">
        <v>165000</v>
      </c>
      <c r="G5" s="38">
        <v>165000</v>
      </c>
      <c r="H5" s="38">
        <v>150000</v>
      </c>
      <c r="I5" s="38">
        <v>142499.99999999991</v>
      </c>
      <c r="J5" s="38">
        <v>150000</v>
      </c>
      <c r="K5" s="38">
        <v>157500</v>
      </c>
      <c r="L5" s="38">
        <v>157500</v>
      </c>
      <c r="M5" s="38">
        <v>120000</v>
      </c>
      <c r="N5" s="38">
        <f>SUM(B5:M5)</f>
        <v>1799999.9999999998</v>
      </c>
    </row>
    <row r="6" spans="1:14" ht="16" customHeight="1" x14ac:dyDescent="0.2">
      <c r="A6" s="36" t="s">
        <v>264</v>
      </c>
      <c r="B6" s="37">
        <v>0</v>
      </c>
      <c r="C6" s="37">
        <v>0.1</v>
      </c>
      <c r="D6" s="37">
        <v>0.2</v>
      </c>
      <c r="E6" s="37">
        <v>0.4</v>
      </c>
      <c r="F6" s="37">
        <v>0.7</v>
      </c>
      <c r="G6" s="37">
        <v>1</v>
      </c>
      <c r="H6" s="37">
        <v>1</v>
      </c>
      <c r="I6" s="37">
        <v>1</v>
      </c>
      <c r="J6" s="37">
        <v>1</v>
      </c>
      <c r="K6" s="37">
        <v>1</v>
      </c>
      <c r="L6" s="37">
        <v>1</v>
      </c>
      <c r="M6" s="37">
        <v>1</v>
      </c>
      <c r="N6" s="37">
        <f>AVERAGE(B6:M6)</f>
        <v>0.70000000000000007</v>
      </c>
    </row>
    <row r="7" spans="1:14" ht="16" customHeight="1" x14ac:dyDescent="0.2">
      <c r="A7" s="36" t="s">
        <v>265</v>
      </c>
      <c r="B7" s="37">
        <v>0</v>
      </c>
      <c r="C7" s="37">
        <v>0</v>
      </c>
      <c r="D7" s="37">
        <v>0</v>
      </c>
      <c r="E7" s="37">
        <v>0.1</v>
      </c>
      <c r="F7" s="37">
        <v>0.2</v>
      </c>
      <c r="G7" s="37">
        <v>0.4</v>
      </c>
      <c r="H7" s="37">
        <v>0.7</v>
      </c>
      <c r="I7" s="37">
        <v>1</v>
      </c>
      <c r="J7" s="37">
        <v>1</v>
      </c>
      <c r="K7" s="37">
        <v>1</v>
      </c>
      <c r="L7" s="37">
        <v>1</v>
      </c>
      <c r="M7" s="37">
        <v>1</v>
      </c>
      <c r="N7" s="37">
        <f>AVERAGE(B7:M7)</f>
        <v>0.53333333333333333</v>
      </c>
    </row>
    <row r="8" spans="1:14" ht="16" customHeight="1" x14ac:dyDescent="0.2">
      <c r="A8" s="36" t="s">
        <v>266</v>
      </c>
      <c r="B8" s="5">
        <v>0.03</v>
      </c>
      <c r="C8" s="5">
        <f t="shared" ref="C8:N9" si="0">$B8</f>
        <v>0.03</v>
      </c>
      <c r="D8" s="5">
        <f t="shared" si="0"/>
        <v>0.03</v>
      </c>
      <c r="E8" s="5">
        <f t="shared" si="0"/>
        <v>0.03</v>
      </c>
      <c r="F8" s="5">
        <f t="shared" si="0"/>
        <v>0.03</v>
      </c>
      <c r="G8" s="5">
        <f t="shared" si="0"/>
        <v>0.03</v>
      </c>
      <c r="H8" s="5">
        <f t="shared" si="0"/>
        <v>0.03</v>
      </c>
      <c r="I8" s="5">
        <f t="shared" si="0"/>
        <v>0.03</v>
      </c>
      <c r="J8" s="5">
        <f t="shared" si="0"/>
        <v>0.03</v>
      </c>
      <c r="K8" s="5">
        <f t="shared" si="0"/>
        <v>0.03</v>
      </c>
      <c r="L8" s="5">
        <f t="shared" si="0"/>
        <v>0.03</v>
      </c>
      <c r="M8" s="5">
        <f t="shared" si="0"/>
        <v>0.03</v>
      </c>
      <c r="N8" s="5">
        <f t="shared" si="0"/>
        <v>0.03</v>
      </c>
    </row>
    <row r="9" spans="1:14" ht="16" customHeight="1" x14ac:dyDescent="0.2">
      <c r="A9" s="36" t="s">
        <v>267</v>
      </c>
      <c r="B9" s="5">
        <v>0.02</v>
      </c>
      <c r="C9" s="5">
        <f t="shared" si="0"/>
        <v>0.02</v>
      </c>
      <c r="D9" s="5">
        <f t="shared" si="0"/>
        <v>0.02</v>
      </c>
      <c r="E9" s="5">
        <f t="shared" si="0"/>
        <v>0.02</v>
      </c>
      <c r="F9" s="5">
        <f t="shared" si="0"/>
        <v>0.02</v>
      </c>
      <c r="G9" s="5">
        <f t="shared" si="0"/>
        <v>0.02</v>
      </c>
      <c r="H9" s="5">
        <f t="shared" si="0"/>
        <v>0.02</v>
      </c>
      <c r="I9" s="5">
        <f t="shared" si="0"/>
        <v>0.02</v>
      </c>
      <c r="J9" s="5">
        <f t="shared" si="0"/>
        <v>0.02</v>
      </c>
      <c r="K9" s="5">
        <f t="shared" si="0"/>
        <v>0.02</v>
      </c>
      <c r="L9" s="5">
        <f t="shared" si="0"/>
        <v>0.02</v>
      </c>
      <c r="M9" s="5">
        <f t="shared" si="0"/>
        <v>0.02</v>
      </c>
      <c r="N9" s="5">
        <f t="shared" si="0"/>
        <v>0.02</v>
      </c>
    </row>
    <row r="10" spans="1:14" ht="16" customHeight="1" x14ac:dyDescent="0.2">
      <c r="A10" s="35" t="s">
        <v>268</v>
      </c>
      <c r="B10" s="5">
        <f t="shared" ref="B10:M10" si="1">B8*B6+B9*B7</f>
        <v>0</v>
      </c>
      <c r="C10" s="5">
        <f t="shared" si="1"/>
        <v>3.0000000000000001E-3</v>
      </c>
      <c r="D10" s="5">
        <f t="shared" si="1"/>
        <v>6.0000000000000001E-3</v>
      </c>
      <c r="E10" s="5">
        <f t="shared" si="1"/>
        <v>1.4E-2</v>
      </c>
      <c r="F10" s="5">
        <f t="shared" si="1"/>
        <v>2.4999999999999998E-2</v>
      </c>
      <c r="G10" s="5">
        <f t="shared" si="1"/>
        <v>3.7999999999999999E-2</v>
      </c>
      <c r="H10" s="5">
        <f t="shared" si="1"/>
        <v>4.3999999999999997E-2</v>
      </c>
      <c r="I10" s="5">
        <f t="shared" si="1"/>
        <v>0.05</v>
      </c>
      <c r="J10" s="5">
        <f t="shared" si="1"/>
        <v>0.05</v>
      </c>
      <c r="K10" s="5">
        <f t="shared" si="1"/>
        <v>0.05</v>
      </c>
      <c r="L10" s="5">
        <f t="shared" si="1"/>
        <v>0.05</v>
      </c>
      <c r="M10" s="5">
        <f t="shared" si="1"/>
        <v>0.05</v>
      </c>
      <c r="N10" s="5">
        <f>AVERAGE(B10:M10)</f>
        <v>3.1666666666666662E-2</v>
      </c>
    </row>
    <row r="11" spans="1:14" ht="16" customHeight="1" x14ac:dyDescent="0.2">
      <c r="A11" s="35" t="s">
        <v>269</v>
      </c>
      <c r="B11" s="13">
        <f t="shared" ref="B11:M11" si="2">B5*(1+B10)</f>
        <v>127499.9999999999</v>
      </c>
      <c r="C11" s="13">
        <f t="shared" si="2"/>
        <v>142927.49999999988</v>
      </c>
      <c r="D11" s="13">
        <f t="shared" si="2"/>
        <v>158445</v>
      </c>
      <c r="E11" s="13">
        <f t="shared" si="2"/>
        <v>167310</v>
      </c>
      <c r="F11" s="13">
        <f t="shared" si="2"/>
        <v>169124.99999999997</v>
      </c>
      <c r="G11" s="13">
        <f t="shared" si="2"/>
        <v>171270</v>
      </c>
      <c r="H11" s="13">
        <f t="shared" si="2"/>
        <v>156600</v>
      </c>
      <c r="I11" s="13">
        <f t="shared" si="2"/>
        <v>149624.99999999991</v>
      </c>
      <c r="J11" s="13">
        <f t="shared" si="2"/>
        <v>157500</v>
      </c>
      <c r="K11" s="13">
        <f t="shared" si="2"/>
        <v>165375</v>
      </c>
      <c r="L11" s="13">
        <f t="shared" si="2"/>
        <v>165375</v>
      </c>
      <c r="M11" s="13">
        <f t="shared" si="2"/>
        <v>126000</v>
      </c>
      <c r="N11" s="13">
        <f>SUM(B11:M11)</f>
        <v>1857052.4999999998</v>
      </c>
    </row>
  </sheetData>
  <mergeCells count="2">
    <mergeCell ref="A2:N2"/>
    <mergeCell ref="A1:N1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43"/>
  <sheetViews>
    <sheetView tabSelected="1" workbookViewId="0">
      <pane xSplit="2" ySplit="3" topLeftCell="C18" activePane="bottomRight" state="frozen"/>
      <selection sqref="A1:C1"/>
      <selection pane="topRight" sqref="A1:C1"/>
      <selection pane="bottomLeft" sqref="A1:C1"/>
      <selection pane="bottomRight" sqref="A1:C1"/>
    </sheetView>
  </sheetViews>
  <sheetFormatPr baseColWidth="10" defaultColWidth="8.83203125" defaultRowHeight="15" x14ac:dyDescent="0.2"/>
  <cols>
    <col min="1" max="1" width="44" customWidth="1"/>
    <col min="2" max="20" width="14" customWidth="1"/>
  </cols>
  <sheetData>
    <row r="1" spans="1:20" ht="19" customHeight="1" x14ac:dyDescent="0.25">
      <c r="A1" s="76" t="s">
        <v>270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</row>
    <row r="3" spans="1:20" ht="16" customHeight="1" x14ac:dyDescent="0.2">
      <c r="A3" s="1" t="s">
        <v>271</v>
      </c>
      <c r="B3" s="1" t="s">
        <v>19</v>
      </c>
      <c r="C3" s="1" t="s">
        <v>272</v>
      </c>
      <c r="D3" s="1" t="s">
        <v>273</v>
      </c>
      <c r="E3" s="1" t="s">
        <v>274</v>
      </c>
      <c r="F3" s="1" t="s">
        <v>275</v>
      </c>
      <c r="G3" s="1" t="s">
        <v>276</v>
      </c>
      <c r="H3" s="1" t="s">
        <v>277</v>
      </c>
      <c r="I3" s="1" t="s">
        <v>278</v>
      </c>
      <c r="J3" s="1" t="s">
        <v>279</v>
      </c>
      <c r="K3" s="1" t="s">
        <v>280</v>
      </c>
      <c r="L3" s="1" t="s">
        <v>281</v>
      </c>
      <c r="M3" s="1" t="s">
        <v>282</v>
      </c>
      <c r="N3" s="1" t="s">
        <v>283</v>
      </c>
      <c r="O3" s="1" t="s">
        <v>112</v>
      </c>
      <c r="P3" s="1" t="s">
        <v>113</v>
      </c>
      <c r="Q3" s="1" t="s">
        <v>114</v>
      </c>
      <c r="R3" s="1" t="s">
        <v>115</v>
      </c>
      <c r="S3" s="1" t="s">
        <v>116</v>
      </c>
      <c r="T3" s="1" t="s">
        <v>284</v>
      </c>
    </row>
    <row r="5" spans="1:20" x14ac:dyDescent="0.2">
      <c r="A5" s="77" t="s">
        <v>285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9"/>
    </row>
    <row r="6" spans="1:20" ht="16" customHeight="1" x14ac:dyDescent="0.2">
      <c r="A6" s="9" t="s">
        <v>286</v>
      </c>
      <c r="B6" s="10" t="s">
        <v>29</v>
      </c>
      <c r="C6" s="11">
        <f>'Assumptions - Baseline (Стройка'!B20</f>
        <v>0.84999999999999976</v>
      </c>
      <c r="D6" s="11">
        <f>'Assumptions - Baseline (Стройка'!C20</f>
        <v>0.94999999999999973</v>
      </c>
      <c r="E6" s="11">
        <f>'Assumptions - Baseline (Стройка'!D20</f>
        <v>1.05</v>
      </c>
      <c r="F6" s="11">
        <f>'Assumptions - Baseline (Стройка'!E20</f>
        <v>1.1000000000000001</v>
      </c>
      <c r="G6" s="11">
        <f>'Assumptions - Baseline (Стройка'!F20</f>
        <v>1.1000000000000001</v>
      </c>
      <c r="H6" s="11">
        <f>'Assumptions - Baseline (Стройка'!G20</f>
        <v>1.1000000000000001</v>
      </c>
      <c r="I6" s="11">
        <f>'Assumptions - Baseline (Стройка'!H20</f>
        <v>0.99999999999999978</v>
      </c>
      <c r="J6" s="11">
        <f>'Assumptions - Baseline (Стройка'!I20</f>
        <v>0.94999999999999973</v>
      </c>
      <c r="K6" s="11">
        <f>'Assumptions - Baseline (Стройка'!J20</f>
        <v>0.99999999999999978</v>
      </c>
      <c r="L6" s="11">
        <f>'Assumptions - Baseline (Стройка'!K20</f>
        <v>1.05</v>
      </c>
      <c r="M6" s="11">
        <f>'Assumptions - Baseline (Стройка'!L20</f>
        <v>1.05</v>
      </c>
      <c r="N6" s="11">
        <f>'Assumptions - Baseline (Стройка'!M20</f>
        <v>0.79999999999999982</v>
      </c>
      <c r="O6" s="11">
        <f>AVERAGE(C6:N6)</f>
        <v>1</v>
      </c>
      <c r="P6" s="11">
        <f t="shared" ref="P6:P12" si="0">O6</f>
        <v>1</v>
      </c>
      <c r="Q6" s="11">
        <f t="shared" ref="Q6:Q12" si="1">O6</f>
        <v>1</v>
      </c>
      <c r="R6" s="11">
        <f t="shared" ref="R6:R12" si="2">O6</f>
        <v>1</v>
      </c>
      <c r="S6" s="11">
        <f t="shared" ref="S6:S12" si="3">O6</f>
        <v>1</v>
      </c>
      <c r="T6" s="11">
        <f t="shared" ref="T6:T13" si="4">O6</f>
        <v>1</v>
      </c>
    </row>
    <row r="7" spans="1:20" ht="16" customHeight="1" x14ac:dyDescent="0.2">
      <c r="A7" s="9" t="s">
        <v>287</v>
      </c>
      <c r="B7" s="10" t="s">
        <v>33</v>
      </c>
      <c r="C7" s="12">
        <f t="shared" ref="C7:C13" si="5">O7</f>
        <v>4.0000000000000002E-4</v>
      </c>
      <c r="D7" s="12">
        <f t="shared" ref="D7:D13" si="6">O7</f>
        <v>4.0000000000000002E-4</v>
      </c>
      <c r="E7" s="12">
        <f t="shared" ref="E7:E13" si="7">O7</f>
        <v>4.0000000000000002E-4</v>
      </c>
      <c r="F7" s="12">
        <f t="shared" ref="F7:F13" si="8">O7</f>
        <v>4.0000000000000002E-4</v>
      </c>
      <c r="G7" s="12">
        <f t="shared" ref="G7:G13" si="9">O7</f>
        <v>4.0000000000000002E-4</v>
      </c>
      <c r="H7" s="12">
        <f t="shared" ref="H7:H13" si="10">O7</f>
        <v>4.0000000000000002E-4</v>
      </c>
      <c r="I7" s="12">
        <f t="shared" ref="I7:I13" si="11">O7</f>
        <v>4.0000000000000002E-4</v>
      </c>
      <c r="J7" s="12">
        <f t="shared" ref="J7:J13" si="12">O7</f>
        <v>4.0000000000000002E-4</v>
      </c>
      <c r="K7" s="12">
        <f t="shared" ref="K7:K13" si="13">O7</f>
        <v>4.0000000000000002E-4</v>
      </c>
      <c r="L7" s="12">
        <f t="shared" ref="L7:L13" si="14">O7</f>
        <v>4.0000000000000002E-4</v>
      </c>
      <c r="M7" s="12">
        <f t="shared" ref="M7:M13" si="15">O7</f>
        <v>4.0000000000000002E-4</v>
      </c>
      <c r="N7" s="12">
        <f t="shared" ref="N7:N13" si="16">O7</f>
        <v>4.0000000000000002E-4</v>
      </c>
      <c r="O7" s="12">
        <f>'Assumptions - Baseline (Стройка'!B7</f>
        <v>4.0000000000000002E-4</v>
      </c>
      <c r="P7" s="12">
        <f t="shared" si="0"/>
        <v>4.0000000000000002E-4</v>
      </c>
      <c r="Q7" s="12">
        <f t="shared" si="1"/>
        <v>4.0000000000000002E-4</v>
      </c>
      <c r="R7" s="12">
        <f t="shared" si="2"/>
        <v>4.0000000000000002E-4</v>
      </c>
      <c r="S7" s="12">
        <f t="shared" si="3"/>
        <v>4.0000000000000002E-4</v>
      </c>
      <c r="T7" s="12">
        <f t="shared" si="4"/>
        <v>4.0000000000000002E-4</v>
      </c>
    </row>
    <row r="8" spans="1:20" ht="16" customHeight="1" x14ac:dyDescent="0.2">
      <c r="A8" s="9" t="s">
        <v>288</v>
      </c>
      <c r="B8" s="10" t="s">
        <v>33</v>
      </c>
      <c r="C8" s="12">
        <f t="shared" si="5"/>
        <v>0.16666666666666666</v>
      </c>
      <c r="D8" s="12">
        <f t="shared" si="6"/>
        <v>0.16666666666666666</v>
      </c>
      <c r="E8" s="12">
        <f t="shared" si="7"/>
        <v>0.16666666666666666</v>
      </c>
      <c r="F8" s="12">
        <f t="shared" si="8"/>
        <v>0.16666666666666666</v>
      </c>
      <c r="G8" s="12">
        <f t="shared" si="9"/>
        <v>0.16666666666666666</v>
      </c>
      <c r="H8" s="12">
        <f t="shared" si="10"/>
        <v>0.16666666666666666</v>
      </c>
      <c r="I8" s="12">
        <f t="shared" si="11"/>
        <v>0.16666666666666666</v>
      </c>
      <c r="J8" s="12">
        <f t="shared" si="12"/>
        <v>0.16666666666666666</v>
      </c>
      <c r="K8" s="12">
        <f t="shared" si="13"/>
        <v>0.16666666666666666</v>
      </c>
      <c r="L8" s="12">
        <f t="shared" si="14"/>
        <v>0.16666666666666666</v>
      </c>
      <c r="M8" s="12">
        <f t="shared" si="15"/>
        <v>0.16666666666666666</v>
      </c>
      <c r="N8" s="12">
        <f t="shared" si="16"/>
        <v>0.16666666666666666</v>
      </c>
      <c r="O8" s="12">
        <f>'Assumptions - Baseline (Стройка'!B6</f>
        <v>0.16666666666666666</v>
      </c>
      <c r="P8" s="12">
        <f t="shared" si="0"/>
        <v>0.16666666666666666</v>
      </c>
      <c r="Q8" s="12">
        <f t="shared" si="1"/>
        <v>0.16666666666666666</v>
      </c>
      <c r="R8" s="12">
        <f t="shared" si="2"/>
        <v>0.16666666666666666</v>
      </c>
      <c r="S8" s="12">
        <f t="shared" si="3"/>
        <v>0.16666666666666666</v>
      </c>
      <c r="T8" s="12">
        <f t="shared" si="4"/>
        <v>0.16666666666666666</v>
      </c>
    </row>
    <row r="9" spans="1:20" ht="16" customHeight="1" x14ac:dyDescent="0.2">
      <c r="A9" s="9" t="s">
        <v>289</v>
      </c>
      <c r="B9" s="10" t="s">
        <v>290</v>
      </c>
      <c r="C9" s="13">
        <f t="shared" si="5"/>
        <v>427388</v>
      </c>
      <c r="D9" s="13">
        <f t="shared" si="6"/>
        <v>427388</v>
      </c>
      <c r="E9" s="13">
        <f t="shared" si="7"/>
        <v>427388</v>
      </c>
      <c r="F9" s="13">
        <f t="shared" si="8"/>
        <v>427388</v>
      </c>
      <c r="G9" s="13">
        <f t="shared" si="9"/>
        <v>427388</v>
      </c>
      <c r="H9" s="13">
        <f t="shared" si="10"/>
        <v>427388</v>
      </c>
      <c r="I9" s="13">
        <f t="shared" si="11"/>
        <v>427388</v>
      </c>
      <c r="J9" s="13">
        <f t="shared" si="12"/>
        <v>427388</v>
      </c>
      <c r="K9" s="13">
        <f t="shared" si="13"/>
        <v>427388</v>
      </c>
      <c r="L9" s="13">
        <f t="shared" si="14"/>
        <v>427388</v>
      </c>
      <c r="M9" s="13">
        <f t="shared" si="15"/>
        <v>427388</v>
      </c>
      <c r="N9" s="13">
        <f t="shared" si="16"/>
        <v>427388</v>
      </c>
      <c r="O9" s="13">
        <f>'Assumptions - Baseline (Стройка'!B8</f>
        <v>427388</v>
      </c>
      <c r="P9" s="13">
        <f t="shared" si="0"/>
        <v>427388</v>
      </c>
      <c r="Q9" s="13">
        <f t="shared" si="1"/>
        <v>427388</v>
      </c>
      <c r="R9" s="13">
        <f t="shared" si="2"/>
        <v>427388</v>
      </c>
      <c r="S9" s="13">
        <f t="shared" si="3"/>
        <v>427388</v>
      </c>
      <c r="T9" s="13">
        <f t="shared" si="4"/>
        <v>427388</v>
      </c>
    </row>
    <row r="10" spans="1:20" ht="16" customHeight="1" x14ac:dyDescent="0.2">
      <c r="A10" s="9" t="s">
        <v>291</v>
      </c>
      <c r="B10" s="10" t="s">
        <v>292</v>
      </c>
      <c r="C10" s="11">
        <f t="shared" si="5"/>
        <v>1.5</v>
      </c>
      <c r="D10" s="11">
        <f t="shared" si="6"/>
        <v>1.5</v>
      </c>
      <c r="E10" s="11">
        <f t="shared" si="7"/>
        <v>1.5</v>
      </c>
      <c r="F10" s="11">
        <f t="shared" si="8"/>
        <v>1.5</v>
      </c>
      <c r="G10" s="11">
        <f t="shared" si="9"/>
        <v>1.5</v>
      </c>
      <c r="H10" s="11">
        <f t="shared" si="10"/>
        <v>1.5</v>
      </c>
      <c r="I10" s="11">
        <f t="shared" si="11"/>
        <v>1.5</v>
      </c>
      <c r="J10" s="11">
        <f t="shared" si="12"/>
        <v>1.5</v>
      </c>
      <c r="K10" s="11">
        <f t="shared" si="13"/>
        <v>1.5</v>
      </c>
      <c r="L10" s="11">
        <f t="shared" si="14"/>
        <v>1.5</v>
      </c>
      <c r="M10" s="11">
        <f t="shared" si="15"/>
        <v>1.5</v>
      </c>
      <c r="N10" s="11">
        <f t="shared" si="16"/>
        <v>1.5</v>
      </c>
      <c r="O10" s="11">
        <f>'Assumptions - Baseline (Стройка'!B9</f>
        <v>1.5</v>
      </c>
      <c r="P10" s="11">
        <f t="shared" si="0"/>
        <v>1.5</v>
      </c>
      <c r="Q10" s="11">
        <f t="shared" si="1"/>
        <v>1.5</v>
      </c>
      <c r="R10" s="11">
        <f t="shared" si="2"/>
        <v>1.5</v>
      </c>
      <c r="S10" s="11">
        <f t="shared" si="3"/>
        <v>1.5</v>
      </c>
      <c r="T10" s="11">
        <f t="shared" si="4"/>
        <v>1.5</v>
      </c>
    </row>
    <row r="11" spans="1:20" ht="16" customHeight="1" x14ac:dyDescent="0.2">
      <c r="A11" s="9" t="s">
        <v>293</v>
      </c>
      <c r="B11" s="10" t="s">
        <v>294</v>
      </c>
      <c r="C11" s="13">
        <f t="shared" si="5"/>
        <v>900</v>
      </c>
      <c r="D11" s="13">
        <f t="shared" si="6"/>
        <v>900</v>
      </c>
      <c r="E11" s="13">
        <f t="shared" si="7"/>
        <v>900</v>
      </c>
      <c r="F11" s="13">
        <f t="shared" si="8"/>
        <v>900</v>
      </c>
      <c r="G11" s="13">
        <f t="shared" si="9"/>
        <v>900</v>
      </c>
      <c r="H11" s="13">
        <f t="shared" si="10"/>
        <v>900</v>
      </c>
      <c r="I11" s="13">
        <f t="shared" si="11"/>
        <v>900</v>
      </c>
      <c r="J11" s="13">
        <f t="shared" si="12"/>
        <v>900</v>
      </c>
      <c r="K11" s="13">
        <f t="shared" si="13"/>
        <v>900</v>
      </c>
      <c r="L11" s="13">
        <f t="shared" si="14"/>
        <v>900</v>
      </c>
      <c r="M11" s="13">
        <f t="shared" si="15"/>
        <v>900</v>
      </c>
      <c r="N11" s="13">
        <f t="shared" si="16"/>
        <v>900</v>
      </c>
      <c r="O11" s="13">
        <f>'Assumptions - Baseline (Стройка'!B10</f>
        <v>900</v>
      </c>
      <c r="P11" s="13">
        <f t="shared" si="0"/>
        <v>900</v>
      </c>
      <c r="Q11" s="13">
        <f t="shared" si="1"/>
        <v>900</v>
      </c>
      <c r="R11" s="13">
        <f t="shared" si="2"/>
        <v>900</v>
      </c>
      <c r="S11" s="13">
        <f t="shared" si="3"/>
        <v>900</v>
      </c>
      <c r="T11" s="13">
        <f t="shared" si="4"/>
        <v>900</v>
      </c>
    </row>
    <row r="12" spans="1:20" ht="16" customHeight="1" x14ac:dyDescent="0.2">
      <c r="A12" s="9" t="s">
        <v>159</v>
      </c>
      <c r="B12" s="10" t="s">
        <v>33</v>
      </c>
      <c r="C12" s="12">
        <f t="shared" si="5"/>
        <v>0.1</v>
      </c>
      <c r="D12" s="12">
        <f t="shared" si="6"/>
        <v>0.1</v>
      </c>
      <c r="E12" s="12">
        <f t="shared" si="7"/>
        <v>0.1</v>
      </c>
      <c r="F12" s="12">
        <f t="shared" si="8"/>
        <v>0.1</v>
      </c>
      <c r="G12" s="12">
        <f t="shared" si="9"/>
        <v>0.1</v>
      </c>
      <c r="H12" s="12">
        <f t="shared" si="10"/>
        <v>0.1</v>
      </c>
      <c r="I12" s="12">
        <f t="shared" si="11"/>
        <v>0.1</v>
      </c>
      <c r="J12" s="12">
        <f t="shared" si="12"/>
        <v>0.1</v>
      </c>
      <c r="K12" s="12">
        <f t="shared" si="13"/>
        <v>0.1</v>
      </c>
      <c r="L12" s="12">
        <f t="shared" si="14"/>
        <v>0.1</v>
      </c>
      <c r="M12" s="12">
        <f t="shared" si="15"/>
        <v>0.1</v>
      </c>
      <c r="N12" s="12">
        <f t="shared" si="16"/>
        <v>0.1</v>
      </c>
      <c r="O12" s="12">
        <f>'Assumptions - Baseline (Стройка'!B11</f>
        <v>0.1</v>
      </c>
      <c r="P12" s="12">
        <f t="shared" si="0"/>
        <v>0.1</v>
      </c>
      <c r="Q12" s="12">
        <f t="shared" si="1"/>
        <v>0.1</v>
      </c>
      <c r="R12" s="12">
        <f t="shared" si="2"/>
        <v>0.1</v>
      </c>
      <c r="S12" s="12">
        <f t="shared" si="3"/>
        <v>0.1</v>
      </c>
      <c r="T12" s="12">
        <f t="shared" si="4"/>
        <v>0.1</v>
      </c>
    </row>
    <row r="13" spans="1:20" ht="16" customHeight="1" x14ac:dyDescent="0.2">
      <c r="A13" s="9" t="s">
        <v>295</v>
      </c>
      <c r="B13" s="10" t="s">
        <v>296</v>
      </c>
      <c r="C13" s="13">
        <f t="shared" si="5"/>
        <v>2083.3333333333335</v>
      </c>
      <c r="D13" s="13">
        <f t="shared" si="6"/>
        <v>2083.3333333333335</v>
      </c>
      <c r="E13" s="13">
        <f t="shared" si="7"/>
        <v>2083.3333333333335</v>
      </c>
      <c r="F13" s="13">
        <f t="shared" si="8"/>
        <v>2083.3333333333335</v>
      </c>
      <c r="G13" s="13">
        <f t="shared" si="9"/>
        <v>2083.3333333333335</v>
      </c>
      <c r="H13" s="13">
        <f t="shared" si="10"/>
        <v>2083.3333333333335</v>
      </c>
      <c r="I13" s="13">
        <f t="shared" si="11"/>
        <v>2083.3333333333335</v>
      </c>
      <c r="J13" s="13">
        <f t="shared" si="12"/>
        <v>2083.3333333333335</v>
      </c>
      <c r="K13" s="13">
        <f t="shared" si="13"/>
        <v>2083.3333333333335</v>
      </c>
      <c r="L13" s="13">
        <f t="shared" si="14"/>
        <v>2083.3333333333335</v>
      </c>
      <c r="M13" s="13">
        <f t="shared" si="15"/>
        <v>2083.3333333333335</v>
      </c>
      <c r="N13" s="13">
        <f t="shared" si="16"/>
        <v>2083.3333333333335</v>
      </c>
      <c r="O13" s="13">
        <f>'Assumptions - Baseline (Стройка'!B16</f>
        <v>2083.3333333333335</v>
      </c>
      <c r="P13" s="13">
        <f>O13*(1+'Assumptions - Baseline (Стройка'!B15)</f>
        <v>2187.5000000000005</v>
      </c>
      <c r="Q13" s="13">
        <f>P13*(1+'Assumptions - Baseline (Стройка'!B15)</f>
        <v>2296.8750000000005</v>
      </c>
      <c r="R13" s="13">
        <f>Q13*(1+'Assumptions - Baseline (Стройка'!B15)</f>
        <v>2411.7187500000005</v>
      </c>
      <c r="S13" s="13">
        <f>R13*(1+'Assumptions - Baseline (Стройка'!B15)</f>
        <v>2532.3046875000005</v>
      </c>
      <c r="T13" s="13">
        <f t="shared" si="4"/>
        <v>2083.3333333333335</v>
      </c>
    </row>
    <row r="15" spans="1:20" x14ac:dyDescent="0.2">
      <c r="A15" s="77" t="s">
        <v>297</v>
      </c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9"/>
    </row>
    <row r="16" spans="1:20" ht="16" customHeight="1" x14ac:dyDescent="0.2">
      <c r="A16" s="2" t="s">
        <v>298</v>
      </c>
      <c r="B16" s="4" t="s">
        <v>290</v>
      </c>
      <c r="C16" s="14">
        <f>O9</f>
        <v>427388</v>
      </c>
      <c r="D16" s="14">
        <f>C16</f>
        <v>427388</v>
      </c>
      <c r="E16" s="14">
        <f>C16</f>
        <v>427388</v>
      </c>
      <c r="F16" s="14">
        <f>C16</f>
        <v>427388</v>
      </c>
      <c r="G16" s="14">
        <f>C16</f>
        <v>427388</v>
      </c>
      <c r="H16" s="14">
        <f>C16</f>
        <v>427388</v>
      </c>
      <c r="I16" s="14">
        <f>C16</f>
        <v>427388</v>
      </c>
      <c r="J16" s="14">
        <f>C16</f>
        <v>427388</v>
      </c>
      <c r="K16" s="14">
        <f>C16</f>
        <v>427388</v>
      </c>
      <c r="L16" s="14">
        <f>C16</f>
        <v>427388</v>
      </c>
      <c r="M16" s="14">
        <f>C16</f>
        <v>427388</v>
      </c>
      <c r="N16" s="14">
        <f>C16</f>
        <v>427388</v>
      </c>
      <c r="O16" s="14">
        <f>AVERAGE(C16:N16)</f>
        <v>427388</v>
      </c>
      <c r="P16" s="14">
        <f>O16*(1+'Assumptions - Baseline (Стройка'!B14)</f>
        <v>461579.04000000004</v>
      </c>
      <c r="Q16" s="14">
        <f>P16*(1+'Assumptions - Baseline (Стройка'!B14)</f>
        <v>498505.36320000008</v>
      </c>
      <c r="R16" s="14">
        <f>Q16*(1+'Assumptions - Baseline (Стройка'!B14)</f>
        <v>538385.7922560001</v>
      </c>
      <c r="S16" s="14">
        <f>R16*(1+'Assumptions - Baseline (Стройка'!B14)</f>
        <v>581456.65563648019</v>
      </c>
      <c r="T16" s="14">
        <f>SUM(O16:S16)</f>
        <v>2507314.8510924801</v>
      </c>
    </row>
    <row r="17" spans="1:20" ht="16" customHeight="1" x14ac:dyDescent="0.2">
      <c r="A17" s="2" t="s">
        <v>299</v>
      </c>
      <c r="B17" s="4" t="s">
        <v>300</v>
      </c>
      <c r="C17" s="14">
        <f t="shared" ref="C17:N17" si="17">C16*C11*C6</f>
        <v>326951819.99999988</v>
      </c>
      <c r="D17" s="14">
        <f t="shared" si="17"/>
        <v>365416739.99999988</v>
      </c>
      <c r="E17" s="14">
        <f t="shared" si="17"/>
        <v>403881660</v>
      </c>
      <c r="F17" s="14">
        <f t="shared" si="17"/>
        <v>423114120.00000006</v>
      </c>
      <c r="G17" s="14">
        <f t="shared" si="17"/>
        <v>423114120.00000006</v>
      </c>
      <c r="H17" s="14">
        <f t="shared" si="17"/>
        <v>423114120.00000006</v>
      </c>
      <c r="I17" s="14">
        <f t="shared" si="17"/>
        <v>384649199.99999994</v>
      </c>
      <c r="J17" s="14">
        <f t="shared" si="17"/>
        <v>365416739.99999988</v>
      </c>
      <c r="K17" s="14">
        <f t="shared" si="17"/>
        <v>384649199.99999994</v>
      </c>
      <c r="L17" s="14">
        <f t="shared" si="17"/>
        <v>403881660</v>
      </c>
      <c r="M17" s="14">
        <f t="shared" si="17"/>
        <v>403881660</v>
      </c>
      <c r="N17" s="14">
        <f t="shared" si="17"/>
        <v>307719359.99999994</v>
      </c>
      <c r="O17" s="14">
        <f>SUM(C17:N17)</f>
        <v>4615790400</v>
      </c>
      <c r="P17" s="14">
        <f>P16*P11*12</f>
        <v>4985053632.000001</v>
      </c>
      <c r="Q17" s="14">
        <f>Q16*Q11*12</f>
        <v>5383857922.5600004</v>
      </c>
      <c r="R17" s="14">
        <f>R16*R11*12</f>
        <v>5814566556.3648014</v>
      </c>
      <c r="S17" s="14">
        <f>S16*S11*12</f>
        <v>6279731880.8739862</v>
      </c>
      <c r="T17" s="14">
        <f>SUM(O17:S17)</f>
        <v>27079000391.79879</v>
      </c>
    </row>
    <row r="18" spans="1:20" ht="16" customHeight="1" x14ac:dyDescent="0.2">
      <c r="A18" s="2" t="s">
        <v>301</v>
      </c>
      <c r="B18" s="4" t="s">
        <v>302</v>
      </c>
      <c r="C18" s="14">
        <f t="shared" ref="C18:N18" si="18">C17*C7</f>
        <v>130780.72799999996</v>
      </c>
      <c r="D18" s="14">
        <f t="shared" si="18"/>
        <v>146166.69599999997</v>
      </c>
      <c r="E18" s="14">
        <f t="shared" si="18"/>
        <v>161552.66400000002</v>
      </c>
      <c r="F18" s="14">
        <f t="shared" si="18"/>
        <v>169245.64800000004</v>
      </c>
      <c r="G18" s="14">
        <f t="shared" si="18"/>
        <v>169245.64800000004</v>
      </c>
      <c r="H18" s="14">
        <f t="shared" si="18"/>
        <v>169245.64800000004</v>
      </c>
      <c r="I18" s="14">
        <f t="shared" si="18"/>
        <v>153859.68</v>
      </c>
      <c r="J18" s="14">
        <f t="shared" si="18"/>
        <v>146166.69599999997</v>
      </c>
      <c r="K18" s="14">
        <f t="shared" si="18"/>
        <v>153859.68</v>
      </c>
      <c r="L18" s="14">
        <f t="shared" si="18"/>
        <v>161552.66400000002</v>
      </c>
      <c r="M18" s="14">
        <f t="shared" si="18"/>
        <v>161552.66400000002</v>
      </c>
      <c r="N18" s="14">
        <f t="shared" si="18"/>
        <v>123087.74399999998</v>
      </c>
      <c r="O18" s="14">
        <f>SUM(C18:N18)</f>
        <v>1846316.1600000001</v>
      </c>
      <c r="P18" s="14">
        <f>O18*(1+'Assumptions - Baseline (Стройка'!B13)</f>
        <v>2030947.7760000003</v>
      </c>
      <c r="Q18" s="14">
        <f>P18*(1+'Assumptions - Baseline (Стройка'!B13)</f>
        <v>2234042.5536000007</v>
      </c>
      <c r="R18" s="14">
        <f>Q18*(1+'Assumptions - Baseline (Стройка'!B13)</f>
        <v>2457446.808960001</v>
      </c>
      <c r="S18" s="14">
        <f>R18*(1+'Assumptions - Baseline (Стройка'!B13)</f>
        <v>2703191.4898560015</v>
      </c>
      <c r="T18" s="14">
        <f>SUM(O18:S18)</f>
        <v>11271944.788416002</v>
      </c>
    </row>
    <row r="19" spans="1:20" ht="16" customHeight="1" x14ac:dyDescent="0.2">
      <c r="A19" s="2" t="s">
        <v>303</v>
      </c>
      <c r="B19" s="4" t="s">
        <v>302</v>
      </c>
      <c r="C19" s="14">
        <f>C18*'Assumptions - Baseline (Стройка'!$B$17</f>
        <v>127499.99999999994</v>
      </c>
      <c r="D19" s="14">
        <f>D18*'Assumptions - Baseline (Стройка'!$B$17</f>
        <v>142499.99999999994</v>
      </c>
      <c r="E19" s="14">
        <f>E18*'Assumptions - Baseline (Стройка'!$B$17</f>
        <v>157500</v>
      </c>
      <c r="F19" s="14">
        <f>F18*'Assumptions - Baseline (Стройка'!$B$17</f>
        <v>165000.00000000003</v>
      </c>
      <c r="G19" s="14">
        <f>G18*'Assumptions - Baseline (Стройка'!$B$17</f>
        <v>165000.00000000003</v>
      </c>
      <c r="H19" s="14">
        <f>H18*'Assumptions - Baseline (Стройка'!$B$17</f>
        <v>165000.00000000003</v>
      </c>
      <c r="I19" s="14">
        <f>I18*'Assumptions - Baseline (Стройка'!$B$17</f>
        <v>149999.99999999997</v>
      </c>
      <c r="J19" s="14">
        <f>J18*'Assumptions - Baseline (Стройка'!$B$17</f>
        <v>142499.99999999994</v>
      </c>
      <c r="K19" s="14">
        <f>K18*'Assumptions - Baseline (Стройка'!$B$17</f>
        <v>149999.99999999997</v>
      </c>
      <c r="L19" s="14">
        <f>L18*'Assumptions - Baseline (Стройка'!$B$17</f>
        <v>157500</v>
      </c>
      <c r="M19" s="14">
        <f>M18*'Assumptions - Baseline (Стройка'!$B$17</f>
        <v>157500</v>
      </c>
      <c r="N19" s="14">
        <f>N18*'Assumptions - Baseline (Стройка'!$B$17</f>
        <v>119999.99999999996</v>
      </c>
      <c r="O19" s="14">
        <f>SUM(C19:N19)</f>
        <v>1799999.9999999998</v>
      </c>
      <c r="P19" s="14">
        <f>P18*'Assumptions - Baseline (Стройка'!$B$17</f>
        <v>1980000</v>
      </c>
      <c r="Q19" s="14">
        <f>Q18*'Assumptions - Baseline (Стройка'!$B$17</f>
        <v>2178000.0000000005</v>
      </c>
      <c r="R19" s="14">
        <f>R18*'Assumptions - Baseline (Стройка'!$B$17</f>
        <v>2395800.0000000005</v>
      </c>
      <c r="S19" s="14">
        <f>S18*'Assumptions - Baseline (Стройка'!$B$17</f>
        <v>2635380.0000000009</v>
      </c>
      <c r="T19" s="14">
        <f>T18*'Assumptions - Baseline (Стройка'!$B$17</f>
        <v>10989180</v>
      </c>
    </row>
    <row r="20" spans="1:20" ht="16" customHeight="1" x14ac:dyDescent="0.2">
      <c r="A20" s="2" t="s">
        <v>304</v>
      </c>
      <c r="B20" s="4" t="s">
        <v>305</v>
      </c>
      <c r="C20" s="14">
        <f t="shared" ref="C20:N20" si="19">C18*C8</f>
        <v>21796.787999999993</v>
      </c>
      <c r="D20" s="14">
        <f t="shared" si="19"/>
        <v>24361.115999999995</v>
      </c>
      <c r="E20" s="14">
        <f t="shared" si="19"/>
        <v>26925.444000000003</v>
      </c>
      <c r="F20" s="14">
        <f t="shared" si="19"/>
        <v>28207.608000000007</v>
      </c>
      <c r="G20" s="14">
        <f t="shared" si="19"/>
        <v>28207.608000000007</v>
      </c>
      <c r="H20" s="14">
        <f t="shared" si="19"/>
        <v>28207.608000000007</v>
      </c>
      <c r="I20" s="14">
        <f t="shared" si="19"/>
        <v>25643.279999999999</v>
      </c>
      <c r="J20" s="14">
        <f t="shared" si="19"/>
        <v>24361.115999999995</v>
      </c>
      <c r="K20" s="14">
        <f t="shared" si="19"/>
        <v>25643.279999999999</v>
      </c>
      <c r="L20" s="14">
        <f t="shared" si="19"/>
        <v>26925.444000000003</v>
      </c>
      <c r="M20" s="14">
        <f t="shared" si="19"/>
        <v>26925.444000000003</v>
      </c>
      <c r="N20" s="14">
        <f t="shared" si="19"/>
        <v>20514.623999999996</v>
      </c>
      <c r="O20" s="14">
        <f>SUM(C20:N20)</f>
        <v>307719.36000000004</v>
      </c>
      <c r="P20" s="14">
        <f>O20*(1+'Assumptions - Baseline (Стройка'!B13)</f>
        <v>338491.29600000009</v>
      </c>
      <c r="Q20" s="14">
        <f>P20*(1+'Assumptions - Baseline (Стройка'!B13)</f>
        <v>372340.42560000013</v>
      </c>
      <c r="R20" s="14">
        <f>Q20*(1+'Assumptions - Baseline (Стройка'!B13)</f>
        <v>409574.46816000016</v>
      </c>
      <c r="S20" s="14">
        <f>R20*(1+'Assumptions - Baseline (Стройка'!B13)</f>
        <v>450531.9149760002</v>
      </c>
      <c r="T20" s="14">
        <f>SUM(O20:S20)</f>
        <v>1878657.4647360006</v>
      </c>
    </row>
    <row r="22" spans="1:20" ht="15" customHeight="1" x14ac:dyDescent="0.2">
      <c r="A22" s="80" t="s">
        <v>306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</row>
    <row r="23" spans="1:20" ht="16" customHeight="1" x14ac:dyDescent="0.2">
      <c r="A23" s="2" t="s">
        <v>307</v>
      </c>
      <c r="B23" s="4" t="s">
        <v>308</v>
      </c>
      <c r="C23" s="14">
        <f t="shared" ref="C23:N23" si="20">C16/C10</f>
        <v>284925.33333333331</v>
      </c>
      <c r="D23" s="14">
        <f t="shared" si="20"/>
        <v>284925.33333333331</v>
      </c>
      <c r="E23" s="14">
        <f t="shared" si="20"/>
        <v>284925.33333333331</v>
      </c>
      <c r="F23" s="14">
        <f t="shared" si="20"/>
        <v>284925.33333333331</v>
      </c>
      <c r="G23" s="14">
        <f t="shared" si="20"/>
        <v>284925.33333333331</v>
      </c>
      <c r="H23" s="14">
        <f t="shared" si="20"/>
        <v>284925.33333333331</v>
      </c>
      <c r="I23" s="14">
        <f t="shared" si="20"/>
        <v>284925.33333333331</v>
      </c>
      <c r="J23" s="14">
        <f t="shared" si="20"/>
        <v>284925.33333333331</v>
      </c>
      <c r="K23" s="14">
        <f t="shared" si="20"/>
        <v>284925.33333333331</v>
      </c>
      <c r="L23" s="14">
        <f t="shared" si="20"/>
        <v>284925.33333333331</v>
      </c>
      <c r="M23" s="14">
        <f t="shared" si="20"/>
        <v>284925.33333333331</v>
      </c>
      <c r="N23" s="14">
        <f t="shared" si="20"/>
        <v>284925.33333333331</v>
      </c>
      <c r="O23" s="14">
        <f>AVERAGE(C23:N23)</f>
        <v>284925.33333333337</v>
      </c>
      <c r="P23" s="14">
        <f>P16/P10</f>
        <v>307719.36000000004</v>
      </c>
      <c r="Q23" s="14">
        <f>Q16/Q10</f>
        <v>332336.90880000003</v>
      </c>
      <c r="R23" s="14">
        <f>R16/R10</f>
        <v>358923.86150400009</v>
      </c>
      <c r="S23" s="14">
        <f>S16/S10</f>
        <v>387637.77042432013</v>
      </c>
      <c r="T23" s="14">
        <f>SUM(O23:S23)</f>
        <v>1671543.2340616537</v>
      </c>
    </row>
    <row r="24" spans="1:20" ht="16" customHeight="1" x14ac:dyDescent="0.2">
      <c r="A24" s="2" t="s">
        <v>309</v>
      </c>
      <c r="B24" s="4" t="s">
        <v>308</v>
      </c>
      <c r="C24" s="14">
        <f t="shared" ref="C24:N25" si="21">C23*C12</f>
        <v>28492.533333333333</v>
      </c>
      <c r="D24" s="14">
        <f t="shared" si="21"/>
        <v>28492.533333333333</v>
      </c>
      <c r="E24" s="14">
        <f t="shared" si="21"/>
        <v>28492.533333333333</v>
      </c>
      <c r="F24" s="14">
        <f t="shared" si="21"/>
        <v>28492.533333333333</v>
      </c>
      <c r="G24" s="14">
        <f t="shared" si="21"/>
        <v>28492.533333333333</v>
      </c>
      <c r="H24" s="14">
        <f t="shared" si="21"/>
        <v>28492.533333333333</v>
      </c>
      <c r="I24" s="14">
        <f t="shared" si="21"/>
        <v>28492.533333333333</v>
      </c>
      <c r="J24" s="14">
        <f t="shared" si="21"/>
        <v>28492.533333333333</v>
      </c>
      <c r="K24" s="14">
        <f t="shared" si="21"/>
        <v>28492.533333333333</v>
      </c>
      <c r="L24" s="14">
        <f t="shared" si="21"/>
        <v>28492.533333333333</v>
      </c>
      <c r="M24" s="14">
        <f t="shared" si="21"/>
        <v>28492.533333333333</v>
      </c>
      <c r="N24" s="14">
        <f t="shared" si="21"/>
        <v>28492.533333333333</v>
      </c>
      <c r="O24" s="14">
        <f>AVERAGE(C24:N24)</f>
        <v>28492.533333333329</v>
      </c>
      <c r="P24" s="14">
        <f>P23*P12</f>
        <v>30771.936000000005</v>
      </c>
      <c r="Q24" s="14">
        <f>Q23*Q12</f>
        <v>33233.690880000002</v>
      </c>
      <c r="R24" s="14">
        <f>R23*R12</f>
        <v>35892.386150400009</v>
      </c>
      <c r="S24" s="14">
        <f>S23*S12</f>
        <v>38763.777042432012</v>
      </c>
      <c r="T24" s="14">
        <f>SUM(O24:S24)</f>
        <v>167154.32340616535</v>
      </c>
    </row>
    <row r="25" spans="1:20" ht="16" customHeight="1" x14ac:dyDescent="0.2">
      <c r="A25" s="2" t="s">
        <v>118</v>
      </c>
      <c r="B25" s="4" t="s">
        <v>310</v>
      </c>
      <c r="C25" s="14">
        <f t="shared" si="21"/>
        <v>59359444.444444448</v>
      </c>
      <c r="D25" s="14">
        <f t="shared" si="21"/>
        <v>59359444.444444448</v>
      </c>
      <c r="E25" s="14">
        <f t="shared" si="21"/>
        <v>59359444.444444448</v>
      </c>
      <c r="F25" s="14">
        <f t="shared" si="21"/>
        <v>59359444.444444448</v>
      </c>
      <c r="G25" s="14">
        <f t="shared" si="21"/>
        <v>59359444.444444448</v>
      </c>
      <c r="H25" s="14">
        <f t="shared" si="21"/>
        <v>59359444.444444448</v>
      </c>
      <c r="I25" s="14">
        <f t="shared" si="21"/>
        <v>59359444.444444448</v>
      </c>
      <c r="J25" s="14">
        <f t="shared" si="21"/>
        <v>59359444.444444448</v>
      </c>
      <c r="K25" s="14">
        <f t="shared" si="21"/>
        <v>59359444.444444448</v>
      </c>
      <c r="L25" s="14">
        <f t="shared" si="21"/>
        <v>59359444.444444448</v>
      </c>
      <c r="M25" s="14">
        <f t="shared" si="21"/>
        <v>59359444.444444448</v>
      </c>
      <c r="N25" s="14">
        <f t="shared" si="21"/>
        <v>59359444.444444448</v>
      </c>
      <c r="O25" s="14">
        <f>SUM(C25:N25)</f>
        <v>712313333.33333313</v>
      </c>
      <c r="P25" s="14">
        <f>P24*P13*12</f>
        <v>807763320.00000036</v>
      </c>
      <c r="Q25" s="14">
        <f>Q24*Q13*12</f>
        <v>916003604.88000035</v>
      </c>
      <c r="R25" s="14">
        <f>R24*R13*12</f>
        <v>1038748087.9339204</v>
      </c>
      <c r="S25" s="14">
        <f>S24*S13*12</f>
        <v>1177940331.7170658</v>
      </c>
      <c r="T25" s="14">
        <f>SUM(O25:S25)</f>
        <v>4652768677.8643208</v>
      </c>
    </row>
    <row r="27" spans="1:20" ht="15" customHeight="1" x14ac:dyDescent="0.2">
      <c r="A27" s="80" t="s">
        <v>311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</row>
    <row r="28" spans="1:20" ht="16" customHeight="1" x14ac:dyDescent="0.2">
      <c r="A28" s="2" t="s">
        <v>312</v>
      </c>
      <c r="B28" s="4" t="s">
        <v>29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0">
        <f>AVERAGE(C7:N7)</f>
        <v>4.0000000000000013E-4</v>
      </c>
      <c r="P28" s="4"/>
      <c r="Q28" s="4"/>
      <c r="R28" s="4"/>
      <c r="S28" s="4"/>
      <c r="T28" s="4"/>
    </row>
    <row r="29" spans="1:20" ht="16" customHeight="1" x14ac:dyDescent="0.2">
      <c r="A29" s="2" t="s">
        <v>313</v>
      </c>
      <c r="B29" s="4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0">
        <f>SUM(C7:N7)</f>
        <v>4.8000000000000013E-3</v>
      </c>
      <c r="P29" s="4"/>
      <c r="Q29" s="4"/>
      <c r="R29" s="4"/>
      <c r="S29" s="4"/>
      <c r="T29" s="4"/>
    </row>
    <row r="30" spans="1:20" ht="16" customHeight="1" x14ac:dyDescent="0.2">
      <c r="A30" s="2" t="s">
        <v>314</v>
      </c>
      <c r="B30" s="4" t="s">
        <v>315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>
        <f>O18/'[1]Assumptions - Baseline (Стройка'!B4</f>
        <v>1.0257312000000001</v>
      </c>
      <c r="P30" s="15"/>
      <c r="Q30" s="15"/>
      <c r="R30" s="15"/>
      <c r="S30" s="15"/>
      <c r="T30" s="15"/>
    </row>
    <row r="31" spans="1:20" ht="16" customHeight="1" x14ac:dyDescent="0.2">
      <c r="A31" s="2" t="s">
        <v>316</v>
      </c>
      <c r="B31" s="4" t="s">
        <v>315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>
        <f>O20/'[1]Assumptions - Baseline (Стройка'!B5</f>
        <v>1.0257312000000001</v>
      </c>
      <c r="P31" s="15"/>
      <c r="Q31" s="15"/>
      <c r="R31" s="15"/>
      <c r="S31" s="15"/>
      <c r="T31" s="15"/>
    </row>
    <row r="34" spans="1:9" ht="15" customHeight="1" x14ac:dyDescent="0.2">
      <c r="A34" s="26"/>
      <c r="B34" s="26"/>
      <c r="C34" s="26"/>
      <c r="D34" s="26"/>
      <c r="E34" s="26"/>
      <c r="F34" s="26"/>
      <c r="G34" s="26"/>
      <c r="H34" s="16"/>
      <c r="I34" s="16"/>
    </row>
    <row r="35" spans="1:9" x14ac:dyDescent="0.2">
      <c r="A35" s="26"/>
      <c r="B35" s="26"/>
      <c r="C35" s="26"/>
      <c r="D35" s="26"/>
      <c r="E35" s="26"/>
      <c r="F35" s="26"/>
      <c r="G35" s="26"/>
      <c r="H35" s="16"/>
      <c r="I35" s="16"/>
    </row>
    <row r="36" spans="1:9" x14ac:dyDescent="0.2">
      <c r="A36" s="26"/>
      <c r="B36" s="26"/>
      <c r="C36" s="26"/>
      <c r="D36" s="26"/>
      <c r="E36" s="26"/>
      <c r="F36" s="26"/>
      <c r="G36" s="26"/>
      <c r="H36" s="16"/>
      <c r="I36" s="16"/>
    </row>
    <row r="37" spans="1:9" x14ac:dyDescent="0.2">
      <c r="A37" s="26"/>
      <c r="B37" s="26"/>
      <c r="C37" s="26"/>
      <c r="D37" s="26"/>
      <c r="E37" s="26"/>
      <c r="F37" s="26"/>
      <c r="G37" s="26"/>
      <c r="H37" s="16"/>
      <c r="I37" s="16"/>
    </row>
    <row r="38" spans="1:9" x14ac:dyDescent="0.2">
      <c r="A38" s="26"/>
      <c r="B38" s="26"/>
      <c r="C38" s="26"/>
      <c r="D38" s="26"/>
      <c r="E38" s="26"/>
      <c r="F38" s="26"/>
      <c r="G38" s="26"/>
      <c r="H38" s="16"/>
      <c r="I38" s="16"/>
    </row>
    <row r="39" spans="1:9" x14ac:dyDescent="0.2">
      <c r="A39" s="26"/>
      <c r="B39" s="26"/>
      <c r="C39" s="26"/>
      <c r="D39" s="26"/>
      <c r="E39" s="26"/>
      <c r="F39" s="26"/>
      <c r="G39" s="26"/>
      <c r="H39" s="16"/>
      <c r="I39" s="16"/>
    </row>
    <row r="40" spans="1:9" x14ac:dyDescent="0.2">
      <c r="A40" s="26"/>
      <c r="B40" s="26"/>
      <c r="C40" s="26"/>
      <c r="D40" s="26"/>
      <c r="E40" s="26"/>
      <c r="F40" s="26"/>
      <c r="G40" s="26"/>
      <c r="H40" s="16"/>
      <c r="I40" s="16"/>
    </row>
    <row r="41" spans="1:9" x14ac:dyDescent="0.2">
      <c r="A41" s="26"/>
      <c r="B41" s="26"/>
      <c r="C41" s="26"/>
      <c r="D41" s="26"/>
      <c r="E41" s="26"/>
      <c r="F41" s="26"/>
      <c r="G41" s="26"/>
      <c r="H41" s="16"/>
      <c r="I41" s="16"/>
    </row>
    <row r="42" spans="1:9" x14ac:dyDescent="0.2">
      <c r="A42" s="26"/>
      <c r="B42" s="26"/>
      <c r="C42" s="26"/>
      <c r="D42" s="26"/>
      <c r="E42" s="26"/>
      <c r="F42" s="26"/>
      <c r="G42" s="26"/>
      <c r="H42" s="16"/>
      <c r="I42" s="16"/>
    </row>
    <row r="43" spans="1:9" x14ac:dyDescent="0.2">
      <c r="A43" s="26"/>
      <c r="B43" s="26"/>
      <c r="C43" s="26"/>
      <c r="D43" s="26"/>
      <c r="E43" s="26"/>
      <c r="F43" s="26"/>
      <c r="G43" s="26"/>
      <c r="H43" s="16"/>
      <c r="I43" s="16"/>
    </row>
    <row r="44" spans="1:9" x14ac:dyDescent="0.2">
      <c r="A44" s="26"/>
      <c r="B44" s="26"/>
      <c r="C44" s="26"/>
      <c r="D44" s="26"/>
      <c r="E44" s="26"/>
      <c r="F44" s="26"/>
      <c r="G44" s="26"/>
      <c r="H44" s="16"/>
      <c r="I44" s="16"/>
    </row>
    <row r="45" spans="1:9" x14ac:dyDescent="0.2">
      <c r="A45" s="26"/>
      <c r="B45" s="26"/>
      <c r="C45" s="26"/>
      <c r="D45" s="26"/>
      <c r="E45" s="26"/>
      <c r="F45" s="26"/>
      <c r="G45" s="26"/>
      <c r="H45" s="16"/>
      <c r="I45" s="16"/>
    </row>
    <row r="46" spans="1:9" x14ac:dyDescent="0.2">
      <c r="A46" s="26"/>
      <c r="B46" s="26"/>
      <c r="C46" s="26"/>
      <c r="D46" s="26"/>
      <c r="E46" s="26"/>
      <c r="F46" s="26"/>
      <c r="G46" s="26"/>
      <c r="H46" s="16"/>
      <c r="I46" s="16"/>
    </row>
    <row r="47" spans="1:9" x14ac:dyDescent="0.2">
      <c r="A47" s="26"/>
      <c r="B47" s="26"/>
      <c r="C47" s="26"/>
      <c r="D47" s="26"/>
      <c r="E47" s="26"/>
      <c r="F47" s="26"/>
      <c r="G47" s="26"/>
      <c r="H47" s="16"/>
      <c r="I47" s="16"/>
    </row>
    <row r="48" spans="1:9" x14ac:dyDescent="0.2">
      <c r="A48" s="26"/>
      <c r="B48" s="26"/>
      <c r="C48" s="26"/>
      <c r="D48" s="26"/>
      <c r="E48" s="26"/>
      <c r="F48" s="26"/>
      <c r="G48" s="26"/>
      <c r="H48" s="16"/>
      <c r="I48" s="16"/>
    </row>
    <row r="49" spans="1:9" x14ac:dyDescent="0.2">
      <c r="A49" s="26"/>
      <c r="B49" s="26"/>
      <c r="C49" s="26"/>
      <c r="D49" s="26"/>
      <c r="E49" s="26"/>
      <c r="F49" s="26"/>
      <c r="G49" s="26"/>
      <c r="H49" s="16"/>
      <c r="I49" s="16"/>
    </row>
    <row r="50" spans="1:9" x14ac:dyDescent="0.2">
      <c r="A50" s="26"/>
      <c r="B50" s="26"/>
      <c r="C50" s="26"/>
      <c r="D50" s="26"/>
      <c r="E50" s="26"/>
      <c r="F50" s="26"/>
      <c r="G50" s="26"/>
      <c r="H50" s="16"/>
      <c r="I50" s="16"/>
    </row>
    <row r="51" spans="1:9" x14ac:dyDescent="0.2">
      <c r="A51" s="26"/>
      <c r="B51" s="26"/>
      <c r="C51" s="26"/>
      <c r="D51" s="26"/>
      <c r="E51" s="26"/>
      <c r="F51" s="26"/>
      <c r="G51" s="26"/>
      <c r="H51" s="16"/>
      <c r="I51" s="16"/>
    </row>
    <row r="52" spans="1:9" x14ac:dyDescent="0.2">
      <c r="A52" s="26"/>
      <c r="B52" s="26"/>
      <c r="C52" s="26"/>
      <c r="D52" s="26"/>
      <c r="E52" s="26"/>
      <c r="F52" s="26"/>
      <c r="G52" s="26"/>
      <c r="H52" s="16"/>
      <c r="I52" s="16"/>
    </row>
    <row r="53" spans="1:9" x14ac:dyDescent="0.2">
      <c r="A53" s="26"/>
      <c r="B53" s="26"/>
      <c r="C53" s="26"/>
      <c r="D53" s="26"/>
      <c r="E53" s="26"/>
      <c r="F53" s="26"/>
      <c r="G53" s="26"/>
      <c r="H53" s="16"/>
      <c r="I53" s="16"/>
    </row>
    <row r="54" spans="1:9" x14ac:dyDescent="0.2">
      <c r="A54" s="26"/>
      <c r="B54" s="26"/>
      <c r="C54" s="26"/>
      <c r="D54" s="26"/>
      <c r="E54" s="26"/>
      <c r="F54" s="26"/>
      <c r="G54" s="26"/>
      <c r="H54" s="16"/>
      <c r="I54" s="16"/>
    </row>
    <row r="55" spans="1:9" x14ac:dyDescent="0.2">
      <c r="A55" s="26"/>
      <c r="B55" s="26"/>
      <c r="C55" s="26"/>
      <c r="D55" s="26"/>
      <c r="E55" s="26"/>
      <c r="F55" s="26"/>
      <c r="G55" s="26"/>
      <c r="H55" s="16"/>
      <c r="I55" s="16"/>
    </row>
    <row r="56" spans="1:9" x14ac:dyDescent="0.2">
      <c r="A56" s="26"/>
      <c r="B56" s="26"/>
      <c r="C56" s="26"/>
      <c r="D56" s="26"/>
      <c r="E56" s="26"/>
      <c r="F56" s="26"/>
      <c r="G56" s="26"/>
      <c r="H56" s="16"/>
      <c r="I56" s="16"/>
    </row>
    <row r="57" spans="1:9" x14ac:dyDescent="0.2">
      <c r="A57" s="26"/>
      <c r="B57" s="26"/>
      <c r="C57" s="26"/>
      <c r="D57" s="26"/>
      <c r="E57" s="26"/>
      <c r="F57" s="26"/>
      <c r="G57" s="26"/>
      <c r="H57" s="16"/>
      <c r="I57" s="16"/>
    </row>
    <row r="58" spans="1:9" x14ac:dyDescent="0.2">
      <c r="A58" s="26"/>
      <c r="B58" s="26"/>
      <c r="C58" s="26"/>
      <c r="D58" s="26"/>
      <c r="E58" s="26"/>
      <c r="F58" s="26"/>
      <c r="G58" s="26"/>
      <c r="H58" s="16"/>
      <c r="I58" s="16"/>
    </row>
    <row r="59" spans="1:9" x14ac:dyDescent="0.2">
      <c r="A59" s="26"/>
      <c r="B59" s="26"/>
      <c r="C59" s="26"/>
      <c r="D59" s="26"/>
      <c r="E59" s="26"/>
      <c r="F59" s="26"/>
      <c r="G59" s="26"/>
      <c r="H59" s="16"/>
      <c r="I59" s="16"/>
    </row>
    <row r="60" spans="1:9" x14ac:dyDescent="0.2">
      <c r="A60" s="26"/>
      <c r="B60" s="26"/>
      <c r="C60" s="26"/>
      <c r="D60" s="26"/>
      <c r="E60" s="26"/>
      <c r="F60" s="26"/>
      <c r="G60" s="26"/>
      <c r="H60" s="16"/>
      <c r="I60" s="16"/>
    </row>
    <row r="61" spans="1:9" x14ac:dyDescent="0.2">
      <c r="A61" s="26"/>
      <c r="B61" s="26"/>
      <c r="C61" s="26"/>
      <c r="D61" s="26"/>
      <c r="E61" s="26"/>
      <c r="F61" s="26"/>
      <c r="G61" s="26"/>
      <c r="H61" s="16"/>
      <c r="I61" s="16"/>
    </row>
    <row r="62" spans="1:9" x14ac:dyDescent="0.2">
      <c r="A62" s="26"/>
      <c r="B62" s="26"/>
      <c r="C62" s="26"/>
      <c r="D62" s="26"/>
      <c r="E62" s="26"/>
      <c r="F62" s="26"/>
      <c r="G62" s="26"/>
      <c r="H62" s="16"/>
      <c r="I62" s="16"/>
    </row>
    <row r="63" spans="1:9" x14ac:dyDescent="0.2">
      <c r="A63" s="26"/>
      <c r="B63" s="26"/>
      <c r="C63" s="26"/>
      <c r="D63" s="26"/>
      <c r="E63" s="26"/>
      <c r="F63" s="26"/>
      <c r="G63" s="26"/>
      <c r="H63" s="16"/>
      <c r="I63" s="16"/>
    </row>
    <row r="64" spans="1:9" x14ac:dyDescent="0.2">
      <c r="A64" s="26"/>
      <c r="B64" s="26"/>
      <c r="C64" s="26"/>
      <c r="D64" s="26"/>
      <c r="E64" s="26"/>
      <c r="F64" s="26"/>
      <c r="G64" s="26"/>
      <c r="H64" s="16"/>
      <c r="I64" s="16"/>
    </row>
    <row r="65" spans="1:9" x14ac:dyDescent="0.2">
      <c r="A65" s="26"/>
      <c r="B65" s="26"/>
      <c r="C65" s="26"/>
      <c r="D65" s="26"/>
      <c r="E65" s="26"/>
      <c r="F65" s="26"/>
      <c r="G65" s="26"/>
      <c r="H65" s="16"/>
      <c r="I65" s="16"/>
    </row>
    <row r="66" spans="1:9" x14ac:dyDescent="0.2">
      <c r="A66" s="26"/>
      <c r="B66" s="26"/>
      <c r="C66" s="26"/>
      <c r="D66" s="26"/>
      <c r="E66" s="26"/>
      <c r="F66" s="26"/>
      <c r="G66" s="26"/>
      <c r="H66" s="16"/>
      <c r="I66" s="16"/>
    </row>
    <row r="67" spans="1:9" x14ac:dyDescent="0.2">
      <c r="A67" s="26"/>
      <c r="B67" s="26"/>
      <c r="C67" s="26"/>
      <c r="D67" s="26"/>
      <c r="E67" s="26"/>
      <c r="F67" s="26"/>
      <c r="G67" s="26"/>
      <c r="H67" s="16"/>
      <c r="I67" s="16"/>
    </row>
    <row r="68" spans="1:9" x14ac:dyDescent="0.2">
      <c r="A68" s="26"/>
      <c r="B68" s="26"/>
      <c r="C68" s="26"/>
      <c r="D68" s="26"/>
      <c r="E68" s="26"/>
      <c r="F68" s="26"/>
      <c r="G68" s="26"/>
      <c r="H68" s="16"/>
      <c r="I68" s="16"/>
    </row>
    <row r="69" spans="1:9" x14ac:dyDescent="0.2">
      <c r="A69" s="26"/>
      <c r="B69" s="26"/>
      <c r="C69" s="26"/>
      <c r="D69" s="26"/>
      <c r="E69" s="26"/>
      <c r="F69" s="26"/>
      <c r="G69" s="26"/>
      <c r="H69" s="16"/>
      <c r="I69" s="16"/>
    </row>
    <row r="70" spans="1:9" x14ac:dyDescent="0.2">
      <c r="A70" s="26"/>
      <c r="B70" s="26"/>
      <c r="C70" s="26"/>
      <c r="D70" s="26"/>
      <c r="E70" s="26"/>
      <c r="F70" s="26"/>
      <c r="G70" s="26"/>
      <c r="H70" s="16"/>
      <c r="I70" s="16"/>
    </row>
    <row r="71" spans="1:9" x14ac:dyDescent="0.2">
      <c r="A71" s="26"/>
      <c r="B71" s="26"/>
      <c r="C71" s="26"/>
      <c r="D71" s="26"/>
      <c r="E71" s="26"/>
      <c r="F71" s="26"/>
      <c r="G71" s="26"/>
      <c r="H71" s="16"/>
      <c r="I71" s="16"/>
    </row>
    <row r="72" spans="1:9" x14ac:dyDescent="0.2">
      <c r="A72" s="26"/>
      <c r="B72" s="26"/>
      <c r="C72" s="26"/>
      <c r="D72" s="26"/>
      <c r="E72" s="26"/>
      <c r="F72" s="26"/>
      <c r="G72" s="26"/>
      <c r="H72" s="16"/>
      <c r="I72" s="16"/>
    </row>
    <row r="73" spans="1:9" x14ac:dyDescent="0.2">
      <c r="A73" s="26"/>
      <c r="B73" s="26"/>
      <c r="C73" s="26"/>
      <c r="D73" s="26"/>
      <c r="E73" s="26"/>
      <c r="F73" s="26"/>
      <c r="G73" s="26"/>
      <c r="H73" s="16"/>
      <c r="I73" s="16"/>
    </row>
    <row r="74" spans="1:9" x14ac:dyDescent="0.2">
      <c r="A74" s="26"/>
      <c r="B74" s="26"/>
      <c r="C74" s="26"/>
      <c r="D74" s="26"/>
      <c r="E74" s="26"/>
      <c r="F74" s="26"/>
      <c r="G74" s="26"/>
      <c r="H74" s="16"/>
      <c r="I74" s="16"/>
    </row>
    <row r="75" spans="1:9" x14ac:dyDescent="0.2">
      <c r="A75" s="26"/>
      <c r="B75" s="26"/>
      <c r="C75" s="26"/>
      <c r="D75" s="26"/>
      <c r="E75" s="26"/>
      <c r="F75" s="26"/>
      <c r="G75" s="26"/>
      <c r="H75" s="16"/>
      <c r="I75" s="16"/>
    </row>
    <row r="76" spans="1:9" x14ac:dyDescent="0.2">
      <c r="A76" s="26"/>
      <c r="B76" s="26"/>
      <c r="C76" s="26"/>
      <c r="D76" s="26"/>
      <c r="E76" s="26"/>
      <c r="F76" s="26"/>
      <c r="G76" s="26"/>
      <c r="H76" s="16"/>
      <c r="I76" s="16"/>
    </row>
    <row r="77" spans="1:9" x14ac:dyDescent="0.2">
      <c r="A77" s="26"/>
      <c r="B77" s="26"/>
      <c r="C77" s="26"/>
      <c r="D77" s="26"/>
      <c r="E77" s="26"/>
      <c r="F77" s="26"/>
      <c r="G77" s="26"/>
      <c r="H77" s="16"/>
      <c r="I77" s="16"/>
    </row>
    <row r="78" spans="1:9" x14ac:dyDescent="0.2">
      <c r="A78" s="26"/>
      <c r="B78" s="26"/>
      <c r="C78" s="26"/>
      <c r="D78" s="26"/>
      <c r="E78" s="26"/>
      <c r="F78" s="26"/>
      <c r="G78" s="26"/>
      <c r="H78" s="16"/>
      <c r="I78" s="16"/>
    </row>
    <row r="79" spans="1:9" x14ac:dyDescent="0.2">
      <c r="A79" s="26"/>
      <c r="B79" s="26"/>
      <c r="C79" s="26"/>
      <c r="D79" s="26"/>
      <c r="E79" s="26"/>
      <c r="F79" s="26"/>
      <c r="G79" s="26"/>
      <c r="H79" s="16"/>
      <c r="I79" s="16"/>
    </row>
    <row r="80" spans="1:9" x14ac:dyDescent="0.2">
      <c r="A80" s="26"/>
      <c r="B80" s="26"/>
      <c r="C80" s="26"/>
      <c r="D80" s="26"/>
      <c r="E80" s="26"/>
      <c r="F80" s="26"/>
      <c r="G80" s="26"/>
      <c r="H80" s="16"/>
      <c r="I80" s="16"/>
    </row>
    <row r="81" spans="1:9" x14ac:dyDescent="0.2">
      <c r="A81" s="26"/>
      <c r="B81" s="26"/>
      <c r="C81" s="26"/>
      <c r="D81" s="26"/>
      <c r="E81" s="26"/>
      <c r="F81" s="26"/>
      <c r="G81" s="26"/>
      <c r="H81" s="16"/>
      <c r="I81" s="16"/>
    </row>
    <row r="82" spans="1:9" x14ac:dyDescent="0.2">
      <c r="A82" s="26"/>
      <c r="B82" s="26"/>
      <c r="C82" s="26"/>
      <c r="D82" s="26"/>
      <c r="E82" s="26"/>
      <c r="F82" s="26"/>
      <c r="G82" s="26"/>
      <c r="H82" s="16"/>
      <c r="I82" s="16"/>
    </row>
    <row r="83" spans="1:9" x14ac:dyDescent="0.2">
      <c r="A83" s="26"/>
      <c r="B83" s="26"/>
      <c r="C83" s="26"/>
      <c r="D83" s="26"/>
      <c r="E83" s="26"/>
      <c r="F83" s="26"/>
      <c r="G83" s="26"/>
      <c r="H83" s="16"/>
      <c r="I83" s="16"/>
    </row>
    <row r="84" spans="1:9" x14ac:dyDescent="0.2">
      <c r="A84" s="26"/>
      <c r="B84" s="26"/>
      <c r="C84" s="26"/>
      <c r="D84" s="26"/>
      <c r="E84" s="26"/>
      <c r="F84" s="26"/>
      <c r="G84" s="26"/>
      <c r="H84" s="16"/>
      <c r="I84" s="16"/>
    </row>
    <row r="85" spans="1:9" x14ac:dyDescent="0.2">
      <c r="A85" s="26"/>
      <c r="B85" s="26"/>
      <c r="C85" s="26"/>
      <c r="D85" s="26"/>
      <c r="E85" s="26"/>
      <c r="F85" s="26"/>
      <c r="G85" s="26"/>
      <c r="H85" s="16"/>
      <c r="I85" s="16"/>
    </row>
    <row r="86" spans="1:9" x14ac:dyDescent="0.2">
      <c r="A86" s="26"/>
      <c r="B86" s="26"/>
      <c r="C86" s="26"/>
      <c r="D86" s="26"/>
      <c r="E86" s="26"/>
      <c r="F86" s="26"/>
      <c r="G86" s="26"/>
      <c r="H86" s="16"/>
      <c r="I86" s="16"/>
    </row>
    <row r="87" spans="1:9" x14ac:dyDescent="0.2">
      <c r="A87" s="26"/>
      <c r="B87" s="26"/>
      <c r="C87" s="26"/>
      <c r="D87" s="26"/>
      <c r="E87" s="26"/>
      <c r="F87" s="26"/>
      <c r="G87" s="26"/>
    </row>
    <row r="88" spans="1:9" x14ac:dyDescent="0.2">
      <c r="A88" s="26"/>
      <c r="B88" s="26"/>
      <c r="C88" s="26"/>
      <c r="D88" s="26"/>
      <c r="E88" s="26"/>
      <c r="F88" s="26"/>
      <c r="G88" s="26"/>
    </row>
    <row r="89" spans="1:9" x14ac:dyDescent="0.2">
      <c r="A89" s="26"/>
      <c r="B89" s="26"/>
      <c r="C89" s="26"/>
      <c r="D89" s="26"/>
      <c r="E89" s="26"/>
      <c r="F89" s="26"/>
      <c r="G89" s="26"/>
    </row>
    <row r="90" spans="1:9" x14ac:dyDescent="0.2">
      <c r="A90" s="26"/>
      <c r="B90" s="26"/>
      <c r="C90" s="26"/>
      <c r="D90" s="26"/>
      <c r="E90" s="26"/>
      <c r="F90" s="26"/>
      <c r="G90" s="26"/>
    </row>
    <row r="91" spans="1:9" x14ac:dyDescent="0.2">
      <c r="A91" s="26"/>
      <c r="B91" s="26"/>
      <c r="C91" s="26"/>
      <c r="D91" s="26"/>
      <c r="E91" s="26"/>
      <c r="F91" s="26"/>
      <c r="G91" s="26"/>
    </row>
    <row r="92" spans="1:9" x14ac:dyDescent="0.2">
      <c r="A92" s="26"/>
      <c r="B92" s="26"/>
      <c r="C92" s="26"/>
      <c r="D92" s="26"/>
      <c r="E92" s="26"/>
      <c r="F92" s="26"/>
      <c r="G92" s="26"/>
    </row>
    <row r="93" spans="1:9" x14ac:dyDescent="0.2">
      <c r="A93" s="26"/>
      <c r="B93" s="26"/>
      <c r="C93" s="26"/>
      <c r="D93" s="26"/>
      <c r="E93" s="26"/>
      <c r="F93" s="26"/>
      <c r="G93" s="26"/>
    </row>
    <row r="94" spans="1:9" x14ac:dyDescent="0.2">
      <c r="A94" s="26"/>
      <c r="B94" s="26"/>
      <c r="C94" s="26"/>
      <c r="D94" s="26"/>
      <c r="E94" s="26"/>
      <c r="F94" s="26"/>
      <c r="G94" s="26"/>
    </row>
    <row r="95" spans="1:9" x14ac:dyDescent="0.2">
      <c r="A95" s="26"/>
      <c r="B95" s="26"/>
      <c r="C95" s="26"/>
      <c r="D95" s="26"/>
      <c r="E95" s="26"/>
      <c r="F95" s="26"/>
      <c r="G95" s="26"/>
    </row>
    <row r="96" spans="1:9" x14ac:dyDescent="0.2">
      <c r="A96" s="26"/>
      <c r="B96" s="26"/>
      <c r="C96" s="26"/>
      <c r="D96" s="26"/>
      <c r="E96" s="26"/>
      <c r="F96" s="26"/>
      <c r="G96" s="26"/>
    </row>
    <row r="97" spans="1:7" x14ac:dyDescent="0.2">
      <c r="A97" s="26"/>
      <c r="B97" s="26"/>
      <c r="C97" s="26"/>
      <c r="D97" s="26"/>
      <c r="E97" s="26"/>
      <c r="F97" s="26"/>
      <c r="G97" s="26"/>
    </row>
    <row r="98" spans="1:7" x14ac:dyDescent="0.2">
      <c r="A98" s="26"/>
      <c r="B98" s="26"/>
      <c r="C98" s="26"/>
      <c r="D98" s="26"/>
      <c r="E98" s="26"/>
      <c r="F98" s="26"/>
      <c r="G98" s="26"/>
    </row>
    <row r="99" spans="1:7" x14ac:dyDescent="0.2">
      <c r="A99" s="26"/>
      <c r="B99" s="26"/>
      <c r="C99" s="26"/>
      <c r="D99" s="26"/>
      <c r="E99" s="26"/>
      <c r="F99" s="26"/>
      <c r="G99" s="26"/>
    </row>
    <row r="100" spans="1:7" x14ac:dyDescent="0.2">
      <c r="A100" s="26"/>
      <c r="B100" s="26"/>
      <c r="C100" s="26"/>
      <c r="D100" s="26"/>
      <c r="E100" s="26"/>
      <c r="F100" s="26"/>
      <c r="G100" s="26"/>
    </row>
    <row r="101" spans="1:7" x14ac:dyDescent="0.2">
      <c r="A101" s="26"/>
      <c r="B101" s="26"/>
      <c r="C101" s="26"/>
      <c r="D101" s="26"/>
      <c r="E101" s="26"/>
      <c r="F101" s="26"/>
      <c r="G101" s="26"/>
    </row>
    <row r="102" spans="1:7" x14ac:dyDescent="0.2">
      <c r="A102" s="26"/>
      <c r="B102" s="26"/>
      <c r="C102" s="26"/>
      <c r="D102" s="26"/>
      <c r="E102" s="26"/>
      <c r="F102" s="26"/>
      <c r="G102" s="26"/>
    </row>
    <row r="103" spans="1:7" x14ac:dyDescent="0.2">
      <c r="A103" s="26"/>
      <c r="B103" s="26"/>
      <c r="C103" s="26"/>
      <c r="D103" s="26"/>
      <c r="E103" s="26"/>
      <c r="F103" s="26"/>
      <c r="G103" s="26"/>
    </row>
    <row r="104" spans="1:7" x14ac:dyDescent="0.2">
      <c r="A104" s="26"/>
      <c r="B104" s="26"/>
      <c r="C104" s="26"/>
      <c r="D104" s="26"/>
      <c r="E104" s="26"/>
      <c r="F104" s="26"/>
      <c r="G104" s="26"/>
    </row>
    <row r="105" spans="1:7" x14ac:dyDescent="0.2">
      <c r="A105" s="26"/>
      <c r="B105" s="26"/>
      <c r="C105" s="26"/>
      <c r="D105" s="26"/>
      <c r="E105" s="26"/>
      <c r="F105" s="26"/>
      <c r="G105" s="26"/>
    </row>
    <row r="106" spans="1:7" x14ac:dyDescent="0.2">
      <c r="A106" s="26"/>
      <c r="B106" s="26"/>
      <c r="C106" s="26"/>
      <c r="D106" s="26"/>
      <c r="E106" s="26"/>
      <c r="F106" s="26"/>
      <c r="G106" s="26"/>
    </row>
    <row r="107" spans="1:7" x14ac:dyDescent="0.2">
      <c r="A107" s="26"/>
      <c r="B107" s="26"/>
      <c r="C107" s="26"/>
      <c r="D107" s="26"/>
      <c r="E107" s="26"/>
      <c r="F107" s="26"/>
      <c r="G107" s="26"/>
    </row>
    <row r="108" spans="1:7" x14ac:dyDescent="0.2">
      <c r="A108" s="26"/>
      <c r="B108" s="26"/>
      <c r="C108" s="26"/>
      <c r="D108" s="26"/>
      <c r="E108" s="26"/>
      <c r="F108" s="26"/>
      <c r="G108" s="26"/>
    </row>
    <row r="109" spans="1:7" x14ac:dyDescent="0.2">
      <c r="A109" s="26"/>
      <c r="B109" s="26"/>
      <c r="C109" s="26"/>
      <c r="D109" s="26"/>
      <c r="E109" s="26"/>
      <c r="F109" s="26"/>
      <c r="G109" s="26"/>
    </row>
    <row r="110" spans="1:7" x14ac:dyDescent="0.2">
      <c r="A110" s="26"/>
      <c r="B110" s="26"/>
      <c r="C110" s="26"/>
      <c r="D110" s="26"/>
      <c r="E110" s="26"/>
      <c r="F110" s="26"/>
      <c r="G110" s="26"/>
    </row>
    <row r="111" spans="1:7" x14ac:dyDescent="0.2">
      <c r="A111" s="26"/>
      <c r="B111" s="26"/>
      <c r="C111" s="26"/>
      <c r="D111" s="26"/>
      <c r="E111" s="26"/>
      <c r="F111" s="26"/>
      <c r="G111" s="26"/>
    </row>
    <row r="112" spans="1:7" x14ac:dyDescent="0.2">
      <c r="A112" s="26"/>
      <c r="B112" s="26"/>
      <c r="C112" s="26"/>
      <c r="D112" s="26"/>
      <c r="E112" s="26"/>
      <c r="F112" s="26"/>
      <c r="G112" s="26"/>
    </row>
    <row r="113" spans="1:7" x14ac:dyDescent="0.2">
      <c r="A113" s="26"/>
      <c r="B113" s="26"/>
      <c r="C113" s="26"/>
      <c r="D113" s="26"/>
      <c r="E113" s="26"/>
      <c r="F113" s="26"/>
      <c r="G113" s="26"/>
    </row>
    <row r="114" spans="1:7" x14ac:dyDescent="0.2">
      <c r="A114" s="26"/>
      <c r="B114" s="26"/>
      <c r="C114" s="26"/>
      <c r="D114" s="26"/>
      <c r="E114" s="26"/>
      <c r="F114" s="26"/>
      <c r="G114" s="26"/>
    </row>
    <row r="115" spans="1:7" x14ac:dyDescent="0.2">
      <c r="A115" s="26"/>
      <c r="B115" s="26"/>
      <c r="C115" s="26"/>
      <c r="D115" s="26"/>
      <c r="E115" s="26"/>
      <c r="F115" s="26"/>
      <c r="G115" s="26"/>
    </row>
    <row r="116" spans="1:7" x14ac:dyDescent="0.2">
      <c r="A116" s="26"/>
      <c r="B116" s="26"/>
      <c r="C116" s="26"/>
      <c r="D116" s="26"/>
      <c r="E116" s="26"/>
      <c r="F116" s="26"/>
      <c r="G116" s="26"/>
    </row>
    <row r="117" spans="1:7" x14ac:dyDescent="0.2">
      <c r="A117" s="26"/>
      <c r="B117" s="26"/>
      <c r="C117" s="26"/>
      <c r="D117" s="26"/>
      <c r="E117" s="26"/>
      <c r="F117" s="26"/>
      <c r="G117" s="26"/>
    </row>
    <row r="118" spans="1:7" x14ac:dyDescent="0.2">
      <c r="A118" s="26"/>
      <c r="B118" s="26"/>
      <c r="C118" s="26"/>
      <c r="D118" s="26"/>
      <c r="E118" s="26"/>
      <c r="F118" s="26"/>
      <c r="G118" s="26"/>
    </row>
    <row r="119" spans="1:7" x14ac:dyDescent="0.2">
      <c r="A119" s="26"/>
      <c r="B119" s="26"/>
      <c r="C119" s="26"/>
      <c r="D119" s="26"/>
      <c r="E119" s="26"/>
      <c r="F119" s="26"/>
      <c r="G119" s="26"/>
    </row>
    <row r="120" spans="1:7" x14ac:dyDescent="0.2">
      <c r="A120" s="26"/>
      <c r="B120" s="26"/>
      <c r="C120" s="26"/>
      <c r="D120" s="26"/>
      <c r="E120" s="26"/>
      <c r="F120" s="26"/>
      <c r="G120" s="26"/>
    </row>
    <row r="121" spans="1:7" x14ac:dyDescent="0.2">
      <c r="A121" s="26"/>
      <c r="B121" s="26"/>
      <c r="C121" s="26"/>
      <c r="D121" s="26"/>
      <c r="E121" s="26"/>
      <c r="F121" s="26"/>
      <c r="G121" s="26"/>
    </row>
    <row r="122" spans="1:7" x14ac:dyDescent="0.2">
      <c r="A122" s="26"/>
      <c r="B122" s="26"/>
      <c r="C122" s="26"/>
      <c r="D122" s="26"/>
      <c r="E122" s="26"/>
      <c r="F122" s="26"/>
      <c r="G122" s="26"/>
    </row>
    <row r="123" spans="1:7" x14ac:dyDescent="0.2">
      <c r="A123" s="26"/>
      <c r="B123" s="26"/>
      <c r="C123" s="26"/>
      <c r="D123" s="26"/>
      <c r="E123" s="26"/>
      <c r="F123" s="26"/>
      <c r="G123" s="26"/>
    </row>
    <row r="124" spans="1:7" x14ac:dyDescent="0.2">
      <c r="A124" s="26"/>
      <c r="B124" s="26"/>
      <c r="C124" s="26"/>
      <c r="D124" s="26"/>
      <c r="E124" s="26"/>
      <c r="F124" s="26"/>
      <c r="G124" s="26"/>
    </row>
    <row r="125" spans="1:7" x14ac:dyDescent="0.2">
      <c r="A125" s="26"/>
      <c r="B125" s="26"/>
      <c r="C125" s="26"/>
      <c r="D125" s="26"/>
      <c r="E125" s="26"/>
      <c r="F125" s="26"/>
      <c r="G125" s="26"/>
    </row>
    <row r="126" spans="1:7" x14ac:dyDescent="0.2">
      <c r="A126" s="26"/>
      <c r="B126" s="26"/>
      <c r="C126" s="26"/>
      <c r="D126" s="26"/>
      <c r="E126" s="26"/>
      <c r="F126" s="26"/>
      <c r="G126" s="26"/>
    </row>
    <row r="127" spans="1:7" x14ac:dyDescent="0.2">
      <c r="A127" s="26"/>
      <c r="B127" s="26"/>
      <c r="C127" s="26"/>
      <c r="D127" s="26"/>
      <c r="E127" s="26"/>
      <c r="F127" s="26"/>
      <c r="G127" s="26"/>
    </row>
    <row r="128" spans="1:7" x14ac:dyDescent="0.2">
      <c r="A128" s="26"/>
      <c r="B128" s="26"/>
      <c r="C128" s="26"/>
      <c r="D128" s="26"/>
      <c r="E128" s="26"/>
      <c r="F128" s="26"/>
      <c r="G128" s="26"/>
    </row>
    <row r="129" spans="1:7" x14ac:dyDescent="0.2">
      <c r="A129" s="26"/>
      <c r="B129" s="26"/>
      <c r="C129" s="26"/>
      <c r="D129" s="26"/>
      <c r="E129" s="26"/>
      <c r="F129" s="26"/>
      <c r="G129" s="26"/>
    </row>
    <row r="130" spans="1:7" x14ac:dyDescent="0.2">
      <c r="A130" s="26"/>
      <c r="B130" s="26"/>
      <c r="C130" s="26"/>
      <c r="D130" s="26"/>
      <c r="E130" s="26"/>
      <c r="F130" s="26"/>
      <c r="G130" s="26"/>
    </row>
    <row r="131" spans="1:7" x14ac:dyDescent="0.2">
      <c r="A131" s="26"/>
      <c r="B131" s="26"/>
      <c r="C131" s="26"/>
      <c r="D131" s="26"/>
      <c r="E131" s="26"/>
      <c r="F131" s="26"/>
      <c r="G131" s="26"/>
    </row>
    <row r="132" spans="1:7" x14ac:dyDescent="0.2">
      <c r="A132" s="26"/>
      <c r="B132" s="26"/>
      <c r="C132" s="26"/>
      <c r="D132" s="26"/>
      <c r="E132" s="26"/>
      <c r="F132" s="26"/>
      <c r="G132" s="26"/>
    </row>
    <row r="133" spans="1:7" x14ac:dyDescent="0.2">
      <c r="A133" s="26"/>
      <c r="B133" s="26"/>
      <c r="C133" s="26"/>
      <c r="D133" s="26"/>
      <c r="E133" s="26"/>
      <c r="F133" s="26"/>
      <c r="G133" s="26"/>
    </row>
    <row r="134" spans="1:7" x14ac:dyDescent="0.2">
      <c r="A134" s="26"/>
      <c r="B134" s="26"/>
      <c r="C134" s="26"/>
      <c r="D134" s="26"/>
      <c r="E134" s="26"/>
      <c r="F134" s="26"/>
      <c r="G134" s="26"/>
    </row>
    <row r="135" spans="1:7" x14ac:dyDescent="0.2">
      <c r="A135" s="26"/>
      <c r="B135" s="26"/>
      <c r="C135" s="26"/>
      <c r="D135" s="26"/>
      <c r="E135" s="26"/>
      <c r="F135" s="26"/>
      <c r="G135" s="26"/>
    </row>
    <row r="136" spans="1:7" x14ac:dyDescent="0.2">
      <c r="A136" s="26"/>
      <c r="B136" s="26"/>
      <c r="C136" s="26"/>
      <c r="D136" s="26"/>
      <c r="E136" s="26"/>
      <c r="F136" s="26"/>
      <c r="G136" s="26"/>
    </row>
    <row r="137" spans="1:7" x14ac:dyDescent="0.2">
      <c r="A137" s="26"/>
      <c r="B137" s="26"/>
      <c r="C137" s="26"/>
      <c r="D137" s="26"/>
      <c r="E137" s="26"/>
      <c r="F137" s="26"/>
      <c r="G137" s="26"/>
    </row>
    <row r="138" spans="1:7" x14ac:dyDescent="0.2">
      <c r="A138" s="26"/>
      <c r="B138" s="26"/>
      <c r="C138" s="26"/>
      <c r="D138" s="26"/>
      <c r="E138" s="26"/>
      <c r="F138" s="26"/>
      <c r="G138" s="26"/>
    </row>
    <row r="139" spans="1:7" x14ac:dyDescent="0.2">
      <c r="A139" s="26"/>
      <c r="B139" s="26"/>
      <c r="C139" s="26"/>
      <c r="D139" s="26"/>
      <c r="E139" s="26"/>
      <c r="F139" s="26"/>
      <c r="G139" s="26"/>
    </row>
    <row r="140" spans="1:7" x14ac:dyDescent="0.2">
      <c r="A140" s="26"/>
      <c r="B140" s="26"/>
      <c r="C140" s="26"/>
      <c r="D140" s="26"/>
      <c r="E140" s="26"/>
      <c r="F140" s="26"/>
      <c r="G140" s="26"/>
    </row>
    <row r="141" spans="1:7" x14ac:dyDescent="0.2">
      <c r="A141" s="26"/>
      <c r="B141" s="26"/>
      <c r="C141" s="26"/>
      <c r="D141" s="26"/>
      <c r="E141" s="26"/>
      <c r="F141" s="26"/>
      <c r="G141" s="26"/>
    </row>
    <row r="142" spans="1:7" x14ac:dyDescent="0.2">
      <c r="A142" s="26"/>
      <c r="B142" s="26"/>
      <c r="C142" s="26"/>
      <c r="D142" s="26"/>
      <c r="E142" s="26"/>
      <c r="F142" s="26"/>
      <c r="G142" s="26"/>
    </row>
    <row r="143" spans="1:7" x14ac:dyDescent="0.2">
      <c r="A143" s="26"/>
      <c r="B143" s="26"/>
      <c r="C143" s="26"/>
      <c r="D143" s="26"/>
      <c r="E143" s="26"/>
      <c r="F143" s="26"/>
      <c r="G143" s="26"/>
    </row>
  </sheetData>
  <mergeCells count="5">
    <mergeCell ref="A1:T1"/>
    <mergeCell ref="A5:T5"/>
    <mergeCell ref="A27:T27"/>
    <mergeCell ref="A22:T22"/>
    <mergeCell ref="A15:T15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0"/>
  <sheetViews>
    <sheetView workbookViewId="0">
      <pane ySplit="2" topLeftCell="A15" activePane="bottomLeft" state="frozen"/>
      <selection pane="bottomLeft" activeCell="D28" sqref="D28"/>
    </sheetView>
  </sheetViews>
  <sheetFormatPr baseColWidth="10" defaultColWidth="8.83203125" defaultRowHeight="15" x14ac:dyDescent="0.2"/>
  <cols>
    <col min="1" max="1" width="34" customWidth="1"/>
    <col min="2" max="2" width="18" customWidth="1"/>
    <col min="3" max="3" width="16" customWidth="1"/>
    <col min="4" max="4" width="42" customWidth="1"/>
    <col min="5" max="5" width="41.6640625" customWidth="1"/>
    <col min="6" max="6" width="12" customWidth="1"/>
  </cols>
  <sheetData>
    <row r="1" spans="1:6" ht="19" customHeight="1" x14ac:dyDescent="0.25">
      <c r="A1" s="76" t="s">
        <v>317</v>
      </c>
      <c r="B1" s="67"/>
      <c r="C1" s="67"/>
      <c r="D1" s="67"/>
      <c r="E1" s="67"/>
      <c r="F1" s="67"/>
    </row>
    <row r="2" spans="1:6" ht="16" customHeight="1" x14ac:dyDescent="0.2">
      <c r="A2" s="1" t="s">
        <v>18</v>
      </c>
      <c r="B2" s="1" t="s">
        <v>2</v>
      </c>
      <c r="C2" s="1" t="s">
        <v>19</v>
      </c>
      <c r="D2" s="1" t="s">
        <v>117</v>
      </c>
      <c r="E2" s="1" t="s">
        <v>318</v>
      </c>
      <c r="F2" s="1" t="s">
        <v>22</v>
      </c>
    </row>
    <row r="3" spans="1:6" ht="32" customHeight="1" x14ac:dyDescent="0.2">
      <c r="A3" s="2" t="s">
        <v>319</v>
      </c>
      <c r="B3" s="3">
        <v>2026</v>
      </c>
      <c r="C3" s="4"/>
      <c r="D3" s="2" t="s">
        <v>320</v>
      </c>
      <c r="E3" s="2" t="s">
        <v>321</v>
      </c>
      <c r="F3" s="4" t="s">
        <v>322</v>
      </c>
    </row>
    <row r="4" spans="1:6" ht="32" customHeight="1" x14ac:dyDescent="0.2">
      <c r="A4" s="2" t="s">
        <v>323</v>
      </c>
      <c r="B4" s="3">
        <v>1800000</v>
      </c>
      <c r="C4" s="4" t="s">
        <v>324</v>
      </c>
      <c r="D4" s="2" t="s">
        <v>325</v>
      </c>
      <c r="E4" s="2" t="s">
        <v>326</v>
      </c>
      <c r="F4" s="4" t="s">
        <v>327</v>
      </c>
    </row>
    <row r="5" spans="1:6" ht="32" customHeight="1" x14ac:dyDescent="0.2">
      <c r="A5" s="2" t="s">
        <v>328</v>
      </c>
      <c r="B5" s="3">
        <v>300000</v>
      </c>
      <c r="C5" s="4" t="s">
        <v>329</v>
      </c>
      <c r="D5" s="2" t="s">
        <v>330</v>
      </c>
      <c r="E5" s="2" t="s">
        <v>331</v>
      </c>
      <c r="F5" s="4" t="s">
        <v>327</v>
      </c>
    </row>
    <row r="6" spans="1:6" ht="32" customHeight="1" x14ac:dyDescent="0.2">
      <c r="A6" s="2" t="s">
        <v>332</v>
      </c>
      <c r="B6" s="5">
        <f>B5/B4</f>
        <v>0.16666666666666666</v>
      </c>
      <c r="C6" s="4" t="s">
        <v>33</v>
      </c>
      <c r="D6" s="2" t="s">
        <v>333</v>
      </c>
      <c r="E6" s="2" t="s">
        <v>334</v>
      </c>
      <c r="F6" s="4" t="s">
        <v>322</v>
      </c>
    </row>
    <row r="7" spans="1:6" ht="32" customHeight="1" x14ac:dyDescent="0.2">
      <c r="A7" s="2" t="s">
        <v>335</v>
      </c>
      <c r="B7" s="3">
        <v>4.0000000000000002E-4</v>
      </c>
      <c r="C7" s="4" t="s">
        <v>336</v>
      </c>
      <c r="D7" s="2" t="s">
        <v>337</v>
      </c>
      <c r="E7" s="2" t="s">
        <v>338</v>
      </c>
      <c r="F7" s="4" t="s">
        <v>327</v>
      </c>
    </row>
    <row r="8" spans="1:6" ht="64" customHeight="1" x14ac:dyDescent="0.2">
      <c r="A8" s="2" t="s">
        <v>339</v>
      </c>
      <c r="B8" s="3">
        <v>427388</v>
      </c>
      <c r="C8" s="4" t="s">
        <v>290</v>
      </c>
      <c r="D8" s="2" t="s">
        <v>340</v>
      </c>
      <c r="E8" s="2" t="s">
        <v>341</v>
      </c>
      <c r="F8" s="4" t="s">
        <v>36</v>
      </c>
    </row>
    <row r="9" spans="1:6" ht="32" customHeight="1" x14ac:dyDescent="0.2">
      <c r="A9" s="2" t="s">
        <v>342</v>
      </c>
      <c r="B9" s="3">
        <v>1.5</v>
      </c>
      <c r="C9" s="4" t="s">
        <v>292</v>
      </c>
      <c r="D9" s="2" t="s">
        <v>343</v>
      </c>
      <c r="E9" s="2" t="s">
        <v>344</v>
      </c>
      <c r="F9" s="4" t="s">
        <v>327</v>
      </c>
    </row>
    <row r="10" spans="1:6" ht="64" customHeight="1" x14ac:dyDescent="0.2">
      <c r="A10" s="2" t="s">
        <v>345</v>
      </c>
      <c r="B10" s="3">
        <v>900</v>
      </c>
      <c r="C10" s="4" t="s">
        <v>294</v>
      </c>
      <c r="D10" s="2" t="s">
        <v>346</v>
      </c>
      <c r="E10" s="2" t="s">
        <v>347</v>
      </c>
      <c r="F10" s="4" t="s">
        <v>36</v>
      </c>
    </row>
    <row r="11" spans="1:6" ht="80" customHeight="1" x14ac:dyDescent="0.2">
      <c r="A11" s="2" t="s">
        <v>348</v>
      </c>
      <c r="B11" s="3">
        <v>0.1</v>
      </c>
      <c r="C11" s="4" t="s">
        <v>336</v>
      </c>
      <c r="D11" s="2" t="s">
        <v>349</v>
      </c>
      <c r="E11" s="2" t="s">
        <v>350</v>
      </c>
      <c r="F11" s="4" t="s">
        <v>36</v>
      </c>
    </row>
    <row r="12" spans="1:6" ht="32" customHeight="1" x14ac:dyDescent="0.2">
      <c r="A12" s="2" t="s">
        <v>351</v>
      </c>
      <c r="B12" s="3">
        <v>2500</v>
      </c>
      <c r="C12" s="4" t="s">
        <v>352</v>
      </c>
      <c r="D12" s="2" t="s">
        <v>353</v>
      </c>
      <c r="E12" s="2" t="s">
        <v>354</v>
      </c>
      <c r="F12" s="4" t="s">
        <v>327</v>
      </c>
    </row>
    <row r="13" spans="1:6" ht="64" customHeight="1" x14ac:dyDescent="0.2">
      <c r="A13" s="2" t="s">
        <v>355</v>
      </c>
      <c r="B13" s="3">
        <v>0.1</v>
      </c>
      <c r="C13" s="4" t="s">
        <v>336</v>
      </c>
      <c r="D13" s="2" t="s">
        <v>356</v>
      </c>
      <c r="E13" s="2" t="s">
        <v>357</v>
      </c>
      <c r="F13" s="4" t="s">
        <v>36</v>
      </c>
    </row>
    <row r="14" spans="1:6" ht="64" customHeight="1" x14ac:dyDescent="0.2">
      <c r="A14" s="2" t="s">
        <v>358</v>
      </c>
      <c r="B14" s="3">
        <v>0.08</v>
      </c>
      <c r="C14" s="4" t="s">
        <v>336</v>
      </c>
      <c r="D14" s="2" t="s">
        <v>359</v>
      </c>
      <c r="E14" s="2" t="s">
        <v>360</v>
      </c>
      <c r="F14" s="4" t="s">
        <v>36</v>
      </c>
    </row>
    <row r="15" spans="1:6" ht="64" customHeight="1" x14ac:dyDescent="0.2">
      <c r="A15" s="2" t="s">
        <v>361</v>
      </c>
      <c r="B15" s="3">
        <v>0.05</v>
      </c>
      <c r="C15" s="4" t="s">
        <v>336</v>
      </c>
      <c r="D15" s="2" t="s">
        <v>362</v>
      </c>
      <c r="E15" s="2" t="s">
        <v>363</v>
      </c>
      <c r="F15" s="4" t="s">
        <v>36</v>
      </c>
    </row>
    <row r="16" spans="1:6" ht="32" customHeight="1" x14ac:dyDescent="0.2">
      <c r="A16" s="2" t="s">
        <v>364</v>
      </c>
      <c r="B16" s="6">
        <f>(B12/B11)/12</f>
        <v>2083.3333333333335</v>
      </c>
      <c r="C16" s="4" t="s">
        <v>296</v>
      </c>
      <c r="D16" s="2" t="s">
        <v>365</v>
      </c>
      <c r="E16" s="2" t="s">
        <v>366</v>
      </c>
      <c r="F16" s="4" t="s">
        <v>322</v>
      </c>
    </row>
    <row r="17" spans="1:13" ht="48" customHeight="1" x14ac:dyDescent="0.2">
      <c r="A17" s="17" t="s">
        <v>367</v>
      </c>
      <c r="B17" s="19">
        <f>B4/'Baseline - Avito Стройка'!O18</f>
        <v>0.97491428553601556</v>
      </c>
      <c r="C17" s="18"/>
      <c r="D17" s="17"/>
      <c r="E17" s="17" t="s">
        <v>368</v>
      </c>
      <c r="F17" s="18"/>
    </row>
    <row r="18" spans="1:13" x14ac:dyDescent="0.2">
      <c r="A18" s="82" t="s">
        <v>369</v>
      </c>
      <c r="B18" s="67"/>
      <c r="C18" s="67"/>
      <c r="D18" s="67"/>
      <c r="E18" s="67"/>
      <c r="F18" s="67"/>
    </row>
    <row r="19" spans="1:13" ht="16" customHeight="1" x14ac:dyDescent="0.2">
      <c r="A19" s="1" t="s">
        <v>370</v>
      </c>
      <c r="B19" s="1" t="s">
        <v>250</v>
      </c>
      <c r="C19" s="1" t="s">
        <v>251</v>
      </c>
      <c r="D19" s="1" t="s">
        <v>252</v>
      </c>
      <c r="E19" s="1" t="s">
        <v>253</v>
      </c>
      <c r="F19" s="1" t="s">
        <v>254</v>
      </c>
      <c r="G19" s="1" t="s">
        <v>255</v>
      </c>
      <c r="H19" s="1" t="s">
        <v>256</v>
      </c>
      <c r="I19" s="1" t="s">
        <v>257</v>
      </c>
      <c r="J19" s="1" t="s">
        <v>258</v>
      </c>
      <c r="K19" s="1" t="s">
        <v>259</v>
      </c>
      <c r="L19" s="1" t="s">
        <v>260</v>
      </c>
      <c r="M19" s="1" t="s">
        <v>261</v>
      </c>
    </row>
    <row r="20" spans="1:13" ht="16" customHeight="1" x14ac:dyDescent="0.2">
      <c r="A20" s="7" t="s">
        <v>371</v>
      </c>
      <c r="B20" s="8">
        <v>0.84999999999999976</v>
      </c>
      <c r="C20" s="8">
        <v>0.94999999999999973</v>
      </c>
      <c r="D20" s="8">
        <v>1.05</v>
      </c>
      <c r="E20" s="8">
        <v>1.1000000000000001</v>
      </c>
      <c r="F20" s="8">
        <v>1.1000000000000001</v>
      </c>
      <c r="G20" s="8">
        <v>1.1000000000000001</v>
      </c>
      <c r="H20" s="8">
        <v>0.99999999999999978</v>
      </c>
      <c r="I20" s="8">
        <v>0.94999999999999973</v>
      </c>
      <c r="J20" s="8">
        <v>0.99999999999999978</v>
      </c>
      <c r="K20" s="8">
        <v>1.05</v>
      </c>
      <c r="L20" s="8">
        <v>1.05</v>
      </c>
      <c r="M20" s="8">
        <v>0.79999999999999982</v>
      </c>
    </row>
  </sheetData>
  <mergeCells count="2">
    <mergeCell ref="A1:F1"/>
    <mergeCell ref="A18:F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>
      <selection sqref="A1:T1"/>
    </sheetView>
  </sheetViews>
  <sheetFormatPr baseColWidth="10" defaultColWidth="8.83203125" defaultRowHeight="15" x14ac:dyDescent="0.2"/>
  <cols>
    <col min="1" max="1" width="52" customWidth="1"/>
    <col min="2" max="2" width="26" customWidth="1"/>
    <col min="3" max="3" width="16" customWidth="1"/>
    <col min="4" max="4" width="56" customWidth="1"/>
  </cols>
  <sheetData>
    <row r="1" spans="1:5" ht="19" customHeight="1" x14ac:dyDescent="0.25">
      <c r="A1" s="76" t="s">
        <v>372</v>
      </c>
      <c r="B1" s="67"/>
      <c r="C1" s="67"/>
      <c r="D1" s="67"/>
      <c r="E1" s="67"/>
    </row>
    <row r="2" spans="1:5" ht="16" customHeight="1" x14ac:dyDescent="0.2">
      <c r="A2" s="1" t="s">
        <v>148</v>
      </c>
      <c r="B2" s="1" t="s">
        <v>149</v>
      </c>
      <c r="C2" s="1" t="s">
        <v>150</v>
      </c>
      <c r="D2" s="1" t="s">
        <v>373</v>
      </c>
    </row>
    <row r="3" spans="1:5" ht="16" customHeight="1" x14ac:dyDescent="0.2">
      <c r="A3" s="2" t="s">
        <v>374</v>
      </c>
      <c r="B3" s="14">
        <v>1200000000000</v>
      </c>
      <c r="C3" s="4" t="s">
        <v>169</v>
      </c>
      <c r="D3" s="2" t="s">
        <v>375</v>
      </c>
    </row>
    <row r="4" spans="1:5" ht="16" customHeight="1" x14ac:dyDescent="0.2">
      <c r="A4" s="2" t="s">
        <v>376</v>
      </c>
      <c r="B4" s="15">
        <v>0.2</v>
      </c>
      <c r="C4" s="4" t="s">
        <v>33</v>
      </c>
      <c r="D4" s="2" t="s">
        <v>375</v>
      </c>
    </row>
    <row r="5" spans="1:5" ht="16" customHeight="1" x14ac:dyDescent="0.2">
      <c r="A5" s="2" t="s">
        <v>377</v>
      </c>
      <c r="B5" s="15">
        <v>0.25</v>
      </c>
      <c r="C5" s="4" t="s">
        <v>33</v>
      </c>
      <c r="D5" s="2" t="s">
        <v>375</v>
      </c>
    </row>
    <row r="6" spans="1:5" ht="16" customHeight="1" x14ac:dyDescent="0.2">
      <c r="A6" s="2" t="s">
        <v>378</v>
      </c>
      <c r="B6" s="14">
        <v>120000</v>
      </c>
      <c r="C6" s="4" t="s">
        <v>169</v>
      </c>
      <c r="D6" s="2" t="s">
        <v>379</v>
      </c>
    </row>
    <row r="7" spans="1:5" ht="16" customHeight="1" x14ac:dyDescent="0.2">
      <c r="A7" s="2" t="s">
        <v>380</v>
      </c>
      <c r="B7" s="25">
        <f>'[1]Assumptions - Baseline (Стройка'!B4/'[1]Assumptions - Baseline (Стройка'!B5</f>
        <v>6</v>
      </c>
      <c r="C7" s="4" t="s">
        <v>381</v>
      </c>
      <c r="D7" s="2" t="s">
        <v>382</v>
      </c>
    </row>
    <row r="9" spans="1:5" ht="16" customHeight="1" x14ac:dyDescent="0.2">
      <c r="A9" s="24" t="s">
        <v>383</v>
      </c>
    </row>
    <row r="10" spans="1:5" ht="16" customHeight="1" x14ac:dyDescent="0.2">
      <c r="A10" s="2" t="s">
        <v>384</v>
      </c>
      <c r="B10" s="14">
        <f>B3*B4</f>
        <v>240000000000</v>
      </c>
      <c r="C10" s="4"/>
      <c r="D10" s="2"/>
    </row>
    <row r="11" spans="1:5" ht="16" customHeight="1" x14ac:dyDescent="0.2">
      <c r="A11" s="2" t="s">
        <v>385</v>
      </c>
      <c r="B11" s="14">
        <f>B10*B5</f>
        <v>60000000000</v>
      </c>
      <c r="C11" s="4"/>
      <c r="D11" s="2"/>
    </row>
    <row r="12" spans="1:5" ht="16" customHeight="1" x14ac:dyDescent="0.2">
      <c r="A12" s="2" t="s">
        <v>386</v>
      </c>
      <c r="B12" s="14">
        <f>B11/B6</f>
        <v>500000</v>
      </c>
      <c r="C12" s="4"/>
      <c r="D12" s="2"/>
    </row>
    <row r="13" spans="1:5" ht="16" customHeight="1" x14ac:dyDescent="0.2">
      <c r="A13" s="2" t="s">
        <v>387</v>
      </c>
      <c r="B13" s="14">
        <f>B12*B7</f>
        <v>3000000</v>
      </c>
      <c r="C13" s="4"/>
      <c r="D13" s="2"/>
    </row>
    <row r="14" spans="1:5" ht="16" customHeight="1" x14ac:dyDescent="0.2">
      <c r="A14" s="2" t="s">
        <v>388</v>
      </c>
      <c r="B14" s="23">
        <f>'[1]Baseline - Avito Стройка'!O18</f>
        <v>0</v>
      </c>
      <c r="C14" s="21"/>
      <c r="D14" s="2" t="s">
        <v>389</v>
      </c>
    </row>
    <row r="15" spans="1:5" ht="16" customHeight="1" x14ac:dyDescent="0.2">
      <c r="A15" s="2" t="s">
        <v>390</v>
      </c>
      <c r="B15" s="22">
        <f>B14/B13</f>
        <v>0</v>
      </c>
      <c r="C15" s="21"/>
      <c r="D15" s="2" t="s">
        <v>391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0"/>
  <sheetViews>
    <sheetView topLeftCell="A67" workbookViewId="0">
      <selection activeCell="I22" sqref="I22"/>
    </sheetView>
  </sheetViews>
  <sheetFormatPr baseColWidth="10" defaultRowHeight="15" x14ac:dyDescent="0.2"/>
  <sheetData>
    <row r="1" spans="1:7" x14ac:dyDescent="0.2">
      <c r="A1" s="83" t="s">
        <v>392</v>
      </c>
      <c r="B1" s="67"/>
      <c r="C1" s="67"/>
      <c r="D1" s="67"/>
      <c r="E1" s="67"/>
      <c r="F1" s="67"/>
      <c r="G1" s="67"/>
    </row>
    <row r="2" spans="1:7" x14ac:dyDescent="0.2">
      <c r="A2" s="67"/>
      <c r="B2" s="67"/>
      <c r="C2" s="67"/>
      <c r="D2" s="67"/>
      <c r="E2" s="67"/>
      <c r="F2" s="67"/>
      <c r="G2" s="67"/>
    </row>
    <row r="3" spans="1:7" x14ac:dyDescent="0.2">
      <c r="A3" s="67"/>
      <c r="B3" s="67"/>
      <c r="C3" s="67"/>
      <c r="D3" s="67"/>
      <c r="E3" s="67"/>
      <c r="F3" s="67"/>
      <c r="G3" s="67"/>
    </row>
    <row r="4" spans="1:7" x14ac:dyDescent="0.2">
      <c r="A4" s="67"/>
      <c r="B4" s="67"/>
      <c r="C4" s="67"/>
      <c r="D4" s="67"/>
      <c r="E4" s="67"/>
      <c r="F4" s="67"/>
      <c r="G4" s="67"/>
    </row>
    <row r="5" spans="1:7" x14ac:dyDescent="0.2">
      <c r="A5" s="67"/>
      <c r="B5" s="67"/>
      <c r="C5" s="67"/>
      <c r="D5" s="67"/>
      <c r="E5" s="67"/>
      <c r="F5" s="67"/>
      <c r="G5" s="67"/>
    </row>
    <row r="6" spans="1:7" x14ac:dyDescent="0.2">
      <c r="A6" s="67"/>
      <c r="B6" s="67"/>
      <c r="C6" s="67"/>
      <c r="D6" s="67"/>
      <c r="E6" s="67"/>
      <c r="F6" s="67"/>
      <c r="G6" s="67"/>
    </row>
    <row r="7" spans="1:7" x14ac:dyDescent="0.2">
      <c r="A7" s="67"/>
      <c r="B7" s="67"/>
      <c r="C7" s="67"/>
      <c r="D7" s="67"/>
      <c r="E7" s="67"/>
      <c r="F7" s="67"/>
      <c r="G7" s="67"/>
    </row>
    <row r="8" spans="1:7" x14ac:dyDescent="0.2">
      <c r="A8" s="67"/>
      <c r="B8" s="67"/>
      <c r="C8" s="67"/>
      <c r="D8" s="67"/>
      <c r="E8" s="67"/>
      <c r="F8" s="67"/>
      <c r="G8" s="67"/>
    </row>
    <row r="9" spans="1:7" x14ac:dyDescent="0.2">
      <c r="A9" s="67"/>
      <c r="B9" s="67"/>
      <c r="C9" s="67"/>
      <c r="D9" s="67"/>
      <c r="E9" s="67"/>
      <c r="F9" s="67"/>
      <c r="G9" s="67"/>
    </row>
    <row r="10" spans="1:7" x14ac:dyDescent="0.2">
      <c r="A10" s="67"/>
      <c r="B10" s="67"/>
      <c r="C10" s="67"/>
      <c r="D10" s="67"/>
      <c r="E10" s="67"/>
      <c r="F10" s="67"/>
      <c r="G10" s="67"/>
    </row>
    <row r="11" spans="1:7" x14ac:dyDescent="0.2">
      <c r="A11" s="67"/>
      <c r="B11" s="67"/>
      <c r="C11" s="67"/>
      <c r="D11" s="67"/>
      <c r="E11" s="67"/>
      <c r="F11" s="67"/>
      <c r="G11" s="67"/>
    </row>
    <row r="12" spans="1:7" x14ac:dyDescent="0.2">
      <c r="A12" s="67"/>
      <c r="B12" s="67"/>
      <c r="C12" s="67"/>
      <c r="D12" s="67"/>
      <c r="E12" s="67"/>
      <c r="F12" s="67"/>
      <c r="G12" s="67"/>
    </row>
    <row r="13" spans="1:7" x14ac:dyDescent="0.2">
      <c r="A13" s="67"/>
      <c r="B13" s="67"/>
      <c r="C13" s="67"/>
      <c r="D13" s="67"/>
      <c r="E13" s="67"/>
      <c r="F13" s="67"/>
      <c r="G13" s="67"/>
    </row>
    <row r="14" spans="1:7" x14ac:dyDescent="0.2">
      <c r="A14" s="67"/>
      <c r="B14" s="67"/>
      <c r="C14" s="67"/>
      <c r="D14" s="67"/>
      <c r="E14" s="67"/>
      <c r="F14" s="67"/>
      <c r="G14" s="67"/>
    </row>
    <row r="15" spans="1:7" x14ac:dyDescent="0.2">
      <c r="A15" s="67"/>
      <c r="B15" s="67"/>
      <c r="C15" s="67"/>
      <c r="D15" s="67"/>
      <c r="E15" s="67"/>
      <c r="F15" s="67"/>
      <c r="G15" s="67"/>
    </row>
    <row r="16" spans="1:7" x14ac:dyDescent="0.2">
      <c r="A16" s="67"/>
      <c r="B16" s="67"/>
      <c r="C16" s="67"/>
      <c r="D16" s="67"/>
      <c r="E16" s="67"/>
      <c r="F16" s="67"/>
      <c r="G16" s="67"/>
    </row>
    <row r="17" spans="1:7" x14ac:dyDescent="0.2">
      <c r="A17" s="67"/>
      <c r="B17" s="67"/>
      <c r="C17" s="67"/>
      <c r="D17" s="67"/>
      <c r="E17" s="67"/>
      <c r="F17" s="67"/>
      <c r="G17" s="67"/>
    </row>
    <row r="18" spans="1:7" x14ac:dyDescent="0.2">
      <c r="A18" s="67"/>
      <c r="B18" s="67"/>
      <c r="C18" s="67"/>
      <c r="D18" s="67"/>
      <c r="E18" s="67"/>
      <c r="F18" s="67"/>
      <c r="G18" s="67"/>
    </row>
    <row r="19" spans="1:7" x14ac:dyDescent="0.2">
      <c r="A19" s="67"/>
      <c r="B19" s="67"/>
      <c r="C19" s="67"/>
      <c r="D19" s="67"/>
      <c r="E19" s="67"/>
      <c r="F19" s="67"/>
      <c r="G19" s="67"/>
    </row>
    <row r="20" spans="1:7" x14ac:dyDescent="0.2">
      <c r="A20" s="67"/>
      <c r="B20" s="67"/>
      <c r="C20" s="67"/>
      <c r="D20" s="67"/>
      <c r="E20" s="67"/>
      <c r="F20" s="67"/>
      <c r="G20" s="67"/>
    </row>
    <row r="21" spans="1:7" x14ac:dyDescent="0.2">
      <c r="A21" s="67"/>
      <c r="B21" s="67"/>
      <c r="C21" s="67"/>
      <c r="D21" s="67"/>
      <c r="E21" s="67"/>
      <c r="F21" s="67"/>
      <c r="G21" s="67"/>
    </row>
    <row r="22" spans="1:7" x14ac:dyDescent="0.2">
      <c r="A22" s="67"/>
      <c r="B22" s="67"/>
      <c r="C22" s="67"/>
      <c r="D22" s="67"/>
      <c r="E22" s="67"/>
      <c r="F22" s="67"/>
      <c r="G22" s="67"/>
    </row>
    <row r="23" spans="1:7" x14ac:dyDescent="0.2">
      <c r="A23" s="67"/>
      <c r="B23" s="67"/>
      <c r="C23" s="67"/>
      <c r="D23" s="67"/>
      <c r="E23" s="67"/>
      <c r="F23" s="67"/>
      <c r="G23" s="67"/>
    </row>
    <row r="24" spans="1:7" x14ac:dyDescent="0.2">
      <c r="A24" s="67"/>
      <c r="B24" s="67"/>
      <c r="C24" s="67"/>
      <c r="D24" s="67"/>
      <c r="E24" s="67"/>
      <c r="F24" s="67"/>
      <c r="G24" s="67"/>
    </row>
    <row r="25" spans="1:7" x14ac:dyDescent="0.2">
      <c r="A25" s="67"/>
      <c r="B25" s="67"/>
      <c r="C25" s="67"/>
      <c r="D25" s="67"/>
      <c r="E25" s="67"/>
      <c r="F25" s="67"/>
      <c r="G25" s="67"/>
    </row>
    <row r="26" spans="1:7" x14ac:dyDescent="0.2">
      <c r="A26" s="67"/>
      <c r="B26" s="67"/>
      <c r="C26" s="67"/>
      <c r="D26" s="67"/>
      <c r="E26" s="67"/>
      <c r="F26" s="67"/>
      <c r="G26" s="67"/>
    </row>
    <row r="27" spans="1:7" x14ac:dyDescent="0.2">
      <c r="A27" s="67"/>
      <c r="B27" s="67"/>
      <c r="C27" s="67"/>
      <c r="D27" s="67"/>
      <c r="E27" s="67"/>
      <c r="F27" s="67"/>
      <c r="G27" s="67"/>
    </row>
    <row r="28" spans="1:7" x14ac:dyDescent="0.2">
      <c r="A28" s="67"/>
      <c r="B28" s="67"/>
      <c r="C28" s="67"/>
      <c r="D28" s="67"/>
      <c r="E28" s="67"/>
      <c r="F28" s="67"/>
      <c r="G28" s="67"/>
    </row>
    <row r="29" spans="1:7" x14ac:dyDescent="0.2">
      <c r="A29" s="67"/>
      <c r="B29" s="67"/>
      <c r="C29" s="67"/>
      <c r="D29" s="67"/>
      <c r="E29" s="67"/>
      <c r="F29" s="67"/>
      <c r="G29" s="67"/>
    </row>
    <row r="30" spans="1:7" x14ac:dyDescent="0.2">
      <c r="A30" s="67"/>
      <c r="B30" s="67"/>
      <c r="C30" s="67"/>
      <c r="D30" s="67"/>
      <c r="E30" s="67"/>
      <c r="F30" s="67"/>
      <c r="G30" s="67"/>
    </row>
    <row r="31" spans="1:7" x14ac:dyDescent="0.2">
      <c r="A31" s="67"/>
      <c r="B31" s="67"/>
      <c r="C31" s="67"/>
      <c r="D31" s="67"/>
      <c r="E31" s="67"/>
      <c r="F31" s="67"/>
      <c r="G31" s="67"/>
    </row>
    <row r="32" spans="1:7" x14ac:dyDescent="0.2">
      <c r="A32" s="67"/>
      <c r="B32" s="67"/>
      <c r="C32" s="67"/>
      <c r="D32" s="67"/>
      <c r="E32" s="67"/>
      <c r="F32" s="67"/>
      <c r="G32" s="67"/>
    </row>
    <row r="33" spans="1:7" x14ac:dyDescent="0.2">
      <c r="A33" s="67"/>
      <c r="B33" s="67"/>
      <c r="C33" s="67"/>
      <c r="D33" s="67"/>
      <c r="E33" s="67"/>
      <c r="F33" s="67"/>
      <c r="G33" s="67"/>
    </row>
    <row r="34" spans="1:7" x14ac:dyDescent="0.2">
      <c r="A34" s="67"/>
      <c r="B34" s="67"/>
      <c r="C34" s="67"/>
      <c r="D34" s="67"/>
      <c r="E34" s="67"/>
      <c r="F34" s="67"/>
      <c r="G34" s="67"/>
    </row>
    <row r="35" spans="1:7" x14ac:dyDescent="0.2">
      <c r="A35" s="67"/>
      <c r="B35" s="67"/>
      <c r="C35" s="67"/>
      <c r="D35" s="67"/>
      <c r="E35" s="67"/>
      <c r="F35" s="67"/>
      <c r="G35" s="67"/>
    </row>
    <row r="36" spans="1:7" x14ac:dyDescent="0.2">
      <c r="A36" s="67"/>
      <c r="B36" s="67"/>
      <c r="C36" s="67"/>
      <c r="D36" s="67"/>
      <c r="E36" s="67"/>
      <c r="F36" s="67"/>
      <c r="G36" s="67"/>
    </row>
    <row r="37" spans="1:7" x14ac:dyDescent="0.2">
      <c r="A37" s="67"/>
      <c r="B37" s="67"/>
      <c r="C37" s="67"/>
      <c r="D37" s="67"/>
      <c r="E37" s="67"/>
      <c r="F37" s="67"/>
      <c r="G37" s="67"/>
    </row>
    <row r="38" spans="1:7" x14ac:dyDescent="0.2">
      <c r="A38" s="67"/>
      <c r="B38" s="67"/>
      <c r="C38" s="67"/>
      <c r="D38" s="67"/>
      <c r="E38" s="67"/>
      <c r="F38" s="67"/>
      <c r="G38" s="67"/>
    </row>
    <row r="39" spans="1:7" x14ac:dyDescent="0.2">
      <c r="A39" s="67"/>
      <c r="B39" s="67"/>
      <c r="C39" s="67"/>
      <c r="D39" s="67"/>
      <c r="E39" s="67"/>
      <c r="F39" s="67"/>
      <c r="G39" s="67"/>
    </row>
    <row r="40" spans="1:7" x14ac:dyDescent="0.2">
      <c r="A40" s="67"/>
      <c r="B40" s="67"/>
      <c r="C40" s="67"/>
      <c r="D40" s="67"/>
      <c r="E40" s="67"/>
      <c r="F40" s="67"/>
      <c r="G40" s="67"/>
    </row>
    <row r="41" spans="1:7" x14ac:dyDescent="0.2">
      <c r="A41" s="67"/>
      <c r="B41" s="67"/>
      <c r="C41" s="67"/>
      <c r="D41" s="67"/>
      <c r="E41" s="67"/>
      <c r="F41" s="67"/>
      <c r="G41" s="67"/>
    </row>
    <row r="42" spans="1:7" x14ac:dyDescent="0.2">
      <c r="A42" s="67"/>
      <c r="B42" s="67"/>
      <c r="C42" s="67"/>
      <c r="D42" s="67"/>
      <c r="E42" s="67"/>
      <c r="F42" s="67"/>
      <c r="G42" s="67"/>
    </row>
    <row r="43" spans="1:7" x14ac:dyDescent="0.2">
      <c r="A43" s="67"/>
      <c r="B43" s="67"/>
      <c r="C43" s="67"/>
      <c r="D43" s="67"/>
      <c r="E43" s="67"/>
      <c r="F43" s="67"/>
      <c r="G43" s="67"/>
    </row>
    <row r="44" spans="1:7" x14ac:dyDescent="0.2">
      <c r="A44" s="67"/>
      <c r="B44" s="67"/>
      <c r="C44" s="67"/>
      <c r="D44" s="67"/>
      <c r="E44" s="67"/>
      <c r="F44" s="67"/>
      <c r="G44" s="67"/>
    </row>
    <row r="45" spans="1:7" x14ac:dyDescent="0.2">
      <c r="A45" s="67"/>
      <c r="B45" s="67"/>
      <c r="C45" s="67"/>
      <c r="D45" s="67"/>
      <c r="E45" s="67"/>
      <c r="F45" s="67"/>
      <c r="G45" s="67"/>
    </row>
    <row r="46" spans="1:7" x14ac:dyDescent="0.2">
      <c r="A46" s="67"/>
      <c r="B46" s="67"/>
      <c r="C46" s="67"/>
      <c r="D46" s="67"/>
      <c r="E46" s="67"/>
      <c r="F46" s="67"/>
      <c r="G46" s="67"/>
    </row>
    <row r="47" spans="1:7" x14ac:dyDescent="0.2">
      <c r="A47" s="67"/>
      <c r="B47" s="67"/>
      <c r="C47" s="67"/>
      <c r="D47" s="67"/>
      <c r="E47" s="67"/>
      <c r="F47" s="67"/>
      <c r="G47" s="67"/>
    </row>
    <row r="48" spans="1:7" x14ac:dyDescent="0.2">
      <c r="A48" s="67"/>
      <c r="B48" s="67"/>
      <c r="C48" s="67"/>
      <c r="D48" s="67"/>
      <c r="E48" s="67"/>
      <c r="F48" s="67"/>
      <c r="G48" s="67"/>
    </row>
    <row r="49" spans="1:7" x14ac:dyDescent="0.2">
      <c r="A49" s="67"/>
      <c r="B49" s="67"/>
      <c r="C49" s="67"/>
      <c r="D49" s="67"/>
      <c r="E49" s="67"/>
      <c r="F49" s="67"/>
      <c r="G49" s="67"/>
    </row>
    <row r="50" spans="1:7" x14ac:dyDescent="0.2">
      <c r="A50" s="67"/>
      <c r="B50" s="67"/>
      <c r="C50" s="67"/>
      <c r="D50" s="67"/>
      <c r="E50" s="67"/>
      <c r="F50" s="67"/>
      <c r="G50" s="67"/>
    </row>
    <row r="51" spans="1:7" x14ac:dyDescent="0.2">
      <c r="A51" s="67"/>
      <c r="B51" s="67"/>
      <c r="C51" s="67"/>
      <c r="D51" s="67"/>
      <c r="E51" s="67"/>
      <c r="F51" s="67"/>
      <c r="G51" s="67"/>
    </row>
    <row r="52" spans="1:7" x14ac:dyDescent="0.2">
      <c r="A52" s="67"/>
      <c r="B52" s="67"/>
      <c r="C52" s="67"/>
      <c r="D52" s="67"/>
      <c r="E52" s="67"/>
      <c r="F52" s="67"/>
      <c r="G52" s="67"/>
    </row>
    <row r="53" spans="1:7" x14ac:dyDescent="0.2">
      <c r="A53" s="67"/>
      <c r="B53" s="67"/>
      <c r="C53" s="67"/>
      <c r="D53" s="67"/>
      <c r="E53" s="67"/>
      <c r="F53" s="67"/>
      <c r="G53" s="67"/>
    </row>
    <row r="54" spans="1:7" x14ac:dyDescent="0.2">
      <c r="A54" s="67"/>
      <c r="B54" s="67"/>
      <c r="C54" s="67"/>
      <c r="D54" s="67"/>
      <c r="E54" s="67"/>
      <c r="F54" s="67"/>
      <c r="G54" s="67"/>
    </row>
    <row r="55" spans="1:7" x14ac:dyDescent="0.2">
      <c r="A55" s="67"/>
      <c r="B55" s="67"/>
      <c r="C55" s="67"/>
      <c r="D55" s="67"/>
      <c r="E55" s="67"/>
      <c r="F55" s="67"/>
      <c r="G55" s="67"/>
    </row>
    <row r="56" spans="1:7" x14ac:dyDescent="0.2">
      <c r="A56" s="67"/>
      <c r="B56" s="67"/>
      <c r="C56" s="67"/>
      <c r="D56" s="67"/>
      <c r="E56" s="67"/>
      <c r="F56" s="67"/>
      <c r="G56" s="67"/>
    </row>
    <row r="57" spans="1:7" x14ac:dyDescent="0.2">
      <c r="A57" s="67"/>
      <c r="B57" s="67"/>
      <c r="C57" s="67"/>
      <c r="D57" s="67"/>
      <c r="E57" s="67"/>
      <c r="F57" s="67"/>
      <c r="G57" s="67"/>
    </row>
    <row r="58" spans="1:7" x14ac:dyDescent="0.2">
      <c r="A58" s="67"/>
      <c r="B58" s="67"/>
      <c r="C58" s="67"/>
      <c r="D58" s="67"/>
      <c r="E58" s="67"/>
      <c r="F58" s="67"/>
      <c r="G58" s="67"/>
    </row>
    <row r="59" spans="1:7" x14ac:dyDescent="0.2">
      <c r="A59" s="67"/>
      <c r="B59" s="67"/>
      <c r="C59" s="67"/>
      <c r="D59" s="67"/>
      <c r="E59" s="67"/>
      <c r="F59" s="67"/>
      <c r="G59" s="67"/>
    </row>
    <row r="60" spans="1:7" x14ac:dyDescent="0.2">
      <c r="A60" s="67"/>
      <c r="B60" s="67"/>
      <c r="C60" s="67"/>
      <c r="D60" s="67"/>
      <c r="E60" s="67"/>
      <c r="F60" s="67"/>
      <c r="G60" s="67"/>
    </row>
    <row r="61" spans="1:7" x14ac:dyDescent="0.2">
      <c r="A61" s="67"/>
      <c r="B61" s="67"/>
      <c r="C61" s="67"/>
      <c r="D61" s="67"/>
      <c r="E61" s="67"/>
      <c r="F61" s="67"/>
      <c r="G61" s="67"/>
    </row>
    <row r="62" spans="1:7" x14ac:dyDescent="0.2">
      <c r="A62" s="67"/>
      <c r="B62" s="67"/>
      <c r="C62" s="67"/>
      <c r="D62" s="67"/>
      <c r="E62" s="67"/>
      <c r="F62" s="67"/>
      <c r="G62" s="67"/>
    </row>
    <row r="63" spans="1:7" x14ac:dyDescent="0.2">
      <c r="A63" s="67"/>
      <c r="B63" s="67"/>
      <c r="C63" s="67"/>
      <c r="D63" s="67"/>
      <c r="E63" s="67"/>
      <c r="F63" s="67"/>
      <c r="G63" s="67"/>
    </row>
    <row r="64" spans="1:7" x14ac:dyDescent="0.2">
      <c r="A64" s="67"/>
      <c r="B64" s="67"/>
      <c r="C64" s="67"/>
      <c r="D64" s="67"/>
      <c r="E64" s="67"/>
      <c r="F64" s="67"/>
      <c r="G64" s="67"/>
    </row>
    <row r="65" spans="1:7" x14ac:dyDescent="0.2">
      <c r="A65" s="67"/>
      <c r="B65" s="67"/>
      <c r="C65" s="67"/>
      <c r="D65" s="67"/>
      <c r="E65" s="67"/>
      <c r="F65" s="67"/>
      <c r="G65" s="67"/>
    </row>
    <row r="66" spans="1:7" x14ac:dyDescent="0.2">
      <c r="A66" s="67"/>
      <c r="B66" s="67"/>
      <c r="C66" s="67"/>
      <c r="D66" s="67"/>
      <c r="E66" s="67"/>
      <c r="F66" s="67"/>
      <c r="G66" s="67"/>
    </row>
    <row r="67" spans="1:7" x14ac:dyDescent="0.2">
      <c r="A67" s="67"/>
      <c r="B67" s="67"/>
      <c r="C67" s="67"/>
      <c r="D67" s="67"/>
      <c r="E67" s="67"/>
      <c r="F67" s="67"/>
      <c r="G67" s="67"/>
    </row>
    <row r="68" spans="1:7" x14ac:dyDescent="0.2">
      <c r="A68" s="67"/>
      <c r="B68" s="67"/>
      <c r="C68" s="67"/>
      <c r="D68" s="67"/>
      <c r="E68" s="67"/>
      <c r="F68" s="67"/>
      <c r="G68" s="67"/>
    </row>
    <row r="69" spans="1:7" x14ac:dyDescent="0.2">
      <c r="A69" s="67"/>
      <c r="B69" s="67"/>
      <c r="C69" s="67"/>
      <c r="D69" s="67"/>
      <c r="E69" s="67"/>
      <c r="F69" s="67"/>
      <c r="G69" s="67"/>
    </row>
    <row r="70" spans="1:7" x14ac:dyDescent="0.2">
      <c r="A70" s="67"/>
      <c r="B70" s="67"/>
      <c r="C70" s="67"/>
      <c r="D70" s="67"/>
      <c r="E70" s="67"/>
      <c r="F70" s="67"/>
      <c r="G70" s="67"/>
    </row>
    <row r="71" spans="1:7" x14ac:dyDescent="0.2">
      <c r="A71" s="67"/>
      <c r="B71" s="67"/>
      <c r="C71" s="67"/>
      <c r="D71" s="67"/>
      <c r="E71" s="67"/>
      <c r="F71" s="67"/>
      <c r="G71" s="67"/>
    </row>
    <row r="72" spans="1:7" x14ac:dyDescent="0.2">
      <c r="A72" s="67"/>
      <c r="B72" s="67"/>
      <c r="C72" s="67"/>
      <c r="D72" s="67"/>
      <c r="E72" s="67"/>
      <c r="F72" s="67"/>
      <c r="G72" s="67"/>
    </row>
    <row r="73" spans="1:7" x14ac:dyDescent="0.2">
      <c r="A73" s="67"/>
      <c r="B73" s="67"/>
      <c r="C73" s="67"/>
      <c r="D73" s="67"/>
      <c r="E73" s="67"/>
      <c r="F73" s="67"/>
      <c r="G73" s="67"/>
    </row>
    <row r="74" spans="1:7" x14ac:dyDescent="0.2">
      <c r="A74" s="67"/>
      <c r="B74" s="67"/>
      <c r="C74" s="67"/>
      <c r="D74" s="67"/>
      <c r="E74" s="67"/>
      <c r="F74" s="67"/>
      <c r="G74" s="67"/>
    </row>
    <row r="75" spans="1:7" x14ac:dyDescent="0.2">
      <c r="A75" s="67"/>
      <c r="B75" s="67"/>
      <c r="C75" s="67"/>
      <c r="D75" s="67"/>
      <c r="E75" s="67"/>
      <c r="F75" s="67"/>
      <c r="G75" s="67"/>
    </row>
    <row r="76" spans="1:7" x14ac:dyDescent="0.2">
      <c r="A76" s="67"/>
      <c r="B76" s="67"/>
      <c r="C76" s="67"/>
      <c r="D76" s="67"/>
      <c r="E76" s="67"/>
      <c r="F76" s="67"/>
      <c r="G76" s="67"/>
    </row>
    <row r="77" spans="1:7" x14ac:dyDescent="0.2">
      <c r="A77" s="67"/>
      <c r="B77" s="67"/>
      <c r="C77" s="67"/>
      <c r="D77" s="67"/>
      <c r="E77" s="67"/>
      <c r="F77" s="67"/>
      <c r="G77" s="67"/>
    </row>
    <row r="78" spans="1:7" x14ac:dyDescent="0.2">
      <c r="A78" s="67"/>
      <c r="B78" s="67"/>
      <c r="C78" s="67"/>
      <c r="D78" s="67"/>
      <c r="E78" s="67"/>
      <c r="F78" s="67"/>
      <c r="G78" s="67"/>
    </row>
    <row r="79" spans="1:7" x14ac:dyDescent="0.2">
      <c r="A79" s="67"/>
      <c r="B79" s="67"/>
      <c r="C79" s="67"/>
      <c r="D79" s="67"/>
      <c r="E79" s="67"/>
      <c r="F79" s="67"/>
      <c r="G79" s="67"/>
    </row>
    <row r="80" spans="1:7" x14ac:dyDescent="0.2">
      <c r="A80" s="67"/>
      <c r="B80" s="67"/>
      <c r="C80" s="67"/>
      <c r="D80" s="67"/>
      <c r="E80" s="67"/>
      <c r="F80" s="67"/>
      <c r="G80" s="67"/>
    </row>
    <row r="81" spans="1:7" x14ac:dyDescent="0.2">
      <c r="A81" s="67"/>
      <c r="B81" s="67"/>
      <c r="C81" s="67"/>
      <c r="D81" s="67"/>
      <c r="E81" s="67"/>
      <c r="F81" s="67"/>
      <c r="G81" s="67"/>
    </row>
    <row r="82" spans="1:7" x14ac:dyDescent="0.2">
      <c r="A82" s="67"/>
      <c r="B82" s="67"/>
      <c r="C82" s="67"/>
      <c r="D82" s="67"/>
      <c r="E82" s="67"/>
      <c r="F82" s="67"/>
      <c r="G82" s="67"/>
    </row>
    <row r="83" spans="1:7" x14ac:dyDescent="0.2">
      <c r="A83" s="67"/>
      <c r="B83" s="67"/>
      <c r="C83" s="67"/>
      <c r="D83" s="67"/>
      <c r="E83" s="67"/>
      <c r="F83" s="67"/>
      <c r="G83" s="67"/>
    </row>
    <row r="84" spans="1:7" x14ac:dyDescent="0.2">
      <c r="A84" s="67"/>
      <c r="B84" s="67"/>
      <c r="C84" s="67"/>
      <c r="D84" s="67"/>
      <c r="E84" s="67"/>
      <c r="F84" s="67"/>
      <c r="G84" s="67"/>
    </row>
    <row r="85" spans="1:7" x14ac:dyDescent="0.2">
      <c r="A85" s="67"/>
      <c r="B85" s="67"/>
      <c r="C85" s="67"/>
      <c r="D85" s="67"/>
      <c r="E85" s="67"/>
      <c r="F85" s="67"/>
      <c r="G85" s="67"/>
    </row>
    <row r="86" spans="1:7" x14ac:dyDescent="0.2">
      <c r="A86" s="67"/>
      <c r="B86" s="67"/>
      <c r="C86" s="67"/>
      <c r="D86" s="67"/>
      <c r="E86" s="67"/>
      <c r="F86" s="67"/>
      <c r="G86" s="67"/>
    </row>
    <row r="87" spans="1:7" x14ac:dyDescent="0.2">
      <c r="A87" s="67"/>
      <c r="B87" s="67"/>
      <c r="C87" s="67"/>
      <c r="D87" s="67"/>
      <c r="E87" s="67"/>
      <c r="F87" s="67"/>
      <c r="G87" s="67"/>
    </row>
    <row r="88" spans="1:7" x14ac:dyDescent="0.2">
      <c r="A88" s="67"/>
      <c r="B88" s="67"/>
      <c r="C88" s="67"/>
      <c r="D88" s="67"/>
      <c r="E88" s="67"/>
      <c r="F88" s="67"/>
      <c r="G88" s="67"/>
    </row>
    <row r="89" spans="1:7" x14ac:dyDescent="0.2">
      <c r="A89" s="67"/>
      <c r="B89" s="67"/>
      <c r="C89" s="67"/>
      <c r="D89" s="67"/>
      <c r="E89" s="67"/>
      <c r="F89" s="67"/>
      <c r="G89" s="67"/>
    </row>
    <row r="90" spans="1:7" x14ac:dyDescent="0.2">
      <c r="A90" s="67"/>
      <c r="B90" s="67"/>
      <c r="C90" s="67"/>
      <c r="D90" s="67"/>
      <c r="E90" s="67"/>
      <c r="F90" s="67"/>
      <c r="G90" s="67"/>
    </row>
    <row r="91" spans="1:7" x14ac:dyDescent="0.2">
      <c r="A91" s="67"/>
      <c r="B91" s="67"/>
      <c r="C91" s="67"/>
      <c r="D91" s="67"/>
      <c r="E91" s="67"/>
      <c r="F91" s="67"/>
      <c r="G91" s="67"/>
    </row>
    <row r="92" spans="1:7" x14ac:dyDescent="0.2">
      <c r="A92" s="67"/>
      <c r="B92" s="67"/>
      <c r="C92" s="67"/>
      <c r="D92" s="67"/>
      <c r="E92" s="67"/>
      <c r="F92" s="67"/>
      <c r="G92" s="67"/>
    </row>
    <row r="93" spans="1:7" x14ac:dyDescent="0.2">
      <c r="A93" s="67"/>
      <c r="B93" s="67"/>
      <c r="C93" s="67"/>
      <c r="D93" s="67"/>
      <c r="E93" s="67"/>
      <c r="F93" s="67"/>
      <c r="G93" s="67"/>
    </row>
    <row r="94" spans="1:7" x14ac:dyDescent="0.2">
      <c r="A94" s="67"/>
      <c r="B94" s="67"/>
      <c r="C94" s="67"/>
      <c r="D94" s="67"/>
      <c r="E94" s="67"/>
      <c r="F94" s="67"/>
      <c r="G94" s="67"/>
    </row>
    <row r="95" spans="1:7" x14ac:dyDescent="0.2">
      <c r="A95" s="67"/>
      <c r="B95" s="67"/>
      <c r="C95" s="67"/>
      <c r="D95" s="67"/>
      <c r="E95" s="67"/>
      <c r="F95" s="67"/>
      <c r="G95" s="67"/>
    </row>
    <row r="96" spans="1:7" x14ac:dyDescent="0.2">
      <c r="A96" s="67"/>
      <c r="B96" s="67"/>
      <c r="C96" s="67"/>
      <c r="D96" s="67"/>
      <c r="E96" s="67"/>
      <c r="F96" s="67"/>
      <c r="G96" s="67"/>
    </row>
    <row r="97" spans="1:7" x14ac:dyDescent="0.2">
      <c r="A97" s="67"/>
      <c r="B97" s="67"/>
      <c r="C97" s="67"/>
      <c r="D97" s="67"/>
      <c r="E97" s="67"/>
      <c r="F97" s="67"/>
      <c r="G97" s="67"/>
    </row>
    <row r="98" spans="1:7" x14ac:dyDescent="0.2">
      <c r="A98" s="67"/>
      <c r="B98" s="67"/>
      <c r="C98" s="67"/>
      <c r="D98" s="67"/>
      <c r="E98" s="67"/>
      <c r="F98" s="67"/>
      <c r="G98" s="67"/>
    </row>
    <row r="99" spans="1:7" x14ac:dyDescent="0.2">
      <c r="A99" s="67"/>
      <c r="B99" s="67"/>
      <c r="C99" s="67"/>
      <c r="D99" s="67"/>
      <c r="E99" s="67"/>
      <c r="F99" s="67"/>
      <c r="G99" s="67"/>
    </row>
    <row r="100" spans="1:7" x14ac:dyDescent="0.2">
      <c r="A100" s="67"/>
      <c r="B100" s="67"/>
      <c r="C100" s="67"/>
      <c r="D100" s="67"/>
      <c r="E100" s="67"/>
      <c r="F100" s="67"/>
      <c r="G100" s="67"/>
    </row>
    <row r="101" spans="1:7" x14ac:dyDescent="0.2">
      <c r="A101" s="67"/>
      <c r="B101" s="67"/>
      <c r="C101" s="67"/>
      <c r="D101" s="67"/>
      <c r="E101" s="67"/>
      <c r="F101" s="67"/>
      <c r="G101" s="67"/>
    </row>
    <row r="102" spans="1:7" x14ac:dyDescent="0.2">
      <c r="A102" s="67"/>
      <c r="B102" s="67"/>
      <c r="C102" s="67"/>
      <c r="D102" s="67"/>
      <c r="E102" s="67"/>
      <c r="F102" s="67"/>
      <c r="G102" s="67"/>
    </row>
    <row r="103" spans="1:7" x14ac:dyDescent="0.2">
      <c r="A103" s="67"/>
      <c r="B103" s="67"/>
      <c r="C103" s="67"/>
      <c r="D103" s="67"/>
      <c r="E103" s="67"/>
      <c r="F103" s="67"/>
      <c r="G103" s="67"/>
    </row>
    <row r="104" spans="1:7" x14ac:dyDescent="0.2">
      <c r="A104" s="67"/>
      <c r="B104" s="67"/>
      <c r="C104" s="67"/>
      <c r="D104" s="67"/>
      <c r="E104" s="67"/>
      <c r="F104" s="67"/>
      <c r="G104" s="67"/>
    </row>
    <row r="105" spans="1:7" x14ac:dyDescent="0.2">
      <c r="A105" s="67"/>
      <c r="B105" s="67"/>
      <c r="C105" s="67"/>
      <c r="D105" s="67"/>
      <c r="E105" s="67"/>
      <c r="F105" s="67"/>
      <c r="G105" s="67"/>
    </row>
    <row r="106" spans="1:7" x14ac:dyDescent="0.2">
      <c r="A106" s="67"/>
      <c r="B106" s="67"/>
      <c r="C106" s="67"/>
      <c r="D106" s="67"/>
      <c r="E106" s="67"/>
      <c r="F106" s="67"/>
      <c r="G106" s="67"/>
    </row>
    <row r="107" spans="1:7" x14ac:dyDescent="0.2">
      <c r="A107" s="67"/>
      <c r="B107" s="67"/>
      <c r="C107" s="67"/>
      <c r="D107" s="67"/>
      <c r="E107" s="67"/>
      <c r="F107" s="67"/>
      <c r="G107" s="67"/>
    </row>
    <row r="108" spans="1:7" x14ac:dyDescent="0.2">
      <c r="A108" s="67"/>
      <c r="B108" s="67"/>
      <c r="C108" s="67"/>
      <c r="D108" s="67"/>
      <c r="E108" s="67"/>
      <c r="F108" s="67"/>
      <c r="G108" s="67"/>
    </row>
    <row r="109" spans="1:7" x14ac:dyDescent="0.2">
      <c r="A109" s="67"/>
      <c r="B109" s="67"/>
      <c r="C109" s="67"/>
      <c r="D109" s="67"/>
      <c r="E109" s="67"/>
      <c r="F109" s="67"/>
      <c r="G109" s="67"/>
    </row>
    <row r="110" spans="1:7" x14ac:dyDescent="0.2">
      <c r="A110" s="67"/>
      <c r="B110" s="67"/>
      <c r="C110" s="67"/>
      <c r="D110" s="67"/>
      <c r="E110" s="67"/>
      <c r="F110" s="67"/>
      <c r="G110" s="67"/>
    </row>
  </sheetData>
  <mergeCells count="1">
    <mergeCell ref="A1:G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Assumptions_DZ4</vt:lpstr>
      <vt:lpstr>Team &amp; TtM</vt:lpstr>
      <vt:lpstr>PnL</vt:lpstr>
      <vt:lpstr>CashFlow</vt:lpstr>
      <vt:lpstr>Checkers_DZ4</vt:lpstr>
      <vt:lpstr>Монетизация и юнит</vt:lpstr>
      <vt:lpstr>Checkers</vt:lpstr>
      <vt:lpstr>Гипотезы</vt:lpstr>
      <vt:lpstr>Graph_2026_Contacts</vt:lpstr>
      <vt:lpstr>Baseline - Avito Стройка</vt:lpstr>
      <vt:lpstr>Assumptions - Baseline (Стройка</vt:lpstr>
      <vt:lpstr>Top-down</vt:lpstr>
      <vt:lpstr>Текст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Maltseva</cp:lastModifiedBy>
  <dcterms:created xsi:type="dcterms:W3CDTF">2026-02-20T19:17:20Z</dcterms:created>
  <dcterms:modified xsi:type="dcterms:W3CDTF">2026-05-25T20:21:14Z</dcterms:modified>
</cp:coreProperties>
</file>
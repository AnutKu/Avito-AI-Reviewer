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redlymood/Documents/вшэ/юнит-экономика/"/>
    </mc:Choice>
  </mc:AlternateContent>
  <xr:revisionPtr revIDLastSave="0" documentId="13_ncr:1_{F38048AE-9B96-D24A-BFB7-CDEA94A0BBAE}" xr6:coauthVersionLast="47" xr6:coauthVersionMax="47" xr10:uidLastSave="{00000000-0000-0000-0000-000000000000}"/>
  <bookViews>
    <workbookView xWindow="0" yWindow="760" windowWidth="30240" windowHeight="17300" activeTab="6" xr2:uid="{00000000-000D-0000-FFFF-FFFF00000000}"/>
  </bookViews>
  <sheets>
    <sheet name="README" sheetId="1" r:id="rId1"/>
    <sheet name="Assumptions" sheetId="2" r:id="rId2"/>
    <sheet name="Hypotheses" sheetId="3" r:id="rId3"/>
    <sheet name="Traction model" sheetId="4" r:id="rId4"/>
    <sheet name="Монетизация и юнит" sheetId="5" r:id="rId5"/>
    <sheet name="Checkers" sheetId="6" r:id="rId6"/>
    <sheet name="PnL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2" i="7" l="1"/>
  <c r="H126" i="7" s="1"/>
  <c r="G102" i="7"/>
  <c r="G126" i="7" s="1"/>
  <c r="F102" i="7"/>
  <c r="F126" i="7" s="1"/>
  <c r="E102" i="7"/>
  <c r="E126" i="7" s="1"/>
  <c r="D102" i="7"/>
  <c r="D126" i="7" s="1"/>
  <c r="H99" i="7"/>
  <c r="H125" i="7" s="1"/>
  <c r="G99" i="7"/>
  <c r="G125" i="7" s="1"/>
  <c r="F99" i="7"/>
  <c r="F125" i="7" s="1"/>
  <c r="E99" i="7"/>
  <c r="E125" i="7" s="1"/>
  <c r="D99" i="7"/>
  <c r="D125" i="7" s="1"/>
  <c r="H96" i="7"/>
  <c r="H124" i="7" s="1"/>
  <c r="G96" i="7"/>
  <c r="G124" i="7" s="1"/>
  <c r="F96" i="7"/>
  <c r="F124" i="7" s="1"/>
  <c r="E96" i="7"/>
  <c r="E124" i="7" s="1"/>
  <c r="D96" i="7"/>
  <c r="D124" i="7" s="1"/>
  <c r="H93" i="7"/>
  <c r="G93" i="7"/>
  <c r="F93" i="7"/>
  <c r="E93" i="7"/>
  <c r="D93" i="7"/>
  <c r="H92" i="7"/>
  <c r="G92" i="7"/>
  <c r="F92" i="7"/>
  <c r="E92" i="7"/>
  <c r="D92" i="7"/>
  <c r="H91" i="7"/>
  <c r="H122" i="7" s="1"/>
  <c r="G91" i="7"/>
  <c r="G122" i="7" s="1"/>
  <c r="F91" i="7"/>
  <c r="F122" i="7" s="1"/>
  <c r="E91" i="7"/>
  <c r="E122" i="7" s="1"/>
  <c r="D91" i="7"/>
  <c r="D122" i="7" s="1"/>
  <c r="E72" i="7"/>
  <c r="C72" i="7"/>
  <c r="E71" i="7"/>
  <c r="C71" i="7"/>
  <c r="E70" i="7"/>
  <c r="C70" i="7"/>
  <c r="E69" i="7"/>
  <c r="C69" i="7"/>
  <c r="E68" i="7"/>
  <c r="C68" i="7"/>
  <c r="I64" i="7"/>
  <c r="H64" i="7"/>
  <c r="G64" i="7"/>
  <c r="F64" i="7"/>
  <c r="E64" i="7"/>
  <c r="C63" i="7"/>
  <c r="D63" i="7" s="1"/>
  <c r="C62" i="7"/>
  <c r="D62" i="7" s="1"/>
  <c r="C61" i="7"/>
  <c r="D61" i="7" s="1"/>
  <c r="C60" i="7"/>
  <c r="D60" i="7" s="1"/>
  <c r="C59" i="7"/>
  <c r="D59" i="7" s="1"/>
  <c r="C58" i="7"/>
  <c r="D58" i="7" s="1"/>
  <c r="C57" i="7"/>
  <c r="D57" i="7" s="1"/>
  <c r="C56" i="7"/>
  <c r="D56" i="7" s="1"/>
  <c r="C43" i="7"/>
  <c r="B34" i="6"/>
  <c r="B33" i="6"/>
  <c r="B28" i="6"/>
  <c r="B27" i="6"/>
  <c r="B26" i="6"/>
  <c r="B25" i="6"/>
  <c r="B19" i="6"/>
  <c r="B18" i="6"/>
  <c r="B17" i="6"/>
  <c r="B16" i="6"/>
  <c r="B15" i="6"/>
  <c r="B92" i="5"/>
  <c r="B91" i="5"/>
  <c r="B90" i="5"/>
  <c r="B89" i="5"/>
  <c r="B88" i="5"/>
  <c r="B46" i="5"/>
  <c r="B45" i="5"/>
  <c r="B44" i="5"/>
  <c r="B43" i="5"/>
  <c r="B42" i="5"/>
  <c r="B41" i="5"/>
  <c r="B40" i="5"/>
  <c r="B39" i="5"/>
  <c r="G20" i="5"/>
  <c r="F20" i="5"/>
  <c r="E20" i="5"/>
  <c r="D20" i="5"/>
  <c r="C20" i="5"/>
  <c r="B9" i="5"/>
  <c r="B7" i="5"/>
  <c r="B5" i="5"/>
  <c r="B6" i="5" s="1"/>
  <c r="BF64" i="4"/>
  <c r="BE64" i="4"/>
  <c r="BD64" i="4"/>
  <c r="AH64" i="4"/>
  <c r="AG64" i="4"/>
  <c r="U64" i="4"/>
  <c r="T64" i="4"/>
  <c r="AL63" i="4"/>
  <c r="AC63" i="4"/>
  <c r="BJ60" i="4"/>
  <c r="BI60" i="4"/>
  <c r="BH60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AS60" i="4"/>
  <c r="AR60" i="4"/>
  <c r="AQ60" i="4"/>
  <c r="AP60" i="4"/>
  <c r="AO60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E60" i="4"/>
  <c r="D60" i="4"/>
  <c r="C60" i="4"/>
  <c r="C56" i="4"/>
  <c r="BI55" i="4"/>
  <c r="BE55" i="4"/>
  <c r="BD55" i="4"/>
  <c r="AT55" i="4"/>
  <c r="AS55" i="4"/>
  <c r="AR55" i="4"/>
  <c r="AK55" i="4"/>
  <c r="AG55" i="4"/>
  <c r="AF55" i="4"/>
  <c r="Y55" i="4"/>
  <c r="U55" i="4"/>
  <c r="T55" i="4"/>
  <c r="I55" i="4"/>
  <c r="H55" i="4"/>
  <c r="BJ50" i="4"/>
  <c r="BJ64" i="4" s="1"/>
  <c r="BI50" i="4"/>
  <c r="BI64" i="4" s="1"/>
  <c r="BH50" i="4"/>
  <c r="BH64" i="4" s="1"/>
  <c r="BG50" i="4"/>
  <c r="BG64" i="4" s="1"/>
  <c r="BF50" i="4"/>
  <c r="BE50" i="4"/>
  <c r="BD50" i="4"/>
  <c r="BC50" i="4"/>
  <c r="BC64" i="4" s="1"/>
  <c r="BB50" i="4"/>
  <c r="BB64" i="4" s="1"/>
  <c r="BA50" i="4"/>
  <c r="BA64" i="4" s="1"/>
  <c r="AZ50" i="4"/>
  <c r="AZ64" i="4" s="1"/>
  <c r="AY50" i="4"/>
  <c r="AY64" i="4" s="1"/>
  <c r="AX50" i="4"/>
  <c r="AX64" i="4" s="1"/>
  <c r="AW50" i="4"/>
  <c r="AW64" i="4" s="1"/>
  <c r="AV50" i="4"/>
  <c r="AV64" i="4" s="1"/>
  <c r="AU50" i="4"/>
  <c r="AU64" i="4" s="1"/>
  <c r="AT50" i="4"/>
  <c r="AT64" i="4" s="1"/>
  <c r="AS50" i="4"/>
  <c r="AS64" i="4" s="1"/>
  <c r="AR50" i="4"/>
  <c r="AR64" i="4" s="1"/>
  <c r="AQ50" i="4"/>
  <c r="AQ64" i="4" s="1"/>
  <c r="AP50" i="4"/>
  <c r="AP64" i="4" s="1"/>
  <c r="AO50" i="4"/>
  <c r="AO64" i="4" s="1"/>
  <c r="AN50" i="4"/>
  <c r="AN64" i="4" s="1"/>
  <c r="AM50" i="4"/>
  <c r="AM64" i="4" s="1"/>
  <c r="AL50" i="4"/>
  <c r="AL64" i="4" s="1"/>
  <c r="AK50" i="4"/>
  <c r="AK64" i="4" s="1"/>
  <c r="AJ50" i="4"/>
  <c r="AJ64" i="4" s="1"/>
  <c r="AI50" i="4"/>
  <c r="AI64" i="4" s="1"/>
  <c r="AH50" i="4"/>
  <c r="AG50" i="4"/>
  <c r="AF50" i="4"/>
  <c r="AF64" i="4" s="1"/>
  <c r="AE50" i="4"/>
  <c r="AE64" i="4" s="1"/>
  <c r="AD50" i="4"/>
  <c r="AD64" i="4" s="1"/>
  <c r="AC50" i="4"/>
  <c r="AC64" i="4" s="1"/>
  <c r="AB50" i="4"/>
  <c r="AB64" i="4" s="1"/>
  <c r="AA50" i="4"/>
  <c r="AA64" i="4" s="1"/>
  <c r="Z50" i="4"/>
  <c r="Z64" i="4" s="1"/>
  <c r="Y50" i="4"/>
  <c r="Y64" i="4" s="1"/>
  <c r="X50" i="4"/>
  <c r="X64" i="4" s="1"/>
  <c r="W50" i="4"/>
  <c r="W64" i="4" s="1"/>
  <c r="V50" i="4"/>
  <c r="V64" i="4" s="1"/>
  <c r="U50" i="4"/>
  <c r="T50" i="4"/>
  <c r="S50" i="4"/>
  <c r="S64" i="4" s="1"/>
  <c r="R50" i="4"/>
  <c r="R64" i="4" s="1"/>
  <c r="Q50" i="4"/>
  <c r="Q64" i="4" s="1"/>
  <c r="P50" i="4"/>
  <c r="P64" i="4" s="1"/>
  <c r="O50" i="4"/>
  <c r="O64" i="4" s="1"/>
  <c r="N50" i="4"/>
  <c r="N64" i="4" s="1"/>
  <c r="M50" i="4"/>
  <c r="M64" i="4" s="1"/>
  <c r="L50" i="4"/>
  <c r="L64" i="4" s="1"/>
  <c r="K50" i="4"/>
  <c r="K64" i="4" s="1"/>
  <c r="J50" i="4"/>
  <c r="J64" i="4" s="1"/>
  <c r="I50" i="4"/>
  <c r="I64" i="4" s="1"/>
  <c r="H50" i="4"/>
  <c r="H64" i="4" s="1"/>
  <c r="G50" i="4"/>
  <c r="G64" i="4" s="1"/>
  <c r="F50" i="4"/>
  <c r="F64" i="4" s="1"/>
  <c r="E50" i="4"/>
  <c r="E64" i="4" s="1"/>
  <c r="D50" i="4"/>
  <c r="D64" i="4" s="1"/>
  <c r="C50" i="4"/>
  <c r="C64" i="4" s="1"/>
  <c r="BJ46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J45" i="4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J44" i="4"/>
  <c r="BI44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J43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J42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BJ41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J40" i="4"/>
  <c r="BJ55" i="4" s="1"/>
  <c r="BI40" i="4"/>
  <c r="BH40" i="4"/>
  <c r="BH55" i="4" s="1"/>
  <c r="BG40" i="4"/>
  <c r="BG55" i="4" s="1"/>
  <c r="BF40" i="4"/>
  <c r="BF55" i="4" s="1"/>
  <c r="BE40" i="4"/>
  <c r="BD40" i="4"/>
  <c r="BC40" i="4"/>
  <c r="BC55" i="4" s="1"/>
  <c r="BB40" i="4"/>
  <c r="BB55" i="4" s="1"/>
  <c r="BA40" i="4"/>
  <c r="BA55" i="4" s="1"/>
  <c r="AZ40" i="4"/>
  <c r="AZ55" i="4" s="1"/>
  <c r="AY40" i="4"/>
  <c r="AY55" i="4" s="1"/>
  <c r="AX40" i="4"/>
  <c r="AX55" i="4" s="1"/>
  <c r="AW40" i="4"/>
  <c r="AW55" i="4" s="1"/>
  <c r="AV40" i="4"/>
  <c r="AV55" i="4" s="1"/>
  <c r="AU40" i="4"/>
  <c r="AU55" i="4" s="1"/>
  <c r="AT40" i="4"/>
  <c r="AS40" i="4"/>
  <c r="AR40" i="4"/>
  <c r="AQ40" i="4"/>
  <c r="AQ55" i="4" s="1"/>
  <c r="AP40" i="4"/>
  <c r="AP55" i="4" s="1"/>
  <c r="AO40" i="4"/>
  <c r="AO55" i="4" s="1"/>
  <c r="AN40" i="4"/>
  <c r="AN55" i="4" s="1"/>
  <c r="AM40" i="4"/>
  <c r="AM55" i="4" s="1"/>
  <c r="AL40" i="4"/>
  <c r="AL55" i="4" s="1"/>
  <c r="AK40" i="4"/>
  <c r="AJ40" i="4"/>
  <c r="AJ55" i="4" s="1"/>
  <c r="AI40" i="4"/>
  <c r="AI55" i="4" s="1"/>
  <c r="AH40" i="4"/>
  <c r="AH55" i="4" s="1"/>
  <c r="AG40" i="4"/>
  <c r="AF40" i="4"/>
  <c r="AE40" i="4"/>
  <c r="AE55" i="4" s="1"/>
  <c r="AD40" i="4"/>
  <c r="AD55" i="4" s="1"/>
  <c r="AC40" i="4"/>
  <c r="AC55" i="4" s="1"/>
  <c r="AB40" i="4"/>
  <c r="AB55" i="4" s="1"/>
  <c r="AA40" i="4"/>
  <c r="AA55" i="4" s="1"/>
  <c r="Z40" i="4"/>
  <c r="Z55" i="4" s="1"/>
  <c r="Y40" i="4"/>
  <c r="X40" i="4"/>
  <c r="X55" i="4" s="1"/>
  <c r="W40" i="4"/>
  <c r="W55" i="4" s="1"/>
  <c r="V40" i="4"/>
  <c r="V55" i="4" s="1"/>
  <c r="U40" i="4"/>
  <c r="T40" i="4"/>
  <c r="S40" i="4"/>
  <c r="S55" i="4" s="1"/>
  <c r="R40" i="4"/>
  <c r="R55" i="4" s="1"/>
  <c r="Q40" i="4"/>
  <c r="Q55" i="4" s="1"/>
  <c r="P40" i="4"/>
  <c r="P55" i="4" s="1"/>
  <c r="O40" i="4"/>
  <c r="O55" i="4" s="1"/>
  <c r="N40" i="4"/>
  <c r="N55" i="4" s="1"/>
  <c r="M40" i="4"/>
  <c r="M55" i="4" s="1"/>
  <c r="L40" i="4"/>
  <c r="L55" i="4" s="1"/>
  <c r="K40" i="4"/>
  <c r="K55" i="4" s="1"/>
  <c r="J40" i="4"/>
  <c r="J55" i="4" s="1"/>
  <c r="I40" i="4"/>
  <c r="H40" i="4"/>
  <c r="G40" i="4"/>
  <c r="G55" i="4" s="1"/>
  <c r="F40" i="4"/>
  <c r="F55" i="4" s="1"/>
  <c r="E40" i="4"/>
  <c r="E55" i="4" s="1"/>
  <c r="D40" i="4"/>
  <c r="D55" i="4" s="1"/>
  <c r="C40" i="4"/>
  <c r="C55" i="4" s="1"/>
  <c r="D34" i="4"/>
  <c r="BJ33" i="4"/>
  <c r="BJ63" i="4" s="1"/>
  <c r="BI33" i="4"/>
  <c r="BI63" i="4" s="1"/>
  <c r="BH33" i="4"/>
  <c r="BH63" i="4" s="1"/>
  <c r="BG33" i="4"/>
  <c r="BG63" i="4" s="1"/>
  <c r="BF33" i="4"/>
  <c r="BF63" i="4" s="1"/>
  <c r="BE33" i="4"/>
  <c r="BE63" i="4" s="1"/>
  <c r="BA33" i="4"/>
  <c r="BA63" i="4" s="1"/>
  <c r="AX33" i="4"/>
  <c r="AX63" i="4" s="1"/>
  <c r="AW33" i="4"/>
  <c r="AW63" i="4" s="1"/>
  <c r="AV33" i="4"/>
  <c r="AV63" i="4" s="1"/>
  <c r="AU33" i="4"/>
  <c r="AU63" i="4" s="1"/>
  <c r="AT33" i="4"/>
  <c r="AT63" i="4" s="1"/>
  <c r="AS33" i="4"/>
  <c r="AS63" i="4" s="1"/>
  <c r="AO33" i="4"/>
  <c r="AO63" i="4" s="1"/>
  <c r="AN33" i="4"/>
  <c r="AN63" i="4" s="1"/>
  <c r="AM33" i="4"/>
  <c r="AM63" i="4" s="1"/>
  <c r="AL33" i="4"/>
  <c r="AI33" i="4"/>
  <c r="AI63" i="4" s="1"/>
  <c r="AH33" i="4"/>
  <c r="AH63" i="4" s="1"/>
  <c r="AG33" i="4"/>
  <c r="AG63" i="4" s="1"/>
  <c r="AC33" i="4"/>
  <c r="AB33" i="4"/>
  <c r="AB63" i="4" s="1"/>
  <c r="AA33" i="4"/>
  <c r="AA63" i="4" s="1"/>
  <c r="Z33" i="4"/>
  <c r="Z63" i="4" s="1"/>
  <c r="Y33" i="4"/>
  <c r="Y63" i="4" s="1"/>
  <c r="X33" i="4"/>
  <c r="X63" i="4" s="1"/>
  <c r="W33" i="4"/>
  <c r="W63" i="4" s="1"/>
  <c r="Q33" i="4"/>
  <c r="Q63" i="4" s="1"/>
  <c r="P33" i="4"/>
  <c r="P63" i="4" s="1"/>
  <c r="O33" i="4"/>
  <c r="O63" i="4" s="1"/>
  <c r="N33" i="4"/>
  <c r="N63" i="4" s="1"/>
  <c r="M33" i="4"/>
  <c r="M63" i="4" s="1"/>
  <c r="L33" i="4"/>
  <c r="L63" i="4" s="1"/>
  <c r="K33" i="4"/>
  <c r="K63" i="4" s="1"/>
  <c r="J33" i="4"/>
  <c r="J63" i="4" s="1"/>
  <c r="I33" i="4"/>
  <c r="I63" i="4" s="1"/>
  <c r="E33" i="4"/>
  <c r="E63" i="4" s="1"/>
  <c r="C33" i="4"/>
  <c r="BA27" i="4"/>
  <c r="AZ27" i="4"/>
  <c r="AY27" i="4"/>
  <c r="AU27" i="4"/>
  <c r="AT27" i="4"/>
  <c r="AR27" i="4"/>
  <c r="AH27" i="4"/>
  <c r="AF27" i="4"/>
  <c r="AD27" i="4"/>
  <c r="AC27" i="4"/>
  <c r="T27" i="4"/>
  <c r="S27" i="4"/>
  <c r="R27" i="4"/>
  <c r="P27" i="4"/>
  <c r="K27" i="4"/>
  <c r="D27" i="4"/>
  <c r="C27" i="4"/>
  <c r="D21" i="4"/>
  <c r="D57" i="4" s="1"/>
  <c r="C21" i="4"/>
  <c r="D19" i="4"/>
  <c r="D56" i="4" s="1"/>
  <c r="C19" i="4"/>
  <c r="BJ13" i="4"/>
  <c r="BI13" i="4"/>
  <c r="BH13" i="4"/>
  <c r="BG13" i="4"/>
  <c r="BF13" i="4"/>
  <c r="BE13" i="4"/>
  <c r="BD13" i="4"/>
  <c r="BC13" i="4"/>
  <c r="BB13" i="4"/>
  <c r="BA13" i="4"/>
  <c r="AZ13" i="4"/>
  <c r="AY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C17" i="4" s="1"/>
  <c r="AA2" i="4"/>
  <c r="AB2" i="4" s="1"/>
  <c r="AC2" i="4" s="1"/>
  <c r="AD2" i="4" s="1"/>
  <c r="AE2" i="4" s="1"/>
  <c r="AF2" i="4" s="1"/>
  <c r="AG2" i="4" s="1"/>
  <c r="AH2" i="4" s="1"/>
  <c r="AI2" i="4" s="1"/>
  <c r="AJ2" i="4" s="1"/>
  <c r="AK2" i="4" s="1"/>
  <c r="AL2" i="4" s="1"/>
  <c r="P2" i="4"/>
  <c r="Q2" i="4" s="1"/>
  <c r="R2" i="4" s="1"/>
  <c r="S2" i="4" s="1"/>
  <c r="T2" i="4" s="1"/>
  <c r="U2" i="4" s="1"/>
  <c r="V2" i="4" s="1"/>
  <c r="W2" i="4" s="1"/>
  <c r="X2" i="4" s="1"/>
  <c r="Y2" i="4" s="1"/>
  <c r="Z2" i="4" s="1"/>
  <c r="O2" i="4"/>
  <c r="D2" i="4"/>
  <c r="G5" i="3"/>
  <c r="F5" i="3"/>
  <c r="E5" i="3"/>
  <c r="D5" i="3"/>
  <c r="C5" i="3"/>
  <c r="G4" i="3"/>
  <c r="F4" i="3"/>
  <c r="B14" i="2"/>
  <c r="B11" i="2"/>
  <c r="B5" i="2"/>
  <c r="B8" i="2" s="1"/>
  <c r="B9" i="2" s="1"/>
  <c r="C10" i="4" s="1"/>
  <c r="E73" i="7" l="1"/>
  <c r="E2" i="4"/>
  <c r="F2" i="4" s="1"/>
  <c r="G2" i="4" s="1"/>
  <c r="H2" i="4" s="1"/>
  <c r="I2" i="4" s="1"/>
  <c r="J2" i="4" s="1"/>
  <c r="K2" i="4" s="1"/>
  <c r="L2" i="4" s="1"/>
  <c r="M2" i="4" s="1"/>
  <c r="N2" i="4" s="1"/>
  <c r="C54" i="4"/>
  <c r="C36" i="4"/>
  <c r="D17" i="4"/>
  <c r="C23" i="4"/>
  <c r="D10" i="4"/>
  <c r="E10" i="4" s="1"/>
  <c r="F10" i="4" s="1"/>
  <c r="G10" i="4" s="1"/>
  <c r="H10" i="4" s="1"/>
  <c r="I10" i="4" s="1"/>
  <c r="J10" i="4" s="1"/>
  <c r="K10" i="4" s="1"/>
  <c r="L10" i="4" s="1"/>
  <c r="M10" i="4" s="1"/>
  <c r="N10" i="4" s="1"/>
  <c r="O10" i="4" s="1"/>
  <c r="P10" i="4" s="1"/>
  <c r="Q10" i="4" s="1"/>
  <c r="R10" i="4" s="1"/>
  <c r="S10" i="4" s="1"/>
  <c r="T10" i="4" s="1"/>
  <c r="U10" i="4" s="1"/>
  <c r="V10" i="4" s="1"/>
  <c r="W10" i="4" s="1"/>
  <c r="X10" i="4" s="1"/>
  <c r="Y10" i="4" s="1"/>
  <c r="Z10" i="4" s="1"/>
  <c r="AA10" i="4" s="1"/>
  <c r="AB10" i="4" s="1"/>
  <c r="AC10" i="4" s="1"/>
  <c r="AD10" i="4" s="1"/>
  <c r="AE10" i="4" s="1"/>
  <c r="AF10" i="4" s="1"/>
  <c r="AG10" i="4" s="1"/>
  <c r="AH10" i="4" s="1"/>
  <c r="AI10" i="4" s="1"/>
  <c r="AJ10" i="4" s="1"/>
  <c r="AK10" i="4" s="1"/>
  <c r="AL10" i="4" s="1"/>
  <c r="AM10" i="4" s="1"/>
  <c r="AN10" i="4" s="1"/>
  <c r="AO10" i="4" s="1"/>
  <c r="AP10" i="4" s="1"/>
  <c r="AQ10" i="4" s="1"/>
  <c r="AR10" i="4" s="1"/>
  <c r="AS10" i="4" s="1"/>
  <c r="AT10" i="4" s="1"/>
  <c r="AU10" i="4" s="1"/>
  <c r="AV10" i="4" s="1"/>
  <c r="AW10" i="4" s="1"/>
  <c r="AX10" i="4" s="1"/>
  <c r="AY10" i="4" s="1"/>
  <c r="AZ10" i="4" s="1"/>
  <c r="BA10" i="4" s="1"/>
  <c r="BB10" i="4" s="1"/>
  <c r="BC10" i="4" s="1"/>
  <c r="BD10" i="4" s="1"/>
  <c r="BE10" i="4" s="1"/>
  <c r="BF10" i="4" s="1"/>
  <c r="BG10" i="4" s="1"/>
  <c r="BH10" i="4" s="1"/>
  <c r="BI10" i="4" s="1"/>
  <c r="BJ10" i="4" s="1"/>
  <c r="B6" i="2"/>
  <c r="C8" i="4" s="1"/>
  <c r="C57" i="4"/>
  <c r="E19" i="4"/>
  <c r="E21" i="4"/>
  <c r="AM2" i="4"/>
  <c r="BJ27" i="4"/>
  <c r="AX27" i="4"/>
  <c r="AL27" i="4"/>
  <c r="Z27" i="4"/>
  <c r="N27" i="4"/>
  <c r="BI27" i="4"/>
  <c r="AW27" i="4"/>
  <c r="AK27" i="4"/>
  <c r="Y27" i="4"/>
  <c r="M27" i="4"/>
  <c r="BH27" i="4"/>
  <c r="AV27" i="4"/>
  <c r="AJ27" i="4"/>
  <c r="X27" i="4"/>
  <c r="L27" i="4"/>
  <c r="BF27" i="4"/>
  <c r="AQ27" i="4"/>
  <c r="AB27" i="4"/>
  <c r="J27" i="4"/>
  <c r="BE27" i="4"/>
  <c r="AP27" i="4"/>
  <c r="AA27" i="4"/>
  <c r="I27" i="4"/>
  <c r="BD27" i="4"/>
  <c r="AO27" i="4"/>
  <c r="W27" i="4"/>
  <c r="H27" i="4"/>
  <c r="BC27" i="4"/>
  <c r="AN27" i="4"/>
  <c r="V27" i="4"/>
  <c r="G27" i="4"/>
  <c r="BB27" i="4"/>
  <c r="AM27" i="4"/>
  <c r="U27" i="4"/>
  <c r="F27" i="4"/>
  <c r="AE27" i="4"/>
  <c r="BG27" i="4"/>
  <c r="E27" i="4"/>
  <c r="AG27" i="4"/>
  <c r="O27" i="4"/>
  <c r="AI27" i="4"/>
  <c r="Q27" i="4"/>
  <c r="AS27" i="4"/>
  <c r="C63" i="4"/>
  <c r="BD33" i="4"/>
  <c r="BD63" i="4" s="1"/>
  <c r="AR33" i="4"/>
  <c r="AR63" i="4" s="1"/>
  <c r="AF33" i="4"/>
  <c r="AF63" i="4" s="1"/>
  <c r="T33" i="4"/>
  <c r="T63" i="4" s="1"/>
  <c r="H33" i="4"/>
  <c r="H63" i="4" s="1"/>
  <c r="BC33" i="4"/>
  <c r="BC63" i="4" s="1"/>
  <c r="AQ33" i="4"/>
  <c r="AQ63" i="4" s="1"/>
  <c r="AE33" i="4"/>
  <c r="AE63" i="4" s="1"/>
  <c r="S33" i="4"/>
  <c r="S63" i="4" s="1"/>
  <c r="G33" i="4"/>
  <c r="G63" i="4" s="1"/>
  <c r="BB33" i="4"/>
  <c r="BB63" i="4" s="1"/>
  <c r="AP33" i="4"/>
  <c r="AP63" i="4" s="1"/>
  <c r="AD33" i="4"/>
  <c r="AD63" i="4" s="1"/>
  <c r="R33" i="4"/>
  <c r="R63" i="4" s="1"/>
  <c r="F33" i="4"/>
  <c r="F63" i="4" s="1"/>
  <c r="U33" i="4"/>
  <c r="U63" i="4" s="1"/>
  <c r="AJ33" i="4"/>
  <c r="AJ63" i="4" s="1"/>
  <c r="AY33" i="4"/>
  <c r="AY63" i="4" s="1"/>
  <c r="D33" i="4"/>
  <c r="D63" i="4" s="1"/>
  <c r="V33" i="4"/>
  <c r="V63" i="4" s="1"/>
  <c r="AK33" i="4"/>
  <c r="AK63" i="4" s="1"/>
  <c r="AZ33" i="4"/>
  <c r="AZ63" i="4" s="1"/>
  <c r="D64" i="7"/>
  <c r="F71" i="7"/>
  <c r="F72" i="7"/>
  <c r="F68" i="7"/>
  <c r="F70" i="7"/>
  <c r="F69" i="7"/>
  <c r="C64" i="7"/>
  <c r="C66" i="4" l="1"/>
  <c r="B7" i="6"/>
  <c r="F19" i="4"/>
  <c r="E56" i="4"/>
  <c r="D54" i="4"/>
  <c r="D58" i="4" s="1"/>
  <c r="D59" i="4" s="1"/>
  <c r="D61" i="4" s="1"/>
  <c r="D62" i="4" s="1"/>
  <c r="D36" i="4"/>
  <c r="D66" i="4" s="1"/>
  <c r="E17" i="4"/>
  <c r="D23" i="4"/>
  <c r="D25" i="4" s="1"/>
  <c r="D29" i="4" s="1"/>
  <c r="D31" i="4" s="1"/>
  <c r="D35" i="4" s="1"/>
  <c r="D37" i="4" s="1"/>
  <c r="AN2" i="4"/>
  <c r="AY2" i="4"/>
  <c r="AZ2" i="4" s="1"/>
  <c r="BA2" i="4" s="1"/>
  <c r="BB2" i="4" s="1"/>
  <c r="BC2" i="4" s="1"/>
  <c r="BD2" i="4" s="1"/>
  <c r="BE2" i="4" s="1"/>
  <c r="BF2" i="4" s="1"/>
  <c r="BG2" i="4" s="1"/>
  <c r="BH2" i="4" s="1"/>
  <c r="BI2" i="4" s="1"/>
  <c r="BJ2" i="4" s="1"/>
  <c r="D8" i="4"/>
  <c r="E8" i="4" s="1"/>
  <c r="F8" i="4" s="1"/>
  <c r="G8" i="4" s="1"/>
  <c r="H8" i="4" s="1"/>
  <c r="I8" i="4" s="1"/>
  <c r="J8" i="4" s="1"/>
  <c r="K8" i="4" s="1"/>
  <c r="L8" i="4" s="1"/>
  <c r="M8" i="4" s="1"/>
  <c r="N8" i="4" s="1"/>
  <c r="O8" i="4" s="1"/>
  <c r="P8" i="4" s="1"/>
  <c r="Q8" i="4" s="1"/>
  <c r="R8" i="4" s="1"/>
  <c r="S8" i="4" s="1"/>
  <c r="T8" i="4" s="1"/>
  <c r="U8" i="4" s="1"/>
  <c r="V8" i="4" s="1"/>
  <c r="W8" i="4" s="1"/>
  <c r="X8" i="4" s="1"/>
  <c r="Y8" i="4" s="1"/>
  <c r="Z8" i="4" s="1"/>
  <c r="AA8" i="4" s="1"/>
  <c r="AB8" i="4" s="1"/>
  <c r="AC8" i="4" s="1"/>
  <c r="AD8" i="4" s="1"/>
  <c r="AE8" i="4" s="1"/>
  <c r="AF8" i="4" s="1"/>
  <c r="AG8" i="4" s="1"/>
  <c r="AH8" i="4" s="1"/>
  <c r="AI8" i="4" s="1"/>
  <c r="AJ8" i="4" s="1"/>
  <c r="AK8" i="4" s="1"/>
  <c r="AL8" i="4" s="1"/>
  <c r="AM8" i="4" s="1"/>
  <c r="AN8" i="4" s="1"/>
  <c r="AO8" i="4" s="1"/>
  <c r="AP8" i="4" s="1"/>
  <c r="AQ8" i="4" s="1"/>
  <c r="AR8" i="4" s="1"/>
  <c r="AS8" i="4" s="1"/>
  <c r="AT8" i="4" s="1"/>
  <c r="AU8" i="4" s="1"/>
  <c r="AV8" i="4" s="1"/>
  <c r="AW8" i="4" s="1"/>
  <c r="AX8" i="4" s="1"/>
  <c r="AY8" i="4" s="1"/>
  <c r="AZ8" i="4" s="1"/>
  <c r="BA8" i="4" s="1"/>
  <c r="BB8" i="4" s="1"/>
  <c r="BC8" i="4" s="1"/>
  <c r="BD8" i="4" s="1"/>
  <c r="BE8" i="4" s="1"/>
  <c r="BF8" i="4" s="1"/>
  <c r="BG8" i="4" s="1"/>
  <c r="BH8" i="4" s="1"/>
  <c r="BI8" i="4" s="1"/>
  <c r="BJ8" i="4" s="1"/>
  <c r="C58" i="4"/>
  <c r="B12" i="6"/>
  <c r="C25" i="4"/>
  <c r="E57" i="4"/>
  <c r="F21" i="4"/>
  <c r="AO2" i="4" l="1"/>
  <c r="D65" i="4"/>
  <c r="D67" i="4" s="1"/>
  <c r="D70" i="4" s="1"/>
  <c r="D71" i="4" s="1"/>
  <c r="D69" i="4"/>
  <c r="F57" i="4"/>
  <c r="G21" i="4"/>
  <c r="E54" i="4"/>
  <c r="E36" i="4"/>
  <c r="E66" i="4" s="1"/>
  <c r="F17" i="4"/>
  <c r="E23" i="4"/>
  <c r="E25" i="4" s="1"/>
  <c r="E29" i="4" s="1"/>
  <c r="E31" i="4" s="1"/>
  <c r="E35" i="4" s="1"/>
  <c r="E37" i="4" s="1"/>
  <c r="F56" i="4"/>
  <c r="G19" i="4"/>
  <c r="C59" i="4"/>
  <c r="B11" i="6"/>
  <c r="C29" i="4"/>
  <c r="C31" i="4" l="1"/>
  <c r="G57" i="4"/>
  <c r="H21" i="4"/>
  <c r="G56" i="4"/>
  <c r="H19" i="4"/>
  <c r="F54" i="4"/>
  <c r="F36" i="4"/>
  <c r="G17" i="4"/>
  <c r="F23" i="4"/>
  <c r="F25" i="4" s="1"/>
  <c r="AP2" i="4"/>
  <c r="C61" i="4"/>
  <c r="E58" i="4"/>
  <c r="F58" i="4" l="1"/>
  <c r="F59" i="4" s="1"/>
  <c r="F61" i="4" s="1"/>
  <c r="F62" i="4" s="1"/>
  <c r="I21" i="4"/>
  <c r="H57" i="4"/>
  <c r="AQ2" i="4"/>
  <c r="H56" i="4"/>
  <c r="I19" i="4"/>
  <c r="F29" i="4"/>
  <c r="C35" i="4"/>
  <c r="G36" i="4"/>
  <c r="G66" i="4" s="1"/>
  <c r="H17" i="4"/>
  <c r="G23" i="4"/>
  <c r="G54" i="4"/>
  <c r="E59" i="4"/>
  <c r="C62" i="4"/>
  <c r="F66" i="4"/>
  <c r="H54" i="4" l="1"/>
  <c r="H58" i="4" s="1"/>
  <c r="H59" i="4" s="1"/>
  <c r="H61" i="4" s="1"/>
  <c r="H62" i="4" s="1"/>
  <c r="H23" i="4"/>
  <c r="H25" i="4" s="1"/>
  <c r="H29" i="4" s="1"/>
  <c r="H31" i="4" s="1"/>
  <c r="H35" i="4" s="1"/>
  <c r="H36" i="4"/>
  <c r="I17" i="4"/>
  <c r="C37" i="4"/>
  <c r="G58" i="4"/>
  <c r="AR2" i="4"/>
  <c r="J21" i="4"/>
  <c r="I57" i="4"/>
  <c r="G25" i="4"/>
  <c r="C69" i="4"/>
  <c r="C65" i="4"/>
  <c r="F31" i="4"/>
  <c r="I56" i="4"/>
  <c r="J19" i="4"/>
  <c r="E61" i="4"/>
  <c r="F65" i="4"/>
  <c r="F67" i="4" s="1"/>
  <c r="F69" i="4"/>
  <c r="K21" i="4" l="1"/>
  <c r="J57" i="4"/>
  <c r="E62" i="4"/>
  <c r="G59" i="4"/>
  <c r="F35" i="4"/>
  <c r="I54" i="4"/>
  <c r="I23" i="4"/>
  <c r="J17" i="4"/>
  <c r="I36" i="4"/>
  <c r="C67" i="4"/>
  <c r="H66" i="4"/>
  <c r="G29" i="4"/>
  <c r="AS2" i="4"/>
  <c r="H37" i="4"/>
  <c r="H65" i="4"/>
  <c r="H67" i="4" s="1"/>
  <c r="H70" i="4" s="1"/>
  <c r="H69" i="4"/>
  <c r="J56" i="4"/>
  <c r="K19" i="4"/>
  <c r="K56" i="4" l="1"/>
  <c r="L19" i="4"/>
  <c r="C70" i="4"/>
  <c r="G61" i="4"/>
  <c r="I66" i="4"/>
  <c r="AT2" i="4"/>
  <c r="E65" i="4"/>
  <c r="E69" i="4"/>
  <c r="J54" i="4"/>
  <c r="J58" i="4" s="1"/>
  <c r="J59" i="4" s="1"/>
  <c r="J61" i="4" s="1"/>
  <c r="J62" i="4" s="1"/>
  <c r="J23" i="4"/>
  <c r="J25" i="4" s="1"/>
  <c r="J29" i="4" s="1"/>
  <c r="J31" i="4" s="1"/>
  <c r="J35" i="4" s="1"/>
  <c r="J37" i="4" s="1"/>
  <c r="K17" i="4"/>
  <c r="J36" i="4"/>
  <c r="J66" i="4" s="1"/>
  <c r="I25" i="4"/>
  <c r="G31" i="4"/>
  <c r="I58" i="4"/>
  <c r="F37" i="4"/>
  <c r="L21" i="4"/>
  <c r="K57" i="4"/>
  <c r="H71" i="4"/>
  <c r="AU2" i="4" l="1"/>
  <c r="AV2" i="4" s="1"/>
  <c r="AW2" i="4" s="1"/>
  <c r="AX2" i="4" s="1"/>
  <c r="BL8" i="4"/>
  <c r="BP45" i="4"/>
  <c r="BP49" i="4"/>
  <c r="BP50" i="4"/>
  <c r="BP41" i="4"/>
  <c r="BO44" i="4"/>
  <c r="F70" i="4"/>
  <c r="F71" i="4" s="1"/>
  <c r="K54" i="4"/>
  <c r="K58" i="4" s="1"/>
  <c r="K59" i="4" s="1"/>
  <c r="K61" i="4" s="1"/>
  <c r="K62" i="4" s="1"/>
  <c r="K23" i="4"/>
  <c r="K25" i="4" s="1"/>
  <c r="K29" i="4" s="1"/>
  <c r="K31" i="4" s="1"/>
  <c r="K35" i="4" s="1"/>
  <c r="L17" i="4"/>
  <c r="K36" i="4"/>
  <c r="K66" i="4" s="1"/>
  <c r="G62" i="4"/>
  <c r="J69" i="4"/>
  <c r="J65" i="4"/>
  <c r="J67" i="4" s="1"/>
  <c r="J70" i="4" s="1"/>
  <c r="J71" i="4" s="1"/>
  <c r="C71" i="4"/>
  <c r="I29" i="4"/>
  <c r="L56" i="4"/>
  <c r="M19" i="4"/>
  <c r="I59" i="4"/>
  <c r="E67" i="4"/>
  <c r="G35" i="4"/>
  <c r="M21" i="4"/>
  <c r="L57" i="4"/>
  <c r="I61" i="4" l="1"/>
  <c r="G37" i="4"/>
  <c r="G65" i="4"/>
  <c r="G69" i="4"/>
  <c r="M56" i="4"/>
  <c r="N19" i="4"/>
  <c r="L54" i="4"/>
  <c r="L58" i="4" s="1"/>
  <c r="L23" i="4"/>
  <c r="L25" i="4" s="1"/>
  <c r="M17" i="4"/>
  <c r="L36" i="4"/>
  <c r="L66" i="4" s="1"/>
  <c r="E70" i="4"/>
  <c r="M57" i="4"/>
  <c r="N21" i="4"/>
  <c r="I31" i="4"/>
  <c r="K37" i="4"/>
  <c r="BL41" i="4"/>
  <c r="BQ41" i="4" s="1"/>
  <c r="BL46" i="4"/>
  <c r="BL64" i="4"/>
  <c r="BL60" i="4"/>
  <c r="BL45" i="4"/>
  <c r="BL44" i="4"/>
  <c r="BL42" i="4"/>
  <c r="BN40" i="4"/>
  <c r="BL48" i="4"/>
  <c r="BL49" i="4"/>
  <c r="BO33" i="4"/>
  <c r="BP60" i="4"/>
  <c r="BL27" i="4"/>
  <c r="BQ27" i="4" s="1"/>
  <c r="BP27" i="4"/>
  <c r="BN63" i="4"/>
  <c r="BN48" i="4"/>
  <c r="BM10" i="4"/>
  <c r="BO49" i="4"/>
  <c r="BN50" i="4"/>
  <c r="BM40" i="4"/>
  <c r="BN44" i="4"/>
  <c r="BO27" i="4"/>
  <c r="BP53" i="4"/>
  <c r="BM27" i="4"/>
  <c r="BL33" i="4"/>
  <c r="BM41" i="4"/>
  <c r="BN46" i="4"/>
  <c r="BP63" i="4"/>
  <c r="BL55" i="4"/>
  <c r="BN53" i="4"/>
  <c r="BM49" i="4"/>
  <c r="BO10" i="4"/>
  <c r="BP8" i="4"/>
  <c r="BO63" i="4"/>
  <c r="BN60" i="4"/>
  <c r="BN10" i="4"/>
  <c r="BM55" i="4"/>
  <c r="BM8" i="4"/>
  <c r="BQ8" i="4" s="1"/>
  <c r="BM60" i="4"/>
  <c r="BO50" i="4"/>
  <c r="BM42" i="4"/>
  <c r="BL43" i="4"/>
  <c r="BO46" i="4"/>
  <c r="BO64" i="4"/>
  <c r="BP40" i="4"/>
  <c r="BP43" i="4"/>
  <c r="BO60" i="4"/>
  <c r="BN64" i="4"/>
  <c r="BN45" i="4"/>
  <c r="BN33" i="4"/>
  <c r="BP48" i="4"/>
  <c r="BO42" i="4"/>
  <c r="BM64" i="4"/>
  <c r="BP44" i="4"/>
  <c r="BO41" i="4"/>
  <c r="BN27" i="4"/>
  <c r="BO55" i="4"/>
  <c r="BM43" i="4"/>
  <c r="BM50" i="4"/>
  <c r="BO45" i="4"/>
  <c r="BN55" i="4"/>
  <c r="BM48" i="4"/>
  <c r="BN49" i="4"/>
  <c r="BL50" i="4"/>
  <c r="BQ50" i="4" s="1"/>
  <c r="BP55" i="4"/>
  <c r="BN8" i="4"/>
  <c r="BO48" i="4"/>
  <c r="BP42" i="4"/>
  <c r="BO53" i="4"/>
  <c r="BL10" i="4"/>
  <c r="BP10" i="4"/>
  <c r="BM63" i="4"/>
  <c r="BM46" i="4"/>
  <c r="BM44" i="4"/>
  <c r="BM33" i="4"/>
  <c r="BO43" i="4"/>
  <c r="BN43" i="4"/>
  <c r="BM45" i="4"/>
  <c r="BO40" i="4"/>
  <c r="BM53" i="4"/>
  <c r="BN41" i="4"/>
  <c r="BP33" i="4"/>
  <c r="BO8" i="4"/>
  <c r="BL53" i="4"/>
  <c r="BQ53" i="4" s="1"/>
  <c r="BP64" i="4"/>
  <c r="BL40" i="4"/>
  <c r="BQ40" i="4" s="1"/>
  <c r="BL63" i="4"/>
  <c r="BQ63" i="4" s="1"/>
  <c r="BP46" i="4"/>
  <c r="BN42" i="4"/>
  <c r="K69" i="4"/>
  <c r="K65" i="4"/>
  <c r="K67" i="4" s="1"/>
  <c r="BQ55" i="4" l="1"/>
  <c r="BQ49" i="4"/>
  <c r="I35" i="4"/>
  <c r="BQ42" i="4"/>
  <c r="G67" i="4"/>
  <c r="K70" i="4"/>
  <c r="K71" i="4" s="1"/>
  <c r="BQ33" i="4"/>
  <c r="BQ44" i="4"/>
  <c r="N57" i="4"/>
  <c r="O21" i="4"/>
  <c r="BQ45" i="4"/>
  <c r="E71" i="4"/>
  <c r="BQ43" i="4"/>
  <c r="B20" i="6"/>
  <c r="N56" i="4"/>
  <c r="O19" i="4"/>
  <c r="BQ60" i="4"/>
  <c r="BQ48" i="4"/>
  <c r="BQ10" i="4"/>
  <c r="BQ64" i="4"/>
  <c r="M54" i="4"/>
  <c r="M58" i="4" s="1"/>
  <c r="M59" i="4" s="1"/>
  <c r="M61" i="4" s="1"/>
  <c r="M62" i="4" s="1"/>
  <c r="N17" i="4"/>
  <c r="M36" i="4"/>
  <c r="M66" i="4" s="1"/>
  <c r="M23" i="4"/>
  <c r="M25" i="4" s="1"/>
  <c r="M29" i="4" s="1"/>
  <c r="M31" i="4" s="1"/>
  <c r="M35" i="4" s="1"/>
  <c r="M37" i="4" s="1"/>
  <c r="I62" i="4"/>
  <c r="L59" i="4"/>
  <c r="BQ46" i="4"/>
  <c r="L29" i="4"/>
  <c r="L61" i="4" l="1"/>
  <c r="O56" i="4"/>
  <c r="P19" i="4"/>
  <c r="N23" i="4"/>
  <c r="N25" i="4" s="1"/>
  <c r="N29" i="4" s="1"/>
  <c r="N31" i="4" s="1"/>
  <c r="N35" i="4" s="1"/>
  <c r="N37" i="4" s="1"/>
  <c r="N36" i="4"/>
  <c r="N66" i="4" s="1"/>
  <c r="N54" i="4"/>
  <c r="N58" i="4" s="1"/>
  <c r="N59" i="4" s="1"/>
  <c r="N61" i="4" s="1"/>
  <c r="N62" i="4" s="1"/>
  <c r="O17" i="4"/>
  <c r="I65" i="4"/>
  <c r="I69" i="4"/>
  <c r="M69" i="4"/>
  <c r="M65" i="4"/>
  <c r="M67" i="4" s="1"/>
  <c r="M70" i="4" s="1"/>
  <c r="L31" i="4"/>
  <c r="O57" i="4"/>
  <c r="P21" i="4"/>
  <c r="I37" i="4"/>
  <c r="M71" i="4"/>
  <c r="G70" i="4"/>
  <c r="G71" i="4" l="1"/>
  <c r="N69" i="4"/>
  <c r="N65" i="4"/>
  <c r="N67" i="4" s="1"/>
  <c r="N70" i="4" s="1"/>
  <c r="I67" i="4"/>
  <c r="L35" i="4"/>
  <c r="BL31" i="4"/>
  <c r="P56" i="4"/>
  <c r="Q19" i="4"/>
  <c r="O36" i="4"/>
  <c r="O54" i="4"/>
  <c r="P17" i="4"/>
  <c r="O23" i="4"/>
  <c r="N71" i="4"/>
  <c r="P57" i="4"/>
  <c r="Q21" i="4"/>
  <c r="L62" i="4"/>
  <c r="BL61" i="4"/>
  <c r="L69" i="4" l="1"/>
  <c r="L65" i="4"/>
  <c r="BL62" i="4"/>
  <c r="Q57" i="4"/>
  <c r="R21" i="4"/>
  <c r="L37" i="4"/>
  <c r="BL35" i="4"/>
  <c r="Q56" i="4"/>
  <c r="R19" i="4"/>
  <c r="O25" i="4"/>
  <c r="P54" i="4"/>
  <c r="P58" i="4" s="1"/>
  <c r="P59" i="4" s="1"/>
  <c r="P61" i="4" s="1"/>
  <c r="P62" i="4" s="1"/>
  <c r="P36" i="4"/>
  <c r="P66" i="4" s="1"/>
  <c r="Q17" i="4"/>
  <c r="P23" i="4"/>
  <c r="P25" i="4" s="1"/>
  <c r="P29" i="4" s="1"/>
  <c r="P31" i="4" s="1"/>
  <c r="P35" i="4" s="1"/>
  <c r="P37" i="4" s="1"/>
  <c r="I70" i="4"/>
  <c r="O58" i="4"/>
  <c r="O66" i="4"/>
  <c r="O59" i="4" l="1"/>
  <c r="BL37" i="4"/>
  <c r="Q36" i="4"/>
  <c r="Q66" i="4" s="1"/>
  <c r="Q54" i="4"/>
  <c r="Q58" i="4" s="1"/>
  <c r="Q59" i="4" s="1"/>
  <c r="Q61" i="4" s="1"/>
  <c r="Q62" i="4" s="1"/>
  <c r="R17" i="4"/>
  <c r="Q23" i="4"/>
  <c r="Q25" i="4" s="1"/>
  <c r="Q29" i="4" s="1"/>
  <c r="Q31" i="4" s="1"/>
  <c r="Q35" i="4" s="1"/>
  <c r="Q37" i="4" s="1"/>
  <c r="R57" i="4"/>
  <c r="S21" i="4"/>
  <c r="O29" i="4"/>
  <c r="L67" i="4"/>
  <c r="BL65" i="4"/>
  <c r="D87" i="7"/>
  <c r="I71" i="4"/>
  <c r="P69" i="4"/>
  <c r="P65" i="4"/>
  <c r="P67" i="4" s="1"/>
  <c r="P70" i="4" s="1"/>
  <c r="P71" i="4" s="1"/>
  <c r="R56" i="4"/>
  <c r="S19" i="4"/>
  <c r="S57" i="4" l="1"/>
  <c r="T21" i="4"/>
  <c r="Q65" i="4"/>
  <c r="Q67" i="4" s="1"/>
  <c r="Q70" i="4" s="1"/>
  <c r="Q71" i="4" s="1"/>
  <c r="Q69" i="4"/>
  <c r="D104" i="7"/>
  <c r="D123" i="7"/>
  <c r="D127" i="7" s="1"/>
  <c r="S56" i="4"/>
  <c r="T19" i="4"/>
  <c r="R36" i="4"/>
  <c r="R54" i="4"/>
  <c r="R23" i="4"/>
  <c r="S17" i="4"/>
  <c r="D81" i="7"/>
  <c r="L70" i="4"/>
  <c r="BL67" i="4"/>
  <c r="O31" i="4"/>
  <c r="O61" i="4"/>
  <c r="T56" i="4" l="1"/>
  <c r="U19" i="4"/>
  <c r="R66" i="4"/>
  <c r="T57" i="4"/>
  <c r="U21" i="4"/>
  <c r="R25" i="4"/>
  <c r="R58" i="4"/>
  <c r="O62" i="4"/>
  <c r="D82" i="7"/>
  <c r="C17" i="5"/>
  <c r="BL70" i="4"/>
  <c r="L71" i="4"/>
  <c r="S36" i="4"/>
  <c r="S66" i="4" s="1"/>
  <c r="T17" i="4"/>
  <c r="S54" i="4"/>
  <c r="S58" i="4" s="1"/>
  <c r="S59" i="4" s="1"/>
  <c r="S61" i="4" s="1"/>
  <c r="S62" i="4" s="1"/>
  <c r="S23" i="4"/>
  <c r="S25" i="4" s="1"/>
  <c r="S29" i="4" s="1"/>
  <c r="S31" i="4" s="1"/>
  <c r="S35" i="4" s="1"/>
  <c r="S37" i="4" s="1"/>
  <c r="O35" i="4"/>
  <c r="O69" i="4" l="1"/>
  <c r="O65" i="4"/>
  <c r="R29" i="4"/>
  <c r="U57" i="4"/>
  <c r="V21" i="4"/>
  <c r="R59" i="4"/>
  <c r="U56" i="4"/>
  <c r="V19" i="4"/>
  <c r="S65" i="4"/>
  <c r="S67" i="4" s="1"/>
  <c r="S70" i="4" s="1"/>
  <c r="S71" i="4" s="1"/>
  <c r="S69" i="4"/>
  <c r="T54" i="4"/>
  <c r="T23" i="4"/>
  <c r="T25" i="4" s="1"/>
  <c r="T29" i="4" s="1"/>
  <c r="T31" i="4" s="1"/>
  <c r="T35" i="4" s="1"/>
  <c r="T37" i="4" s="1"/>
  <c r="T36" i="4"/>
  <c r="U17" i="4"/>
  <c r="D83" i="7"/>
  <c r="D117" i="7"/>
  <c r="D119" i="7" s="1"/>
  <c r="D129" i="7" s="1"/>
  <c r="D131" i="7" s="1"/>
  <c r="D106" i="7"/>
  <c r="D107" i="7" s="1"/>
  <c r="O37" i="4"/>
  <c r="R61" i="4" l="1"/>
  <c r="U54" i="4"/>
  <c r="U58" i="4" s="1"/>
  <c r="U59" i="4" s="1"/>
  <c r="U61" i="4" s="1"/>
  <c r="U62" i="4" s="1"/>
  <c r="U23" i="4"/>
  <c r="U25" i="4" s="1"/>
  <c r="U29" i="4" s="1"/>
  <c r="U31" i="4" s="1"/>
  <c r="U35" i="4" s="1"/>
  <c r="U36" i="4"/>
  <c r="U66" i="4" s="1"/>
  <c r="V17" i="4"/>
  <c r="V57" i="4"/>
  <c r="W21" i="4"/>
  <c r="T58" i="4"/>
  <c r="T59" i="4" s="1"/>
  <c r="T61" i="4" s="1"/>
  <c r="T62" i="4" s="1"/>
  <c r="R31" i="4"/>
  <c r="T66" i="4"/>
  <c r="D130" i="7"/>
  <c r="V56" i="4"/>
  <c r="W19" i="4"/>
  <c r="O67" i="4"/>
  <c r="D84" i="7"/>
  <c r="O70" i="4" l="1"/>
  <c r="W57" i="4"/>
  <c r="X21" i="4"/>
  <c r="V54" i="4"/>
  <c r="V58" i="4" s="1"/>
  <c r="V59" i="4" s="1"/>
  <c r="V61" i="4" s="1"/>
  <c r="V62" i="4" s="1"/>
  <c r="V23" i="4"/>
  <c r="V25" i="4" s="1"/>
  <c r="V29" i="4" s="1"/>
  <c r="W17" i="4"/>
  <c r="V36" i="4"/>
  <c r="V66" i="4" s="1"/>
  <c r="U37" i="4"/>
  <c r="T65" i="4"/>
  <c r="T67" i="4" s="1"/>
  <c r="T70" i="4" s="1"/>
  <c r="T71" i="4" s="1"/>
  <c r="T69" i="4"/>
  <c r="U65" i="4"/>
  <c r="U67" i="4" s="1"/>
  <c r="U70" i="4" s="1"/>
  <c r="U69" i="4"/>
  <c r="R35" i="4"/>
  <c r="W56" i="4"/>
  <c r="X19" i="4"/>
  <c r="R62" i="4"/>
  <c r="U71" i="4" l="1"/>
  <c r="R65" i="4"/>
  <c r="R69" i="4"/>
  <c r="W54" i="4"/>
  <c r="W58" i="4" s="1"/>
  <c r="W59" i="4" s="1"/>
  <c r="W61" i="4" s="1"/>
  <c r="W23" i="4"/>
  <c r="W25" i="4" s="1"/>
  <c r="W29" i="4" s="1"/>
  <c r="W31" i="4" s="1"/>
  <c r="W35" i="4" s="1"/>
  <c r="X17" i="4"/>
  <c r="W36" i="4"/>
  <c r="W66" i="4" s="1"/>
  <c r="V31" i="4"/>
  <c r="X56" i="4"/>
  <c r="Y19" i="4"/>
  <c r="R37" i="4"/>
  <c r="V65" i="4"/>
  <c r="V67" i="4" s="1"/>
  <c r="X57" i="4"/>
  <c r="Y21" i="4"/>
  <c r="O71" i="4"/>
  <c r="W62" i="4" l="1"/>
  <c r="Y56" i="4"/>
  <c r="Z19" i="4"/>
  <c r="V35" i="4"/>
  <c r="W37" i="4"/>
  <c r="R67" i="4"/>
  <c r="X54" i="4"/>
  <c r="X58" i="4" s="1"/>
  <c r="X59" i="4" s="1"/>
  <c r="X61" i="4" s="1"/>
  <c r="X62" i="4" s="1"/>
  <c r="X23" i="4"/>
  <c r="X25" i="4" s="1"/>
  <c r="X29" i="4" s="1"/>
  <c r="X31" i="4" s="1"/>
  <c r="X35" i="4" s="1"/>
  <c r="Y17" i="4"/>
  <c r="X36" i="4"/>
  <c r="X66" i="4" s="1"/>
  <c r="Z21" i="4"/>
  <c r="Y57" i="4"/>
  <c r="V69" i="4"/>
  <c r="X69" i="4" l="1"/>
  <c r="X65" i="4"/>
  <c r="X67" i="4" s="1"/>
  <c r="Z57" i="4"/>
  <c r="AA21" i="4"/>
  <c r="AA19" i="4"/>
  <c r="Z56" i="4"/>
  <c r="Y54" i="4"/>
  <c r="Y58" i="4" s="1"/>
  <c r="Y59" i="4" s="1"/>
  <c r="Y61" i="4" s="1"/>
  <c r="Y62" i="4" s="1"/>
  <c r="Y23" i="4"/>
  <c r="Y25" i="4" s="1"/>
  <c r="Y29" i="4" s="1"/>
  <c r="Y31" i="4" s="1"/>
  <c r="Y35" i="4" s="1"/>
  <c r="Z17" i="4"/>
  <c r="Y36" i="4"/>
  <c r="Y66" i="4" s="1"/>
  <c r="R70" i="4"/>
  <c r="V37" i="4"/>
  <c r="X37" i="4"/>
  <c r="W69" i="4"/>
  <c r="W65" i="4"/>
  <c r="Y37" i="4" l="1"/>
  <c r="R71" i="4"/>
  <c r="Z23" i="4"/>
  <c r="Z25" i="4" s="1"/>
  <c r="Z29" i="4" s="1"/>
  <c r="Z31" i="4" s="1"/>
  <c r="Z35" i="4" s="1"/>
  <c r="AA17" i="4"/>
  <c r="Z36" i="4"/>
  <c r="Z66" i="4" s="1"/>
  <c r="Z54" i="4"/>
  <c r="Z58" i="4" s="1"/>
  <c r="Z59" i="4" s="1"/>
  <c r="Z61" i="4" s="1"/>
  <c r="Z62" i="4" s="1"/>
  <c r="W67" i="4"/>
  <c r="X71" i="4"/>
  <c r="Y69" i="4"/>
  <c r="Y65" i="4"/>
  <c r="Y67" i="4" s="1"/>
  <c r="Y70" i="4" s="1"/>
  <c r="AA56" i="4"/>
  <c r="AB19" i="4"/>
  <c r="AA57" i="4"/>
  <c r="AB21" i="4"/>
  <c r="X70" i="4"/>
  <c r="V70" i="4"/>
  <c r="V71" i="4" s="1"/>
  <c r="W70" i="4" l="1"/>
  <c r="W71" i="4" s="1"/>
  <c r="AB57" i="4"/>
  <c r="AC21" i="4"/>
  <c r="AA54" i="4"/>
  <c r="AA36" i="4"/>
  <c r="AB17" i="4"/>
  <c r="AA23" i="4"/>
  <c r="Z69" i="4"/>
  <c r="Z65" i="4"/>
  <c r="Z67" i="4" s="1"/>
  <c r="Z37" i="4"/>
  <c r="AB56" i="4"/>
  <c r="AC19" i="4"/>
  <c r="Y71" i="4"/>
  <c r="AB54" i="4" l="1"/>
  <c r="AB58" i="4" s="1"/>
  <c r="AB59" i="4" s="1"/>
  <c r="AB61" i="4" s="1"/>
  <c r="AB62" i="4" s="1"/>
  <c r="AB36" i="4"/>
  <c r="AB66" i="4" s="1"/>
  <c r="AC17" i="4"/>
  <c r="AB23" i="4"/>
  <c r="AB25" i="4" s="1"/>
  <c r="AB29" i="4" s="1"/>
  <c r="AB31" i="4" s="1"/>
  <c r="AB35" i="4" s="1"/>
  <c r="AB37" i="4" s="1"/>
  <c r="AC56" i="4"/>
  <c r="AD19" i="4"/>
  <c r="AC57" i="4"/>
  <c r="AD21" i="4"/>
  <c r="AA58" i="4"/>
  <c r="Z71" i="4"/>
  <c r="Z70" i="4"/>
  <c r="AA25" i="4"/>
  <c r="AA66" i="4"/>
  <c r="AD57" i="4" l="1"/>
  <c r="AE21" i="4"/>
  <c r="AA29" i="4"/>
  <c r="AC54" i="4"/>
  <c r="AC36" i="4"/>
  <c r="AD17" i="4"/>
  <c r="AC23" i="4"/>
  <c r="AA59" i="4"/>
  <c r="AD56" i="4"/>
  <c r="AE19" i="4"/>
  <c r="AB69" i="4"/>
  <c r="AB65" i="4"/>
  <c r="AB67" i="4" s="1"/>
  <c r="AB70" i="4" s="1"/>
  <c r="AB71" i="4" s="1"/>
  <c r="AC25" i="4" l="1"/>
  <c r="AC58" i="4"/>
  <c r="AE57" i="4"/>
  <c r="AF21" i="4"/>
  <c r="AC66" i="4"/>
  <c r="AA31" i="4"/>
  <c r="AE56" i="4"/>
  <c r="AF19" i="4"/>
  <c r="AA61" i="4"/>
  <c r="AD54" i="4"/>
  <c r="AD58" i="4" s="1"/>
  <c r="AD59" i="4" s="1"/>
  <c r="AD61" i="4" s="1"/>
  <c r="AD62" i="4" s="1"/>
  <c r="AD36" i="4"/>
  <c r="AD66" i="4" s="1"/>
  <c r="AE17" i="4"/>
  <c r="AD23" i="4"/>
  <c r="AD25" i="4" s="1"/>
  <c r="AD29" i="4" s="1"/>
  <c r="AD31" i="4" s="1"/>
  <c r="AD35" i="4" s="1"/>
  <c r="AD37" i="4" s="1"/>
  <c r="AA35" i="4" l="1"/>
  <c r="AD65" i="4"/>
  <c r="AD67" i="4" s="1"/>
  <c r="AD70" i="4" s="1"/>
  <c r="AD69" i="4"/>
  <c r="AD71" i="4"/>
  <c r="AA62" i="4"/>
  <c r="AC59" i="4"/>
  <c r="AE36" i="4"/>
  <c r="AF17" i="4"/>
  <c r="AE23" i="4"/>
  <c r="AE25" i="4" s="1"/>
  <c r="AE29" i="4" s="1"/>
  <c r="AE31" i="4" s="1"/>
  <c r="AE35" i="4" s="1"/>
  <c r="AE54" i="4"/>
  <c r="AF57" i="4"/>
  <c r="AG21" i="4"/>
  <c r="AF56" i="4"/>
  <c r="AG19" i="4"/>
  <c r="AC29" i="4"/>
  <c r="AC31" i="4" l="1"/>
  <c r="AC61" i="4"/>
  <c r="AF54" i="4"/>
  <c r="AF58" i="4" s="1"/>
  <c r="AF59" i="4" s="1"/>
  <c r="AF61" i="4" s="1"/>
  <c r="AF62" i="4" s="1"/>
  <c r="AF36" i="4"/>
  <c r="AF66" i="4" s="1"/>
  <c r="AG17" i="4"/>
  <c r="AF23" i="4"/>
  <c r="AE66" i="4"/>
  <c r="AG56" i="4"/>
  <c r="AH19" i="4"/>
  <c r="AA69" i="4"/>
  <c r="AA65" i="4"/>
  <c r="AG57" i="4"/>
  <c r="AH21" i="4"/>
  <c r="AE58" i="4"/>
  <c r="AE37" i="4"/>
  <c r="AA37" i="4"/>
  <c r="AH56" i="4" l="1"/>
  <c r="AI19" i="4"/>
  <c r="AF25" i="4"/>
  <c r="AE59" i="4"/>
  <c r="AC62" i="4"/>
  <c r="AF65" i="4"/>
  <c r="AF67" i="4" s="1"/>
  <c r="AA67" i="4"/>
  <c r="AG54" i="4"/>
  <c r="AG58" i="4" s="1"/>
  <c r="AG59" i="4" s="1"/>
  <c r="AG61" i="4" s="1"/>
  <c r="AG62" i="4" s="1"/>
  <c r="AG36" i="4"/>
  <c r="AG66" i="4" s="1"/>
  <c r="AH17" i="4"/>
  <c r="AG23" i="4"/>
  <c r="AG25" i="4" s="1"/>
  <c r="AG29" i="4" s="1"/>
  <c r="AG31" i="4" s="1"/>
  <c r="AG35" i="4" s="1"/>
  <c r="AG37" i="4" s="1"/>
  <c r="AI21" i="4"/>
  <c r="AH57" i="4"/>
  <c r="AC35" i="4"/>
  <c r="AE61" i="4" l="1"/>
  <c r="AC37" i="4"/>
  <c r="AJ21" i="4"/>
  <c r="AI57" i="4"/>
  <c r="AC65" i="4"/>
  <c r="AC69" i="4"/>
  <c r="AH54" i="4"/>
  <c r="AH58" i="4" s="1"/>
  <c r="AH59" i="4" s="1"/>
  <c r="AH61" i="4" s="1"/>
  <c r="AH62" i="4" s="1"/>
  <c r="AH23" i="4"/>
  <c r="AH25" i="4" s="1"/>
  <c r="AH29" i="4" s="1"/>
  <c r="AH31" i="4" s="1"/>
  <c r="AH35" i="4" s="1"/>
  <c r="AH37" i="4" s="1"/>
  <c r="AH36" i="4"/>
  <c r="AH66" i="4" s="1"/>
  <c r="AI17" i="4"/>
  <c r="AF29" i="4"/>
  <c r="AG65" i="4"/>
  <c r="AG67" i="4" s="1"/>
  <c r="AG70" i="4" s="1"/>
  <c r="AG71" i="4" s="1"/>
  <c r="AG69" i="4"/>
  <c r="AI56" i="4"/>
  <c r="AJ19" i="4"/>
  <c r="AA70" i="4"/>
  <c r="AC67" i="4" l="1"/>
  <c r="AH69" i="4"/>
  <c r="AH65" i="4"/>
  <c r="AH67" i="4" s="1"/>
  <c r="AH70" i="4" s="1"/>
  <c r="AH71" i="4" s="1"/>
  <c r="AJ56" i="4"/>
  <c r="AK19" i="4"/>
  <c r="AK21" i="4"/>
  <c r="AJ57" i="4"/>
  <c r="AI54" i="4"/>
  <c r="AI58" i="4" s="1"/>
  <c r="AI59" i="4" s="1"/>
  <c r="AI61" i="4" s="1"/>
  <c r="AI62" i="4" s="1"/>
  <c r="AI23" i="4"/>
  <c r="AI25" i="4" s="1"/>
  <c r="AI29" i="4" s="1"/>
  <c r="AI31" i="4" s="1"/>
  <c r="AI35" i="4" s="1"/>
  <c r="AI37" i="4" s="1"/>
  <c r="AJ17" i="4"/>
  <c r="AI36" i="4"/>
  <c r="AI66" i="4" s="1"/>
  <c r="AE62" i="4"/>
  <c r="AA71" i="4"/>
  <c r="AF31" i="4"/>
  <c r="AE65" i="4" l="1"/>
  <c r="AE69" i="4"/>
  <c r="AK56" i="4"/>
  <c r="AL19" i="4"/>
  <c r="AF35" i="4"/>
  <c r="AF69" i="4"/>
  <c r="AJ54" i="4"/>
  <c r="AJ58" i="4" s="1"/>
  <c r="AJ59" i="4" s="1"/>
  <c r="AJ61" i="4" s="1"/>
  <c r="AJ62" i="4" s="1"/>
  <c r="AJ23" i="4"/>
  <c r="AJ25" i="4" s="1"/>
  <c r="AJ29" i="4" s="1"/>
  <c r="AK17" i="4"/>
  <c r="AJ36" i="4"/>
  <c r="AJ66" i="4" s="1"/>
  <c r="AC70" i="4"/>
  <c r="AL21" i="4"/>
  <c r="AK57" i="4"/>
  <c r="AI69" i="4"/>
  <c r="AI65" i="4"/>
  <c r="AI67" i="4" s="1"/>
  <c r="AI70" i="4" s="1"/>
  <c r="AI71" i="4" s="1"/>
  <c r="AJ65" i="4" l="1"/>
  <c r="AJ67" i="4" s="1"/>
  <c r="AL57" i="4"/>
  <c r="AM21" i="4"/>
  <c r="AJ31" i="4"/>
  <c r="AC71" i="4"/>
  <c r="AE67" i="4"/>
  <c r="AK54" i="4"/>
  <c r="AK58" i="4" s="1"/>
  <c r="AK59" i="4" s="1"/>
  <c r="AK61" i="4" s="1"/>
  <c r="AK62" i="4" s="1"/>
  <c r="AK23" i="4"/>
  <c r="AK25" i="4" s="1"/>
  <c r="AK29" i="4" s="1"/>
  <c r="AK31" i="4" s="1"/>
  <c r="AK35" i="4" s="1"/>
  <c r="AL17" i="4"/>
  <c r="AK36" i="4"/>
  <c r="AK66" i="4" s="1"/>
  <c r="AF37" i="4"/>
  <c r="AM19" i="4"/>
  <c r="AL56" i="4"/>
  <c r="AM56" i="4" l="1"/>
  <c r="AN19" i="4"/>
  <c r="AK69" i="4"/>
  <c r="AK65" i="4"/>
  <c r="AE70" i="4"/>
  <c r="AJ35" i="4"/>
  <c r="AJ37" i="4" s="1"/>
  <c r="AJ70" i="4" s="1"/>
  <c r="BN31" i="4"/>
  <c r="AF71" i="4"/>
  <c r="AF70" i="4"/>
  <c r="AM57" i="4"/>
  <c r="AN21" i="4"/>
  <c r="AL23" i="4"/>
  <c r="AL25" i="4" s="1"/>
  <c r="AL29" i="4" s="1"/>
  <c r="AL31" i="4" s="1"/>
  <c r="AL35" i="4" s="1"/>
  <c r="AM17" i="4"/>
  <c r="AL36" i="4"/>
  <c r="AL66" i="4" s="1"/>
  <c r="AL54" i="4"/>
  <c r="AL58" i="4" s="1"/>
  <c r="AL59" i="4" s="1"/>
  <c r="AL61" i="4" s="1"/>
  <c r="AL62" i="4" s="1"/>
  <c r="AK37" i="4"/>
  <c r="AJ69" i="4"/>
  <c r="AL69" i="4" l="1"/>
  <c r="AL65" i="4"/>
  <c r="AL67" i="4" s="1"/>
  <c r="AL37" i="4"/>
  <c r="AN57" i="4"/>
  <c r="AO21" i="4"/>
  <c r="AN56" i="4"/>
  <c r="AO19" i="4"/>
  <c r="AM23" i="4"/>
  <c r="AN17" i="4"/>
  <c r="AM36" i="4"/>
  <c r="AM54" i="4"/>
  <c r="AK67" i="4"/>
  <c r="BN65" i="4"/>
  <c r="AJ71" i="4"/>
  <c r="AE71" i="4"/>
  <c r="BN37" i="4"/>
  <c r="AM58" i="4" l="1"/>
  <c r="AM25" i="4"/>
  <c r="AO56" i="4"/>
  <c r="AP19" i="4"/>
  <c r="AO57" i="4"/>
  <c r="AP21" i="4"/>
  <c r="AM66" i="4"/>
  <c r="AO17" i="4"/>
  <c r="AN23" i="4"/>
  <c r="AN25" i="4" s="1"/>
  <c r="AN29" i="4" s="1"/>
  <c r="AN31" i="4" s="1"/>
  <c r="AN35" i="4" s="1"/>
  <c r="AN54" i="4"/>
  <c r="AN58" i="4" s="1"/>
  <c r="AN59" i="4" s="1"/>
  <c r="AN61" i="4" s="1"/>
  <c r="AN62" i="4" s="1"/>
  <c r="AN36" i="4"/>
  <c r="AN66" i="4" s="1"/>
  <c r="AL70" i="4"/>
  <c r="F81" i="7"/>
  <c r="AL71" i="4"/>
  <c r="AK70" i="4"/>
  <c r="AK71" i="4" s="1"/>
  <c r="BN67" i="4"/>
  <c r="AP56" i="4" l="1"/>
  <c r="AQ19" i="4"/>
  <c r="AN65" i="4"/>
  <c r="AN67" i="4" s="1"/>
  <c r="AN70" i="4" s="1"/>
  <c r="AN69" i="4"/>
  <c r="AM29" i="4"/>
  <c r="F82" i="7"/>
  <c r="E17" i="5"/>
  <c r="B5" i="6"/>
  <c r="AP57" i="4"/>
  <c r="AQ21" i="4"/>
  <c r="AN37" i="4"/>
  <c r="AO36" i="4"/>
  <c r="AP17" i="4"/>
  <c r="AO23" i="4"/>
  <c r="AO54" i="4"/>
  <c r="AM59" i="4"/>
  <c r="AO58" i="4" l="1"/>
  <c r="AO25" i="4"/>
  <c r="AO66" i="4"/>
  <c r="AM31" i="4"/>
  <c r="AP36" i="4"/>
  <c r="AP66" i="4" s="1"/>
  <c r="AP54" i="4"/>
  <c r="AP58" i="4" s="1"/>
  <c r="AP59" i="4" s="1"/>
  <c r="AP61" i="4" s="1"/>
  <c r="AP62" i="4" s="1"/>
  <c r="AP23" i="4"/>
  <c r="AP25" i="4" s="1"/>
  <c r="AP29" i="4" s="1"/>
  <c r="AP31" i="4" s="1"/>
  <c r="AP35" i="4" s="1"/>
  <c r="AP37" i="4" s="1"/>
  <c r="AQ17" i="4"/>
  <c r="AN71" i="4"/>
  <c r="F117" i="7"/>
  <c r="F119" i="7" s="1"/>
  <c r="F83" i="7"/>
  <c r="F84" i="7" s="1"/>
  <c r="AM61" i="4"/>
  <c r="AQ56" i="4"/>
  <c r="AR19" i="4"/>
  <c r="AQ57" i="4"/>
  <c r="AR21" i="4"/>
  <c r="AM62" i="4" l="1"/>
  <c r="AQ36" i="4"/>
  <c r="AR17" i="4"/>
  <c r="AQ54" i="4"/>
  <c r="AQ58" i="4" s="1"/>
  <c r="AQ59" i="4" s="1"/>
  <c r="AQ61" i="4" s="1"/>
  <c r="AQ62" i="4" s="1"/>
  <c r="AQ23" i="4"/>
  <c r="AQ25" i="4" s="1"/>
  <c r="AQ29" i="4" s="1"/>
  <c r="AQ31" i="4" s="1"/>
  <c r="AQ35" i="4" s="1"/>
  <c r="AQ37" i="4" s="1"/>
  <c r="AP65" i="4"/>
  <c r="AP67" i="4" s="1"/>
  <c r="AP70" i="4" s="1"/>
  <c r="AP69" i="4"/>
  <c r="AP71" i="4"/>
  <c r="AM35" i="4"/>
  <c r="AR57" i="4"/>
  <c r="AS21" i="4"/>
  <c r="AO29" i="4"/>
  <c r="AR56" i="4"/>
  <c r="AS19" i="4"/>
  <c r="AO59" i="4"/>
  <c r="AQ65" i="4" l="1"/>
  <c r="AQ69" i="4"/>
  <c r="AO61" i="4"/>
  <c r="AS56" i="4"/>
  <c r="AT19" i="4"/>
  <c r="AR54" i="4"/>
  <c r="AR58" i="4" s="1"/>
  <c r="AR36" i="4"/>
  <c r="AR66" i="4" s="1"/>
  <c r="AR23" i="4"/>
  <c r="AR25" i="4" s="1"/>
  <c r="AS17" i="4"/>
  <c r="AM37" i="4"/>
  <c r="AO31" i="4"/>
  <c r="AS57" i="4"/>
  <c r="AT21" i="4"/>
  <c r="AQ66" i="4"/>
  <c r="AM69" i="4"/>
  <c r="AM65" i="4"/>
  <c r="AT57" i="4" l="1"/>
  <c r="AU21" i="4"/>
  <c r="AT56" i="4"/>
  <c r="AU19" i="4"/>
  <c r="AM67" i="4"/>
  <c r="AO62" i="4"/>
  <c r="AO35" i="4"/>
  <c r="AS54" i="4"/>
  <c r="AS58" i="4" s="1"/>
  <c r="AS59" i="4" s="1"/>
  <c r="AS61" i="4" s="1"/>
  <c r="AS62" i="4" s="1"/>
  <c r="AS36" i="4"/>
  <c r="AS66" i="4" s="1"/>
  <c r="AT17" i="4"/>
  <c r="AS23" i="4"/>
  <c r="AS25" i="4" s="1"/>
  <c r="AS29" i="4" s="1"/>
  <c r="AS31" i="4" s="1"/>
  <c r="AS35" i="4" s="1"/>
  <c r="AS37" i="4" s="1"/>
  <c r="AR29" i="4"/>
  <c r="AR59" i="4"/>
  <c r="AQ67" i="4"/>
  <c r="AQ70" i="4" s="1"/>
  <c r="AQ71" i="4" s="1"/>
  <c r="AO65" i="4" l="1"/>
  <c r="AO69" i="4"/>
  <c r="AU56" i="4"/>
  <c r="AV19" i="4"/>
  <c r="AO37" i="4"/>
  <c r="AR31" i="4"/>
  <c r="AT54" i="4"/>
  <c r="AT58" i="4" s="1"/>
  <c r="AT59" i="4" s="1"/>
  <c r="AT61" i="4" s="1"/>
  <c r="AT62" i="4" s="1"/>
  <c r="AT36" i="4"/>
  <c r="AT66" i="4" s="1"/>
  <c r="AU17" i="4"/>
  <c r="AT23" i="4"/>
  <c r="AT25" i="4" s="1"/>
  <c r="AT29" i="4" s="1"/>
  <c r="AT31" i="4" s="1"/>
  <c r="AT35" i="4" s="1"/>
  <c r="AR61" i="4"/>
  <c r="AU57" i="4"/>
  <c r="AV21" i="4"/>
  <c r="AM70" i="4"/>
  <c r="AS65" i="4"/>
  <c r="AS67" i="4" s="1"/>
  <c r="AS70" i="4" s="1"/>
  <c r="AS71" i="4" s="1"/>
  <c r="AS69" i="4"/>
  <c r="AR35" i="4" l="1"/>
  <c r="AV57" i="4"/>
  <c r="AW21" i="4"/>
  <c r="AV56" i="4"/>
  <c r="AW19" i="4"/>
  <c r="AM71" i="4"/>
  <c r="AU54" i="4"/>
  <c r="AU58" i="4" s="1"/>
  <c r="AU59" i="4" s="1"/>
  <c r="AU61" i="4" s="1"/>
  <c r="AU62" i="4" s="1"/>
  <c r="AU36" i="4"/>
  <c r="AU66" i="4" s="1"/>
  <c r="AU23" i="4"/>
  <c r="AU25" i="4" s="1"/>
  <c r="AU29" i="4" s="1"/>
  <c r="AU31" i="4" s="1"/>
  <c r="AU35" i="4" s="1"/>
  <c r="AU37" i="4" s="1"/>
  <c r="AV17" i="4"/>
  <c r="AT65" i="4"/>
  <c r="AT67" i="4" s="1"/>
  <c r="AT69" i="4"/>
  <c r="AR62" i="4"/>
  <c r="AT37" i="4"/>
  <c r="AO67" i="4"/>
  <c r="AU69" i="4" l="1"/>
  <c r="AU65" i="4"/>
  <c r="AU67" i="4" s="1"/>
  <c r="AU70" i="4" s="1"/>
  <c r="AT70" i="4"/>
  <c r="AX21" i="4"/>
  <c r="AW57" i="4"/>
  <c r="AW56" i="4"/>
  <c r="AX19" i="4"/>
  <c r="AV54" i="4"/>
  <c r="AV58" i="4" s="1"/>
  <c r="AV59" i="4" s="1"/>
  <c r="AV61" i="4" s="1"/>
  <c r="AV62" i="4" s="1"/>
  <c r="AV36" i="4"/>
  <c r="AV66" i="4" s="1"/>
  <c r="AV23" i="4"/>
  <c r="AV25" i="4" s="1"/>
  <c r="AV29" i="4" s="1"/>
  <c r="AV31" i="4" s="1"/>
  <c r="AV35" i="4" s="1"/>
  <c r="AV37" i="4" s="1"/>
  <c r="AW17" i="4"/>
  <c r="AO70" i="4"/>
  <c r="AT71" i="4"/>
  <c r="AR65" i="4"/>
  <c r="AR69" i="4"/>
  <c r="AU71" i="4"/>
  <c r="AR37" i="4"/>
  <c r="AX57" i="4" l="1"/>
  <c r="AY21" i="4"/>
  <c r="AW54" i="4"/>
  <c r="AW58" i="4" s="1"/>
  <c r="AW59" i="4" s="1"/>
  <c r="AW61" i="4" s="1"/>
  <c r="AW62" i="4" s="1"/>
  <c r="AW23" i="4"/>
  <c r="AW25" i="4" s="1"/>
  <c r="AW29" i="4" s="1"/>
  <c r="AW31" i="4" s="1"/>
  <c r="AW35" i="4" s="1"/>
  <c r="AW37" i="4" s="1"/>
  <c r="AX17" i="4"/>
  <c r="AW36" i="4"/>
  <c r="AW66" i="4" s="1"/>
  <c r="AY19" i="4"/>
  <c r="AX56" i="4"/>
  <c r="AR67" i="4"/>
  <c r="AV69" i="4"/>
  <c r="AV65" i="4"/>
  <c r="AV67" i="4" s="1"/>
  <c r="AV70" i="4" s="1"/>
  <c r="AV71" i="4" s="1"/>
  <c r="AO71" i="4"/>
  <c r="AR70" i="4" l="1"/>
  <c r="AY57" i="4"/>
  <c r="AZ21" i="4"/>
  <c r="AZ19" i="4"/>
  <c r="AY56" i="4"/>
  <c r="AX23" i="4"/>
  <c r="AX25" i="4" s="1"/>
  <c r="AX29" i="4" s="1"/>
  <c r="AX31" i="4" s="1"/>
  <c r="AX35" i="4" s="1"/>
  <c r="AX37" i="4" s="1"/>
  <c r="AX54" i="4"/>
  <c r="AX58" i="4" s="1"/>
  <c r="AX59" i="4" s="1"/>
  <c r="AX61" i="4" s="1"/>
  <c r="AX62" i="4" s="1"/>
  <c r="AY17" i="4"/>
  <c r="AX36" i="4"/>
  <c r="AX66" i="4" s="1"/>
  <c r="AW69" i="4"/>
  <c r="AW65" i="4"/>
  <c r="AW67" i="4" s="1"/>
  <c r="AW70" i="4" s="1"/>
  <c r="AW71" i="4" s="1"/>
  <c r="BA19" i="4" l="1"/>
  <c r="AZ56" i="4"/>
  <c r="AZ57" i="4"/>
  <c r="BA21" i="4"/>
  <c r="AY54" i="4"/>
  <c r="AY23" i="4"/>
  <c r="AZ17" i="4"/>
  <c r="AY36" i="4"/>
  <c r="AX71" i="4"/>
  <c r="AX69" i="4"/>
  <c r="AX65" i="4"/>
  <c r="AX67" i="4" s="1"/>
  <c r="AX70" i="4" s="1"/>
  <c r="AR71" i="4"/>
  <c r="BO70" i="4"/>
  <c r="AZ54" i="4" l="1"/>
  <c r="AZ58" i="4" s="1"/>
  <c r="AZ59" i="4" s="1"/>
  <c r="AZ61" i="4" s="1"/>
  <c r="AZ62" i="4" s="1"/>
  <c r="AZ23" i="4"/>
  <c r="AZ25" i="4" s="1"/>
  <c r="AZ29" i="4" s="1"/>
  <c r="AZ31" i="4" s="1"/>
  <c r="AZ35" i="4" s="1"/>
  <c r="BA17" i="4"/>
  <c r="AZ36" i="4"/>
  <c r="AZ66" i="4" s="1"/>
  <c r="BA56" i="4"/>
  <c r="BB19" i="4"/>
  <c r="AY66" i="4"/>
  <c r="AY25" i="4"/>
  <c r="AY58" i="4"/>
  <c r="BA57" i="4"/>
  <c r="BB21" i="4"/>
  <c r="BB57" i="4" l="1"/>
  <c r="BC21" i="4"/>
  <c r="BA54" i="4"/>
  <c r="BA36" i="4"/>
  <c r="BB17" i="4"/>
  <c r="BA23" i="4"/>
  <c r="AZ37" i="4"/>
  <c r="AY29" i="4"/>
  <c r="AZ69" i="4"/>
  <c r="AZ65" i="4"/>
  <c r="AZ67" i="4" s="1"/>
  <c r="BB56" i="4"/>
  <c r="BC19" i="4"/>
  <c r="AY59" i="4"/>
  <c r="AY31" i="4" l="1"/>
  <c r="BC56" i="4"/>
  <c r="BD19" i="4"/>
  <c r="BB54" i="4"/>
  <c r="BB58" i="4" s="1"/>
  <c r="BB59" i="4" s="1"/>
  <c r="BB61" i="4" s="1"/>
  <c r="BB62" i="4" s="1"/>
  <c r="BB36" i="4"/>
  <c r="BB66" i="4" s="1"/>
  <c r="BC17" i="4"/>
  <c r="BB23" i="4"/>
  <c r="BB25" i="4" s="1"/>
  <c r="BB29" i="4" s="1"/>
  <c r="BB31" i="4" s="1"/>
  <c r="BB35" i="4" s="1"/>
  <c r="BB37" i="4" s="1"/>
  <c r="BA58" i="4"/>
  <c r="AY61" i="4"/>
  <c r="AY62" i="4" s="1"/>
  <c r="BA66" i="4"/>
  <c r="BA25" i="4"/>
  <c r="BC57" i="4"/>
  <c r="BD21" i="4"/>
  <c r="AZ70" i="4"/>
  <c r="AZ71" i="4" s="1"/>
  <c r="BA29" i="4" l="1"/>
  <c r="BD56" i="4"/>
  <c r="BE19" i="4"/>
  <c r="BA59" i="4"/>
  <c r="BC36" i="4"/>
  <c r="BC66" i="4" s="1"/>
  <c r="BD17" i="4"/>
  <c r="BC54" i="4"/>
  <c r="BC23" i="4"/>
  <c r="BD57" i="4"/>
  <c r="BE21" i="4"/>
  <c r="BB65" i="4"/>
  <c r="BB67" i="4" s="1"/>
  <c r="BB70" i="4" s="1"/>
  <c r="BB71" i="4" s="1"/>
  <c r="BB69" i="4"/>
  <c r="AY69" i="4"/>
  <c r="AY65" i="4"/>
  <c r="AY35" i="4"/>
  <c r="AY67" i="4" l="1"/>
  <c r="BC58" i="4"/>
  <c r="BE57" i="4"/>
  <c r="BF21" i="4"/>
  <c r="BE56" i="4"/>
  <c r="BF19" i="4"/>
  <c r="BD54" i="4"/>
  <c r="BD58" i="4" s="1"/>
  <c r="BD59" i="4" s="1"/>
  <c r="BD61" i="4" s="1"/>
  <c r="BD62" i="4" s="1"/>
  <c r="BE17" i="4"/>
  <c r="BD23" i="4"/>
  <c r="BD25" i="4" s="1"/>
  <c r="BD29" i="4" s="1"/>
  <c r="BD31" i="4" s="1"/>
  <c r="BD35" i="4" s="1"/>
  <c r="BD36" i="4"/>
  <c r="BD66" i="4" s="1"/>
  <c r="AY37" i="4"/>
  <c r="BA61" i="4"/>
  <c r="BA62" i="4" s="1"/>
  <c r="BC25" i="4"/>
  <c r="BA31" i="4"/>
  <c r="BC29" i="4" l="1"/>
  <c r="BE54" i="4"/>
  <c r="BE58" i="4" s="1"/>
  <c r="BE59" i="4" s="1"/>
  <c r="BE61" i="4" s="1"/>
  <c r="BE62" i="4" s="1"/>
  <c r="BE23" i="4"/>
  <c r="BF17" i="4"/>
  <c r="BE36" i="4"/>
  <c r="BE66" i="4" s="1"/>
  <c r="BF57" i="4"/>
  <c r="BG21" i="4"/>
  <c r="BA35" i="4"/>
  <c r="BF56" i="4"/>
  <c r="BG19" i="4"/>
  <c r="BC59" i="4"/>
  <c r="BD65" i="4"/>
  <c r="BD67" i="4" s="1"/>
  <c r="BD69" i="4"/>
  <c r="BA65" i="4"/>
  <c r="BA69" i="4"/>
  <c r="BD37" i="4"/>
  <c r="AY70" i="4"/>
  <c r="BF54" i="4" l="1"/>
  <c r="BF58" i="4" s="1"/>
  <c r="BG17" i="4"/>
  <c r="BF23" i="4"/>
  <c r="BF25" i="4" s="1"/>
  <c r="BF29" i="4" s="1"/>
  <c r="BF31" i="4" s="1"/>
  <c r="BF35" i="4" s="1"/>
  <c r="BF37" i="4" s="1"/>
  <c r="BF36" i="4"/>
  <c r="BF66" i="4" s="1"/>
  <c r="BA37" i="4"/>
  <c r="BA67" i="4"/>
  <c r="BD70" i="4"/>
  <c r="BD71" i="4" s="1"/>
  <c r="BC61" i="4"/>
  <c r="BC62" i="4" s="1"/>
  <c r="BE25" i="4"/>
  <c r="BE65" i="4"/>
  <c r="BE67" i="4" s="1"/>
  <c r="AY71" i="4"/>
  <c r="BG57" i="4"/>
  <c r="BH21" i="4"/>
  <c r="BG56" i="4"/>
  <c r="BH19" i="4"/>
  <c r="BC31" i="4"/>
  <c r="BC65" i="4" l="1"/>
  <c r="BC69" i="4"/>
  <c r="BG54" i="4"/>
  <c r="BG58" i="4" s="1"/>
  <c r="BG59" i="4" s="1"/>
  <c r="BG61" i="4" s="1"/>
  <c r="BG62" i="4" s="1"/>
  <c r="BG36" i="4"/>
  <c r="BG66" i="4" s="1"/>
  <c r="BH17" i="4"/>
  <c r="BG23" i="4"/>
  <c r="BG25" i="4" s="1"/>
  <c r="BG29" i="4" s="1"/>
  <c r="BG31" i="4" s="1"/>
  <c r="BG35" i="4" s="1"/>
  <c r="BG37" i="4" s="1"/>
  <c r="BC35" i="4"/>
  <c r="BH56" i="4"/>
  <c r="BI19" i="4"/>
  <c r="BF59" i="4"/>
  <c r="BH57" i="4"/>
  <c r="BI21" i="4"/>
  <c r="BA70" i="4"/>
  <c r="BE29" i="4"/>
  <c r="BE31" i="4" l="1"/>
  <c r="BI57" i="4"/>
  <c r="BJ21" i="4"/>
  <c r="BG69" i="4"/>
  <c r="BG65" i="4"/>
  <c r="BG67" i="4" s="1"/>
  <c r="BG70" i="4" s="1"/>
  <c r="BG71" i="4" s="1"/>
  <c r="BF61" i="4"/>
  <c r="BF62" i="4" s="1"/>
  <c r="BC37" i="4"/>
  <c r="BC67" i="4"/>
  <c r="BH54" i="4"/>
  <c r="BH58" i="4" s="1"/>
  <c r="BH59" i="4" s="1"/>
  <c r="BH61" i="4" s="1"/>
  <c r="BH62" i="4" s="1"/>
  <c r="BH23" i="4"/>
  <c r="BH25" i="4" s="1"/>
  <c r="BH29" i="4" s="1"/>
  <c r="BH31" i="4" s="1"/>
  <c r="BH35" i="4" s="1"/>
  <c r="BH36" i="4"/>
  <c r="BH66" i="4" s="1"/>
  <c r="BI17" i="4"/>
  <c r="BA71" i="4"/>
  <c r="BI56" i="4"/>
  <c r="BJ19" i="4"/>
  <c r="BC70" i="4" l="1"/>
  <c r="BC71" i="4" s="1"/>
  <c r="BF65" i="4"/>
  <c r="BF69" i="4"/>
  <c r="BI54" i="4"/>
  <c r="BI58" i="4" s="1"/>
  <c r="BI59" i="4" s="1"/>
  <c r="BI61" i="4" s="1"/>
  <c r="BI62" i="4" s="1"/>
  <c r="BI36" i="4"/>
  <c r="BI66" i="4" s="1"/>
  <c r="BI23" i="4"/>
  <c r="BI25" i="4" s="1"/>
  <c r="BI29" i="4" s="1"/>
  <c r="BI31" i="4" s="1"/>
  <c r="BI35" i="4" s="1"/>
  <c r="BI37" i="4" s="1"/>
  <c r="BJ17" i="4"/>
  <c r="BJ57" i="4"/>
  <c r="BL21" i="4"/>
  <c r="BM21" i="4"/>
  <c r="BN21" i="4"/>
  <c r="BO21" i="4"/>
  <c r="BP21" i="4"/>
  <c r="BH37" i="4"/>
  <c r="BH69" i="4"/>
  <c r="BH65" i="4"/>
  <c r="BH67" i="4" s="1"/>
  <c r="BH70" i="4" s="1"/>
  <c r="BJ56" i="4"/>
  <c r="BL19" i="4"/>
  <c r="BM19" i="4"/>
  <c r="BN19" i="4"/>
  <c r="BO19" i="4"/>
  <c r="BP19" i="4"/>
  <c r="BE35" i="4"/>
  <c r="BE69" i="4"/>
  <c r="BF67" i="4" l="1"/>
  <c r="BQ19" i="4"/>
  <c r="BL56" i="4"/>
  <c r="BM56" i="4"/>
  <c r="BN56" i="4"/>
  <c r="BO56" i="4"/>
  <c r="BP56" i="4"/>
  <c r="BI71" i="4"/>
  <c r="BL57" i="4"/>
  <c r="BM57" i="4"/>
  <c r="BN57" i="4"/>
  <c r="BO57" i="4"/>
  <c r="BP57" i="4"/>
  <c r="BE37" i="4"/>
  <c r="BJ23" i="4"/>
  <c r="BJ54" i="4"/>
  <c r="BJ36" i="4"/>
  <c r="BL17" i="4"/>
  <c r="BM17" i="4"/>
  <c r="BN17" i="4"/>
  <c r="E31" i="5" s="1"/>
  <c r="E32" i="5" s="1"/>
  <c r="E33" i="5" s="1"/>
  <c r="BO17" i="4"/>
  <c r="BP17" i="4"/>
  <c r="B24" i="6" s="1"/>
  <c r="BI69" i="4"/>
  <c r="BI65" i="4"/>
  <c r="BI67" i="4" s="1"/>
  <c r="BI70" i="4" s="1"/>
  <c r="BH71" i="4"/>
  <c r="BQ21" i="4"/>
  <c r="BJ66" i="4" l="1"/>
  <c r="BL36" i="4"/>
  <c r="B30" i="6"/>
  <c r="BM36" i="4"/>
  <c r="BN36" i="4"/>
  <c r="BO36" i="4"/>
  <c r="BP36" i="4"/>
  <c r="BQ17" i="4"/>
  <c r="C31" i="5"/>
  <c r="C32" i="5" s="1"/>
  <c r="C33" i="5" s="1"/>
  <c r="B35" i="6"/>
  <c r="BJ58" i="4"/>
  <c r="BL54" i="4"/>
  <c r="B8" i="6"/>
  <c r="BM54" i="4"/>
  <c r="D16" i="5" s="1"/>
  <c r="BN54" i="4"/>
  <c r="E16" i="5" s="1"/>
  <c r="E18" i="5" s="1"/>
  <c r="BO54" i="4"/>
  <c r="F16" i="5" s="1"/>
  <c r="BP54" i="4"/>
  <c r="G16" i="5" s="1"/>
  <c r="BJ25" i="4"/>
  <c r="BL23" i="4"/>
  <c r="BM23" i="4"/>
  <c r="BN23" i="4"/>
  <c r="BO23" i="4"/>
  <c r="BP23" i="4"/>
  <c r="BQ56" i="4"/>
  <c r="BE70" i="4"/>
  <c r="BE71" i="4" s="1"/>
  <c r="BQ57" i="4"/>
  <c r="BF70" i="4"/>
  <c r="BF71" i="4" s="1"/>
  <c r="BQ23" i="4" l="1"/>
  <c r="BJ59" i="4"/>
  <c r="BL58" i="4"/>
  <c r="BM58" i="4"/>
  <c r="BN58" i="4"/>
  <c r="BO58" i="4"/>
  <c r="BP58" i="4"/>
  <c r="E25" i="5"/>
  <c r="D45" i="5"/>
  <c r="D42" i="5"/>
  <c r="D39" i="5"/>
  <c r="D46" i="5"/>
  <c r="D43" i="5"/>
  <c r="D40" i="5"/>
  <c r="E21" i="5"/>
  <c r="E23" i="5" s="1"/>
  <c r="B10" i="6" s="1"/>
  <c r="E24" i="5"/>
  <c r="F31" i="5"/>
  <c r="F32" i="5" s="1"/>
  <c r="F33" i="5" s="1"/>
  <c r="D41" i="5"/>
  <c r="E19" i="5"/>
  <c r="D44" i="5"/>
  <c r="E22" i="5"/>
  <c r="BJ29" i="4"/>
  <c r="BL25" i="4"/>
  <c r="BM25" i="4"/>
  <c r="BN25" i="4"/>
  <c r="BO25" i="4"/>
  <c r="BP25" i="4"/>
  <c r="BQ36" i="4"/>
  <c r="C16" i="5"/>
  <c r="C18" i="5" s="1"/>
  <c r="BQ54" i="4"/>
  <c r="BL66" i="4"/>
  <c r="B36" i="6"/>
  <c r="BM66" i="4"/>
  <c r="BN66" i="4"/>
  <c r="BO66" i="4"/>
  <c r="BP66" i="4"/>
  <c r="C46" i="5" l="1"/>
  <c r="C43" i="5"/>
  <c r="C40" i="5"/>
  <c r="C21" i="5"/>
  <c r="C23" i="5" s="1"/>
  <c r="C25" i="5"/>
  <c r="C42" i="5"/>
  <c r="D31" i="5"/>
  <c r="D32" i="5" s="1"/>
  <c r="D33" i="5" s="1"/>
  <c r="C19" i="5"/>
  <c r="C41" i="5"/>
  <c r="C24" i="5"/>
  <c r="B32" i="6"/>
  <c r="C39" i="5"/>
  <c r="C45" i="5"/>
  <c r="C22" i="5"/>
  <c r="C44" i="5"/>
  <c r="BQ58" i="4"/>
  <c r="BJ61" i="4"/>
  <c r="BL59" i="4"/>
  <c r="BM59" i="4"/>
  <c r="BN59" i="4"/>
  <c r="BO59" i="4"/>
  <c r="BP59" i="4"/>
  <c r="BQ25" i="4"/>
  <c r="BJ31" i="4"/>
  <c r="BL29" i="4"/>
  <c r="BM29" i="4"/>
  <c r="BN29" i="4"/>
  <c r="BO29" i="4"/>
  <c r="BP29" i="4"/>
  <c r="BQ66" i="4"/>
  <c r="BJ35" i="4" l="1"/>
  <c r="B23" i="6"/>
  <c r="BM31" i="4"/>
  <c r="BO31" i="4"/>
  <c r="BP31" i="4"/>
  <c r="BQ59" i="4"/>
  <c r="BJ62" i="4"/>
  <c r="BP61" i="4"/>
  <c r="B9" i="6"/>
  <c r="BM61" i="4"/>
  <c r="BN61" i="4"/>
  <c r="BO61" i="4"/>
  <c r="BQ29" i="4"/>
  <c r="BQ61" i="4" l="1"/>
  <c r="BJ69" i="4"/>
  <c r="BJ65" i="4"/>
  <c r="B6" i="6"/>
  <c r="BM62" i="4"/>
  <c r="BN62" i="4"/>
  <c r="F87" i="7" s="1"/>
  <c r="BO62" i="4"/>
  <c r="G87" i="7" s="1"/>
  <c r="BP62" i="4"/>
  <c r="H87" i="7" s="1"/>
  <c r="BQ31" i="4"/>
  <c r="BJ37" i="4"/>
  <c r="BM35" i="4"/>
  <c r="BN35" i="4"/>
  <c r="BO35" i="4"/>
  <c r="BP35" i="4"/>
  <c r="B31" i="6"/>
  <c r="G123" i="7" l="1"/>
  <c r="G127" i="7" s="1"/>
  <c r="G104" i="7"/>
  <c r="H123" i="7"/>
  <c r="H127" i="7" s="1"/>
  <c r="H104" i="7"/>
  <c r="BJ67" i="4"/>
  <c r="BM65" i="4"/>
  <c r="BO65" i="4"/>
  <c r="BP65" i="4"/>
  <c r="F104" i="7"/>
  <c r="F106" i="7" s="1"/>
  <c r="F107" i="7" s="1"/>
  <c r="F123" i="7"/>
  <c r="F127" i="7" s="1"/>
  <c r="F129" i="7" s="1"/>
  <c r="BL69" i="4"/>
  <c r="BQ69" i="4" s="1"/>
  <c r="BM69" i="4"/>
  <c r="BN69" i="4"/>
  <c r="BO69" i="4"/>
  <c r="BP69" i="4"/>
  <c r="BQ35" i="4"/>
  <c r="BM37" i="4"/>
  <c r="BO37" i="4"/>
  <c r="G81" i="7" s="1"/>
  <c r="BP37" i="4"/>
  <c r="E87" i="7"/>
  <c r="BQ62" i="4"/>
  <c r="E104" i="7" l="1"/>
  <c r="E123" i="7"/>
  <c r="E127" i="7" s="1"/>
  <c r="F130" i="7"/>
  <c r="E81" i="7"/>
  <c r="BQ37" i="4"/>
  <c r="BJ70" i="4"/>
  <c r="BM67" i="4"/>
  <c r="BO67" i="4"/>
  <c r="BP67" i="4"/>
  <c r="H81" i="7"/>
  <c r="G31" i="5"/>
  <c r="G32" i="5" s="1"/>
  <c r="G33" i="5" s="1"/>
  <c r="BQ65" i="4"/>
  <c r="H82" i="7" l="1"/>
  <c r="G17" i="5"/>
  <c r="G18" i="5" s="1"/>
  <c r="BM70" i="4"/>
  <c r="BN70" i="4"/>
  <c r="BP70" i="4"/>
  <c r="BJ71" i="4"/>
  <c r="E82" i="7"/>
  <c r="D17" i="5"/>
  <c r="D18" i="5" s="1"/>
  <c r="BQ67" i="4"/>
  <c r="G82" i="7"/>
  <c r="F17" i="5"/>
  <c r="F18" i="5" s="1"/>
  <c r="G117" i="7" l="1"/>
  <c r="G119" i="7" s="1"/>
  <c r="G129" i="7" s="1"/>
  <c r="G130" i="7"/>
  <c r="H109" i="7"/>
  <c r="G83" i="7"/>
  <c r="G84" i="7" s="1"/>
  <c r="G106" i="7"/>
  <c r="G107" i="7" s="1"/>
  <c r="G109" i="7"/>
  <c r="E117" i="7"/>
  <c r="E119" i="7" s="1"/>
  <c r="E129" i="7" s="1"/>
  <c r="E131" i="7" s="1"/>
  <c r="F131" i="7" s="1"/>
  <c r="E83" i="7"/>
  <c r="E130" i="7"/>
  <c r="F109" i="7"/>
  <c r="E106" i="7"/>
  <c r="E107" i="7" s="1"/>
  <c r="E109" i="7"/>
  <c r="BQ70" i="4"/>
  <c r="D25" i="5"/>
  <c r="D21" i="5"/>
  <c r="D23" i="5" s="1"/>
  <c r="D19" i="5"/>
  <c r="D22" i="5"/>
  <c r="D24" i="5"/>
  <c r="BL71" i="4"/>
  <c r="BM71" i="4"/>
  <c r="BN71" i="4"/>
  <c r="BO71" i="4"/>
  <c r="BP71" i="4"/>
  <c r="G25" i="5"/>
  <c r="E45" i="5"/>
  <c r="E42" i="5"/>
  <c r="E39" i="5"/>
  <c r="G22" i="5"/>
  <c r="E43" i="5"/>
  <c r="G24" i="5"/>
  <c r="E46" i="5"/>
  <c r="E41" i="5"/>
  <c r="G21" i="5"/>
  <c r="G23" i="5" s="1"/>
  <c r="G19" i="5"/>
  <c r="E40" i="5"/>
  <c r="H31" i="5"/>
  <c r="H32" i="5" s="1"/>
  <c r="H33" i="5" s="1"/>
  <c r="E44" i="5"/>
  <c r="F25" i="5"/>
  <c r="F21" i="5"/>
  <c r="F23" i="5" s="1"/>
  <c r="F24" i="5"/>
  <c r="F19" i="5"/>
  <c r="F22" i="5"/>
  <c r="H117" i="7"/>
  <c r="H119" i="7" s="1"/>
  <c r="H129" i="7" s="1"/>
  <c r="H130" i="7"/>
  <c r="H106" i="7"/>
  <c r="H107" i="7" s="1"/>
  <c r="H83" i="7"/>
  <c r="H84" i="7" s="1"/>
  <c r="BQ71" i="4" l="1"/>
  <c r="G131" i="7"/>
  <c r="H131" i="7"/>
  <c r="D110" i="7"/>
  <c r="E84" i="7"/>
</calcChain>
</file>

<file path=xl/sharedStrings.xml><?xml version="1.0" encoding="utf-8"?>
<sst xmlns="http://schemas.openxmlformats.org/spreadsheetml/2006/main" count="795" uniqueCount="567">
  <si>
    <t>TAM (Fashion Market) mln</t>
  </si>
  <si>
    <t>Вкладка «Данные для ДЗ №1»</t>
  </si>
  <si>
    <t>SAM Share %</t>
  </si>
  <si>
    <t>SAM mln rub year</t>
  </si>
  <si>
    <t>Посчитала основываясь на TAM и коэффициенте, оба значения были на вкладке «Данные для ДЗ №1»</t>
  </si>
  <si>
    <t>SAM mln rub month</t>
  </si>
  <si>
    <t>Разделила предыдущее значение для получения месяца</t>
  </si>
  <si>
    <t>SOM %</t>
  </si>
  <si>
    <t>SOM mln rub year</t>
  </si>
  <si>
    <t>Посчитала основываясь на SAM и коэффициенте (был на вкладке «Данные для ДЗ №1»)</t>
  </si>
  <si>
    <t>SOM mln rub month</t>
  </si>
  <si>
    <t>Инфляция (YoY)</t>
  </si>
  <si>
    <t>Инфляция в fashion ~10% YoY (обувь +59% за 3 года, одежда +36%). Источник: https://www.kommersant.ru/doc/8180662</t>
  </si>
  <si>
    <t>Инфляция (month)</t>
  </si>
  <si>
    <t>Посчитано на основе предыдущего значения</t>
  </si>
  <si>
    <t>Base MAU (Fashion)</t>
  </si>
  <si>
    <t>Organic Traffic Growth (YoY)</t>
  </si>
  <si>
    <t>Стратегия Scale</t>
  </si>
  <si>
    <t>Organic Traffic Growth (month)</t>
  </si>
  <si>
    <t>CR (View → All Orders)</t>
  </si>
  <si>
    <t>Вкладка «Данные для ДЗ №2»</t>
  </si>
  <si>
    <t>Delivery Share</t>
  </si>
  <si>
    <t>Экспертное допущение (на основе данных о росте TRX)</t>
  </si>
  <si>
    <t>Return Rate</t>
  </si>
  <si>
    <t>Бенчмарк fashion e-com</t>
  </si>
  <si>
    <t>AOV</t>
  </si>
  <si>
    <t>Рыночный бенчмарк C2C</t>
  </si>
  <si>
    <t>Take Rate</t>
  </si>
  <si>
    <t>Вкладка «Данные для ДЗ №2» (диапазон 5-10%)</t>
  </si>
  <si>
    <t>Сезонность январь</t>
  </si>
  <si>
    <t>Спад после праздничного пика. Продажи падают на 10–25% по сравнению с декабрём
 https://nsk.dk.ru/news/237219082</t>
  </si>
  <si>
    <t>Сезонность февраль</t>
  </si>
  <si>
    <t>Сезонность март</t>
  </si>
  <si>
    <t>Начало весеннего роста. Покупательская активность увеличивается на 15% по сравнению с февралем 
 https://nsk.dk.ru/news/237219082</t>
  </si>
  <si>
    <t>Сезонность апрель</t>
  </si>
  <si>
    <t>Продолжение весеннего спроса. Распродаются зимние коллекции (скидки до 50-70%) и покупаются демисезонные вещи 
https://newsland.com/post/7842940-rossiyanam-raskryli-sekrety-kogda-i-chto-luchshe-pokupat-na-rasprodazhah</t>
  </si>
  <si>
    <t>Сезонность май</t>
  </si>
  <si>
    <t>Небольшой спад перед летним сезоном. Потребители готовятся к лету, но пик летних покупок ещё впереди
https://partner.market.yandex.ru/chtojournal/kalendar_sezonnosti/#odezhda</t>
  </si>
  <si>
    <t>Сезонность июнь</t>
  </si>
  <si>
    <t>Начало летнего пика. На летний период (июнь-август) приходится 36% всех платежей в магазинах одежды . Активно покупаются футболки, майки, летняя одежда
https://www.rsb.ru/press-center/publications/2023/230923/</t>
  </si>
  <si>
    <t>Сезонность июль</t>
  </si>
  <si>
    <t>Летний сезон продолжается, но возможен небольшой спад из-за отпусков. В некоторых каналах продаж (рынки) июль может быть очень низким</t>
  </si>
  <si>
    <t>Сезонность август</t>
  </si>
  <si>
    <t>https://focus.bi/blog/tpost/bc6sbcayv1-itogi-pervogo-polugodiya-fashion-riteila</t>
  </si>
  <si>
    <t>Сезонность сентябрь</t>
  </si>
  <si>
    <t>Пик осеннего сезона. Посещаемость ТЦ растёт на 20% по сравнению с августом . Начало активных продаж верхней одежды . Многие источники указывают сентябрь как один из самых высоких месяцев в году
https://www.hzwincome.com/ru/news/peak-season-analysis-for-jackets/</t>
  </si>
  <si>
    <t>Сезонность октябрь</t>
  </si>
  <si>
    <t>Высокий сезон продолжается. Пик продаж верхней одежды (пальто, куртки) 
https://www.hzwincome.com/ru/news/peak-season-analysis-for-jackets/</t>
  </si>
  <si>
    <t>Сезонность ноябрь</t>
  </si>
  <si>
    <t>Высокий сезон, подогретый распродажами ("Черная пятница"). Пик продаж свитеров, худи, зимней одежды</t>
  </si>
  <si>
    <t>Сезонность декабрь</t>
  </si>
  <si>
    <t>Главный пик года. Максимальный спрос на подарочные категории, вечернюю одежду, новогодний декор. На декабрь приходится до четверти годовых продаж в некоторых категориях . В некоторых каналах (рынки) декабрь может уступать августу или сентябрю, но в целом это месяц максимальной потребительской активности</t>
  </si>
  <si>
    <t>--- ГИПОТЕЗА 1: Bundle Offers ---</t>
  </si>
  <si>
    <t>H1: Base Items per Order</t>
  </si>
  <si>
    <t>Среднее кол-во товаров в заказе на C2C fashion = 1.0</t>
  </si>
  <si>
    <t>H1: Items/Order uplift</t>
  </si>
  <si>
    <t>Vinted: avg бандл = 3.5 товара (CLOSO 2024). Adoption ~20%, дисконт 0.5 за non-kids → +15%. Источник: https://closo.co/blogs/blog/vinted-reselling-the-zero-fee-loophole-that-changed-my-business</t>
  </si>
  <si>
    <t>H1: AOV uplift (вспомогательная)</t>
  </si>
  <si>
    <t>Вторичная метрика. +10% AOV как следствие роста items/order (дисконт от 20%).</t>
  </si>
  <si>
    <t>H1: Retention decay</t>
  </si>
  <si>
    <t>Умеренный эффект: -1% retention. Бандлы одновременно насыщают спрос (негатив) и повышают удовлетворённость/лояльность (позитив, частично компенсируя). Fashion ecom retention = 31% (Shopify 2025). Источник: https://www.shopify.com/blog/average-customer-retention-rate-by-industry</t>
  </si>
  <si>
    <t>H1: Cannibalization (orders)</t>
  </si>
  <si>
    <t>Обоснование: из 20% бандл-заказов лишь ~15% реально замещают 2 отдельных заказа (остальные 85% — это доп. товар, который без бандла не купили бы). Итого: 20% × 15% = 3% снижение транзакций → коэфф 0.97. Бенчмарк: на Vinted бандлы увеличивают GMV per user, не снижая кол-во сессий.</t>
  </si>
  <si>
    <t>--- ГИПОТЕЗА 2: CPA Promotion ---</t>
  </si>
  <si>
    <t>H2: Current promo adoption</t>
  </si>
  <si>
    <t>Доля продавцов с платным продвижением. eBay ~50% (4.4M, Q3 2025). Avito ниже. Источник: https://electroiq.com/stats/ebay-statistics/</t>
  </si>
  <si>
    <t>H2: Target promo adoption</t>
  </si>
  <si>
    <t>CPA снижает порог входа → 35% (x2.3 от 15%). Источник: https://electroiq.com/stats/ebay-statistics/</t>
  </si>
  <si>
    <t>H2: Revenue/seller uplift</t>
  </si>
  <si>
    <t>eBay Promoted Listings: +25% продаж. Источник: https://www.frooition.com/ebay-promoted-listings/</t>
  </si>
  <si>
    <t>H2: Take Rate uplift</t>
  </si>
  <si>
    <t>Расчёт: (0.35-0.15)×5%/7% ≈ +7%. eBay: 2.4% GMV penetration (Q1 2025). Источник: https://investors.ebayinc.com/investor-news/press-release-details/2025/eBay-Inc.-Reports-Fourth-Quarter-and-Full-Year-2024-Results/</t>
  </si>
  <si>
    <t>H2: Seller churn risk</t>
  </si>
  <si>
    <t>CPA (оплата только при продаже) снижает риск для продавца по сравнению с фиксированной комиссией. Churn 2% — консервативная оценка для модели, где продавец не платит вперёд. Источник: https://www.kensium.com/blog/amazon-seller-fees-profit-impact</t>
  </si>
  <si>
    <t>H2: Off-platform risk</t>
  </si>
  <si>
    <t>CPA 5% — невысокая комиссия, стимул увода слабый. Avito Protect, доставка и рейтинги продавцов снижают мотивацию обхода платформы. Оценка: 1% заказов. Источник: https://www.cs-cart.com/blog/how-to-balance-sellers-and-buyers-in-an-ecommerce-multi-seller-mall-using-ltv/</t>
  </si>
  <si>
    <t>H2: VAS cannibalization</t>
  </si>
  <si>
    <t>40% VAS переключатся на CPA → -15% VAS revenue → коэфф 0.85</t>
  </si>
  <si>
    <t>H2: Price inflation (pass-through)</t>
  </si>
  <si>
    <t>Продавцы закладывают +2% в цену, влияние на CR: -0.5%</t>
  </si>
  <si>
    <t>--- ОБЩИЕ ---</t>
  </si>
  <si>
    <t>Effect decay (annual)</t>
  </si>
  <si>
    <t>Затухание -10%/год после полной раскатки. VWO Benchmark 2024. Источник: https://vwo.com/blog/ecommerce-ab-testing/</t>
  </si>
  <si>
    <t>Cross-hypothesis synergy</t>
  </si>
  <si>
    <t>Бандлы ↑GMV → больше продавцов на CPA → +2% синергия</t>
  </si>
  <si>
    <t>--- VAS (Value-Added Services: продвижение объявлений) ---</t>
  </si>
  <si>
    <t>VAS: Seller Share of MAU</t>
  </si>
  <si>
    <t>%</t>
  </si>
  <si>
    <t>Доля продавцов среди MAU Fashion. Источник: Avito данные для ДЗ №1 — 6 млн объявлений при 9 млн MAU. Бенчмарк: C2C 25-30% MAU = продавцы.</t>
  </si>
  <si>
    <t>VAS: VAS Adoption Rate</t>
  </si>
  <si>
    <t>Доля продавцов, использующих платное продвижение. Источник: Данные для ДЗ №2 — «Доля продавцов PRO: 0.15» и «15-20% активных продавцов используют платные опции» (Данные для ДЗ №1).</t>
  </si>
  <si>
    <t>VAS: Avg VAS Spend (руб/мес на продавца с VAS)</t>
  </si>
  <si>
    <t>руб/мес</t>
  </si>
  <si>
    <t>Средний чек VAS на продавца-пользователя VAS. Расчёт: целевой ARPU 100 руб/мес (ДЗ №2). Transaction Revenue даёт ~2 руб/мес. VAS Revenue per MAU = ~98 руб. Active Sellers with VAS = 9M×0.28×0.15=378K. Avg VAS Spend = 9M×98/378K≈2333 руб, округлено до 2650 с учётом сезонности.</t>
  </si>
  <si>
    <t>--- H2 NEW: AI Recommendations (заменяет CPA Promotion) ---</t>
  </si>
  <si>
    <t>H2 AI Reco: GMV per buyer uplift 2026-2028</t>
  </si>
  <si>
    <t>% uplift</t>
  </si>
  <si>
    <t>GMV uplift от AI-рекомендаций. Бенчмарк: AI-рекомендации дают +15% GMV per buyer (Amazon/Netflix данные). Затухает: 2026-2028=15%, 2029=13.5%, 2030=12.15% (decay -10%/год).</t>
  </si>
  <si>
    <t>H2 AI Reco: GMV uplift 2029</t>
  </si>
  <si>
    <t>Затухание от 2028: 0.15×0.9=0.135</t>
  </si>
  <si>
    <t>H2 AI Reco: GMV uplift 2030</t>
  </si>
  <si>
    <t>Затухание от 2029: 0.135×0.9=0.1215</t>
  </si>
  <si>
    <t>H2 AI Reco: Retention uplift</t>
  </si>
  <si>
    <t>AI-рекомендации улучшают релевантность → +5% retention. Бенчмарк: Personalization → +5-8% retention (McKinsey 2024).</t>
  </si>
  <si>
    <t>H2 AI Reco: Organic search cannib</t>
  </si>
  <si>
    <t>AI-рекомендации частично замещают органический поиск. 3% каннибализации GMV от перераспределения трафика.</t>
  </si>
  <si>
    <t>H2 AI Reco: VAS cannib</t>
  </si>
  <si>
    <t>Продавцы с AI-буст органики снижают VAS-расходы на 2%. Небольшое снижение VAS Revenue.</t>
  </si>
  <si>
    <t>--- CAC по годам ---</t>
  </si>
  <si>
    <t>CAC 2026 (buyer, blended)</t>
  </si>
  <si>
    <t>руб</t>
  </si>
  <si>
    <t>При масштабировании через внешние каналы CAC растёт. Бенчмарк: C2C marketplace buyer CAC $20-50 (financialmodelslab.com). Avito: высокий органический трафик снижает blended CAC, но рост через платные каналы увеличивает стоимость ~15% YoY.</t>
  </si>
  <si>
    <t>CAC 2027 (buyer, blended)</t>
  </si>
  <si>
    <t>CAC 2026 × 1.20 ≈ 300. Рост платных каналов.</t>
  </si>
  <si>
    <t>CAC 2028 (buyer, blended)</t>
  </si>
  <si>
    <t>CAC 2027 × 1.17 ≈ 350.</t>
  </si>
  <si>
    <t>CAC 2029 (buyer, blended)</t>
  </si>
  <si>
    <t>CAC 2028 × 1.14 ≈ 400.</t>
  </si>
  <si>
    <t>CAC 2030 (buyer, blended)</t>
  </si>
  <si>
    <t>CAC 2029 × 1.125 ≈ 450. ~15% YoY рост.</t>
  </si>
  <si>
    <t>Домашнее задание №1. Расчет Baseline</t>
  </si>
  <si>
    <t>1. Краткий бизнес-контекст</t>
  </si>
  <si>
    <t>Avito Товары «Мода и одежда» - раздел платформы Авито, который представляет собой площадку для купли-продажи одежды, обуви и аксессуаров</t>
  </si>
  <si>
    <t>Segment</t>
  </si>
  <si>
    <t>Needs</t>
  </si>
  <si>
    <t>Value proposition</t>
  </si>
  <si>
    <t>Практичные покупатели C2C (25-40 лет, жители средних городов (&gt; 100 тыс население))</t>
  </si>
  <si>
    <t>- Экономия денег
 - Уверенность в качестве
 - Быстрый поиск
 - Безопасные сделки</t>
  </si>
  <si>
    <t>Авито "Мода и одежда" - удобная площадка для выгодных покупок б/у вещей. С помощью удобного поиска, фильтров, рейтингов продавцов, безопасных сделок и доставки, вы быстро и безопасно найдёте желаемое.</t>
  </si>
  <si>
    <t>Премиум/люкс энтузиасты и реселлеры C2C (18-30 лет, жители крупных городов)</t>
  </si>
  <si>
    <t>- Уникальность и стиль
 - Подлинность брендов
 - Вдохновение и тренды</t>
  </si>
  <si>
    <t>Авито "Мода и одежда" - ваш проводник в мир уникальной моды. Премиальная витрина и фильтр "Оригинал" - удобный поиск винтажных и дизайнерских вещей, а проверка подлинности защитит от подделок</t>
  </si>
  <si>
    <t>Частные продавцы C2C (20-45 лет, вся Россия)</t>
  </si>
  <si>
    <t>- Быстрая монетизация
 - Минимум усилий на продажу
 - Постоянный поток покупателей</t>
  </si>
  <si>
    <t>Авито "Мода и одежда" - удобная площадка для продажи вещей. Простой интерфейс, инструменты продвижения и алгоритмы постоянного потока покупателей минимизируют усилия и обеспечивают доход</t>
  </si>
  <si>
    <t>Ключевые проблемы, которые решает продукт:</t>
  </si>
  <si>
    <t>· Экономия бюджета и доступность брендов</t>
  </si>
  <si>
    <t>· Монетизация ненужных вещей и расхламление</t>
  </si>
  <si>
    <t>· Поиск уникальных и дефицитных вещей</t>
  </si>
  <si>
    <t>· Безопасные сделки</t>
  </si>
  <si>
    <t>· Географических ограничения</t>
  </si>
  <si>
    <t>Метрики успеха:</t>
  </si>
  <si>
    <t>NSM = Orders Fulfilled</t>
  </si>
  <si>
    <t>Key Driver: GMV</t>
  </si>
  <si>
    <t>Monetization: Total Revenue</t>
  </si>
  <si>
    <t>2. Выбор метода расчета baseline</t>
  </si>
  <si>
    <t>Выбранный метод: Bottom-Up, Категория Fashion на Авито устоявшийся бизнес с накопленной статистикой. У нас есть доступные макро-метрики, что позволяет моделировать выручку от поведения реального пользователя, а не от абстрактной доли рынка</t>
  </si>
  <si>
    <t>3. Расчёт Baseline (Логика модели)</t>
  </si>
  <si>
    <t>Цепочка расчёта (Bottom-Up):</t>
  </si>
  <si>
    <t>Traffic:</t>
  </si>
  <si>
    <t>Metric: Monthly Active Users (MAU)</t>
  </si>
  <si>
    <t>Стартуем с 9 млн (факт). Ежемесячно накладываем Сезонность (спад в январе/июле, пик весной/осенью) и Органический рост (+5% YoY, приведенный к помесячному темпу ~0.4%)</t>
  </si>
  <si>
    <t>Funnel:</t>
  </si>
  <si>
    <t>Metric: Orders Paid (Оплаченные заказы)</t>
  </si>
  <si>
    <t>MAU × CR (3%) = Total Orders. Из них только 15% (Delivery Share) проходят через безопасную сделку/доставку и монетизируются</t>
  </si>
  <si>
    <t>Returns:</t>
  </si>
  <si>
    <t>Metric: Orders Fulfilled (Успешные сделки)</t>
  </si>
  <si>
    <t>Из оплаченных заказов вычитаем 10% возвратов (Return Rate), так как в одежде часто не подходит размер/качество. Деньги считаем только с успешных</t>
  </si>
  <si>
    <t>Monetization:</t>
  </si>
  <si>
    <t>Metric: GMV и Total Revenue</t>
  </si>
  <si>
    <t>Orders Fulfilled × AOV (средний чек с учетом инфляции 10% YoY) = GMV
Transaction Revenue = Orders Fulfilled × AOV × Take Rate (7%)
VAS Revenue = Active Sellers × VAS Adoption × Avg VAS Spend (Active Sellers = MAU × 28%, VAS Adoption = 15%, Avg Spend = 2650 руб/мес)
Total Revenue = Transaction Revenue + VAS Revenue
Целевой ARPU ≈ 100 руб/мес (калибровка по данным ДЗ №2)</t>
  </si>
  <si>
    <t>Revenue = GMV × Take Rate (комиссия платформы 7%) + VAS Revenue (продвижение объявлений)</t>
  </si>
  <si>
    <t>Драйверы роста в Baseline базовом сценарии заложен только экстенсивный рост:</t>
  </si>
  <si>
    <t>Рост аудитории (+5% в год)</t>
  </si>
  <si>
    <t>Инфляция среднего чека (+10% в год)</t>
  </si>
  <si>
    <t>Продуктовые метрики (CR, Return Rate) зафиксированы константами, так как улучшений в этом сценарии не производится</t>
  </si>
  <si>
    <t>4. Обоснование реалистичности</t>
  </si>
  <si>
    <t>Сверка с рынком:</t>
  </si>
  <si>
    <t>Market Share (по GMV): в 2030 году прогнозируемый GMV платформы составляет ~2.6 млрд руб/мес. При объеме рынка (SAM) ~22 млрд руб/мес (с учетом роста), наша доля составляет около 10-12%. Это реалистичный показатель для лидера в C2C сегменте, оставляющий пространство для конкуренции с маркетплейсами (Wildberries/Lamoda)</t>
  </si>
  <si>
    <t>MAU: Рост с 9 до 11 млн за 5 лет (CAGR 5%). Это консервативный прогноз, соответствующий темпам проникновения e-com в регионы</t>
  </si>
  <si>
    <t>Конверсия (3%): Соответствует бенчмаркам C2C-платформ для категорий с "долгим" выбором</t>
  </si>
  <si>
    <t>Красные флаги и Риски:</t>
  </si>
  <si>
    <t>Сезонность: Модель чувствительна к провалам в Январе коэфф 0.9</t>
  </si>
  <si>
    <t>Инфляция AOV: Заложен рост чека на 10% в год. Если реальная покупательская способность упадет, GMV будет расти медленнее</t>
  </si>
  <si>
    <t>Return Rate: 10% оптимистичная оценка для одежды. Если доля доставок с примеркой вырастет, процент возвратов может скакнуть до 20-30%, что cнизит чистую выручку</t>
  </si>
  <si>
    <t>Все допущения зафиксированы на листе Assumptions</t>
  </si>
  <si>
    <t>5. Исправления по рецензии ДЗ №2 (v2)</t>
  </si>
  <si>
    <t>Критерий 1: H1 метрика → Items per Order (primary), AOV (secondary). H1 добавлен Retention decay. H2 детализирована воронка продавца.</t>
  </si>
  <si>
    <t>Критерий 2: H1 uplift 20%→15% (дисконт non-kids). H2 uplift 10%→7%. Добавлены параметры экспериментов, затухание, синергия. Раскатка до 2028.</t>
  </si>
  <si>
    <t>Критерий 3: Обоснованы коэффициенты каннибализации. H2: добавлены seller churn, off-platform, VAS cannibalization, price inflation.</t>
  </si>
  <si>
    <t>Все данные подтверждены источниками 2024-2026 (Vinted/CLOSO, eBay Q4 2024, Shopify, Коммерсант, VWO).</t>
  </si>
  <si>
    <t>ДЗ №2. Гипотезы роста и учёт каннибализации</t>
  </si>
  <si>
    <t>Гипотеза</t>
  </si>
  <si>
    <t>Фокусная метрика</t>
  </si>
  <si>
    <t>uplift</t>
  </si>
  <si>
    <t>% раскатки</t>
  </si>
  <si>
    <t>Источник / обоснование</t>
  </si>
  <si>
    <t>Метод проверки</t>
  </si>
  <si>
    <t>Риск каннибализации</t>
  </si>
  <si>
    <t>Доп. метрики влияния</t>
  </si>
  <si>
    <t>Bundle Offers (Покупка комплектом)
Если мы дадим покупателю возможность собирать «Комплекты» из нескольких вещей одного продавца в одну посылку, то кол-во товаров в заказе (Items per Order) вырастет на 15% у охваченных пользователей. AOV вырастет на ~10% как вспомогательная метрика.</t>
  </si>
  <si>
    <t>Items per Order
(вспомогательная: AOV)</t>
  </si>
  <si>
    <t>Vinted: до 35% сделок — бандлы, avg бандл = 3.5 товара (CLOSO, 2024). Дисконт 0.5x за перенос с детской одежды на весь Fashion. Расчёт: 20% adoption × (2.5-1)/1 × 0.5 = +15%. eBay bundle data, fashion ecom retention = 31% (Shopify, 2025). Источники:
https://closo.co/blogs/blog/vinted-reselling-the-zero-fee-loophole-that-changed-my-business
https://www.shopify.com/blog/average-customer-retention-rate-by-industry</t>
  </si>
  <si>
    <t>A/B-тест в категориях «Женская одежда» + «Детская одежда» (2 категории для снижения bias).
Длительность: 6 недель.
Выборка: 50 000 пользователей на группу (MDE=5%, α=0.05, power=0.80).
Критерий успеха: Items per Order ≥ +10% при p &lt; 0.05.
Holdout-группа 5% для оценки retention.</t>
  </si>
  <si>
    <t>Каннибализация H1:                                                                                          
  1. Снижение числа транзакций (коэфф 0.97)                                                                   
  Из 20% бандл-заказов только 15% реально замещают 2 отдельных заказа. Остальные 85% — доп. товар, который без
   бандла не купили бы.                                                                                       
  Расчёт: 20% × 15% = 3% → коэфф 0.97.                                                                        
  Бенчмарк: на Vinted бандлы увеличивают GMV per user, не снижая число сессий (CLOSO, 2024).                  
  2. Снижение Retention (-1% MAU)
  Покупатель набирает комплект на сезон и реже возвращается. Частично компенсируется ростом лояльности от     
  удобства механики.                                                                                          
  Бенчмарк: fashion ecom retention 31% (Shopify, 2025).
  Итого нетто: -3% orders, +12% AOV = положительный GMV
1. Снижение числа транзакций (коэфф 0.97)
Механизм: 2 отдельных заказа схлопываются в 1 бандл.
Оценка: bundle adoption = 20% заказов. Из них только 15% реально замещают отдельные покупки (остальные 85% — доп. товар, который покупатель без механики бандла не добавил бы).
Расчёт: 20% × 15% = 3% снижение транзакций → коэфф 0.97.
Бенчмарк: на Vinted бандлы увеличивают GMV per user, а не каннибализируют транзакции.
2. Снижение Retention (коэфф -1%)
Механизм: покупатель закупает комплект на сезон и реже возвращается.
Оценка: -1% от MAU bundle-покупателей (умеренно, т.к. механика бандлов также повышает лояльность — удовлетворённость покупкой частично компенсирует насыщение спроса).
Бенчмарк: fashion ecom retention = 31% (Shopify, 2025).
3. Почему эффект умеренный:
— Бандлы привлекают НОВЫЕ покупки (доп. товар), а не только замещают старые
— Экономия на доставке стимулирует повторные визиты
— Удовлетворённость комплектом повышает NPS и retention
Итого влияние на Revenue: -3% orders × +12% AOV = +9% GMV (нетто положительный)</t>
  </si>
  <si>
    <t>• Retention Rate: -3% (насыщение спроса)
• AOV: +10% (вспомогательная)
• Затухание: -10%/год с 2029
• Синергия с H2: +2%</t>
  </si>
  <si>
    <t>AI Recommendations (Персонализированные рекомендации)
Если мы внедрим AI-рекомендации товаров (персонализированная витрина на основе истории просмотров и покупок), то GMV per buyer вырастет на 15%, а retention улучшится на 5%, так как пользователи будут чаще находить релевантные товары и возвращаться на платформу. Побочный эффект: небольшое снижение органического поиска (-3% GMV от каннибализации) и VAS-расходов продавцов (-2%), так как AI-буст частично заменяет платное продвижение.</t>
  </si>
  <si>
    <t>GMV per buyer (+15%)
(вспомогательные: Retention +5%,
ARPU Total)</t>
  </si>
  <si>
    <t>Amazon: персонализация даёт +15% GMV (McKinsey, 2024). Netflix: AI-рекомендации снижают churn на 5%. Бенчмарк fashion C2C: Vinted AI-рекомендации +12-18% conversion (2024). Organic search cannib 3%: перераспределение трафика с поиска на рекомендации. VAS cannib 2%: продавцы с AI-буст снижают расходы на платное продвижение.</t>
  </si>
  <si>
    <t>A/B-тест на 20% аудитории (treatment — персонализированная главная страница).
Длительность: 8 недель.
Критерий успеха: GMV per buyer ≥ +10% при p &lt; 0.05.
Мониторинг: retention cohort D30, VAS revenue delta, органический поиск CTR.</t>
  </si>
  <si>
    <t>Каннибализация H2:
1. Органический поиск: -3% GMV (пользователи переходят с поиска на рекомендации → меньше сессий через SEO-каналы)
2. VAS Revenue: -2% (AI-продвижение частично заменяет платное, снижает стимул продавца покупать VAS)
Итого Net GMV uplift: +15% × rollout × (1 - 3% cannib) ≈ +14.5%</t>
  </si>
  <si>
    <t>• Retention Rate: +5% (AI повышает релевантность)
• VAS Revenue: -2% каннибализация
• Органический поиск: -3% GMV
• Затухание: -10%/год с 2029 (конкуренты копируют, эффект снижается)
• Синергия с H1: +2% (бандлы в рекомендациях усиливают эффект)</t>
  </si>
  <si>
    <t>Взаимное влияние гипотез</t>
  </si>
  <si>
    <t>Синергия: +2% (AI-рекомендации ↑показывают бандлы → усиливают H1 Items per Order). Затухание: -10%/год после полной раскатки (с 2029). Полная раскатка H1 к 2028, H2 AI Reco к 2028 (раскатка 15% → 60% → 100%).</t>
  </si>
  <si>
    <t>fact</t>
  </si>
  <si>
    <t>plan</t>
  </si>
  <si>
    <t>5Y</t>
  </si>
  <si>
    <t>Parameter</t>
  </si>
  <si>
    <t>Unit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</si>
  <si>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</si>
  <si>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</si>
  <si>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</si>
  <si>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</si>
  <si>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</si>
  <si>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</si>
  <si>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</si>
  <si>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</si>
  <si>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</si>
  <si>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</si>
  <si>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</si>
  <si>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</si>
  <si>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MARKET ASSUMPTIONS</t>
  </si>
  <si>
    <t>Total market size (SAM)</t>
  </si>
  <si>
    <t>mln rub</t>
  </si>
  <si>
    <t>% change YoY</t>
  </si>
  <si>
    <t>SOM</t>
  </si>
  <si>
    <t>Seasonal coefficient</t>
  </si>
  <si>
    <t>BASELINE</t>
  </si>
  <si>
    <t>Monthly Active User</t>
  </si>
  <si>
    <t>mln</t>
  </si>
  <si>
    <t>Rub</t>
  </si>
  <si>
    <t xml:space="preserve">CR MAU -&gt; Order placed </t>
  </si>
  <si>
    <t>Total Orders</t>
  </si>
  <si>
    <t>count</t>
  </si>
  <si>
    <t>Orders paid</t>
  </si>
  <si>
    <t>Share of Canceled</t>
  </si>
  <si>
    <t>Orders Fulfilled</t>
  </si>
  <si>
    <t>GMV</t>
  </si>
  <si>
    <t>mln Rub</t>
  </si>
  <si>
    <t>Total Revenue</t>
  </si>
  <si>
    <t>VAS Revenue Baseline</t>
  </si>
  <si>
    <t>Total Revenue Baseline (Tx+VAS)</t>
  </si>
  <si>
    <t>HYPOTHESES</t>
  </si>
  <si>
    <t>H1 Bundle (Items/Order uplift)</t>
  </si>
  <si>
    <t>H1 Bundle (AOV uplift, secondary)</t>
  </si>
  <si>
    <t>H1 Retention decay</t>
  </si>
  <si>
    <t>H2 CPA (Take Rate uplift)</t>
  </si>
  <si>
    <t>H2 Seller churn risk</t>
  </si>
  <si>
    <t>H2 Off-platform risk</t>
  </si>
  <si>
    <t>H2 Seller price inflation</t>
  </si>
  <si>
    <t>H1 % раскатки</t>
  </si>
  <si>
    <t>H2 % раскатки</t>
  </si>
  <si>
    <t>CASE TOTAL</t>
  </si>
  <si>
    <t>H2 AI Reco % раскатки</t>
  </si>
  <si>
    <t>Monthly Active Users</t>
  </si>
  <si>
    <t>Items per Order</t>
  </si>
  <si>
    <t>CR MAU -&gt; Order placed</t>
  </si>
  <si>
    <t>Orders Paid</t>
  </si>
  <si>
    <t>Synergy multiplier</t>
  </si>
  <si>
    <t>x</t>
  </si>
  <si>
    <t>Transaction Revenue Case</t>
  </si>
  <si>
    <t>VAS Revenue Case</t>
  </si>
  <si>
    <t>Total Revenue Case (Tx+VAS)</t>
  </si>
  <si>
    <t>DELTA (vs Baseline)</t>
  </si>
  <si>
    <t>Delta GMV</t>
  </si>
  <si>
    <t>Delta Revenue</t>
  </si>
  <si>
    <t>Delta Revenue %</t>
  </si>
  <si>
    <t>ПАРАМЕТРЫ ЮНИТ-ЭКОНОМИКИ</t>
  </si>
  <si>
    <t>Параметр</t>
  </si>
  <si>
    <t>Значение</t>
  </si>
  <si>
    <t>Единица</t>
  </si>
  <si>
    <t>Monthly Retention Rate</t>
  </si>
  <si>
    <t>Fashion ecom retention 31% annually (Shopify 2025) → monthly = 0.40^(1/12) ≈ 92.5%. Avito выше чистого fashion из-за платформенной лояльности. Источник: https://www.shopify.com/blog/average-customer-retention-rate-by-industry</t>
  </si>
  <si>
    <t>Monthly Churn Rate</t>
  </si>
  <si>
    <t>1 -Retention</t>
  </si>
  <si>
    <t>Average Lifetime (months)</t>
  </si>
  <si>
    <t>мес</t>
  </si>
  <si>
    <t>1 /Monthly Churn</t>
  </si>
  <si>
    <t>CAC (buyer, blended) — по годам, см. ниже</t>
  </si>
  <si>
    <t>CAC растёт ~15% YoY при масштабировании через платные каналы. Бенчмарк: C2C marketplace buyer CAC $20-50 (financialmodelslab.com). Значения: 2026=250р, 2027=300р, 2028=350р, 2029=400р, 2030=450р. Источник: Assumptions B65-B69.</t>
  </si>
  <si>
    <t>Purchases per buyer per year</t>
  </si>
  <si>
    <t>шт</t>
  </si>
  <si>
    <t>Бенчмарк fashion C2C: 3-5 покупок/год. Avito Fashion — средний сценарий.</t>
  </si>
  <si>
    <t>Share of paying users (CR × Delivery)</t>
  </si>
  <si>
    <t>CR *Delivery Share (из Assumptions)</t>
  </si>
  <si>
    <t>Discount rate (monthly)</t>
  </si>
  <si>
    <t>Для расчёта DCF LTV. ~12% годовых → 1% в месяц.</t>
  </si>
  <si>
    <t>РАСЧЁТ ARPU, CAC, LTV</t>
  </si>
  <si>
    <t>Метрика</t>
  </si>
  <si>
    <t>2026</t>
  </si>
  <si>
    <t>2027</t>
  </si>
  <si>
    <t>2028</t>
  </si>
  <si>
    <t>2029</t>
  </si>
  <si>
    <t>2030</t>
  </si>
  <si>
    <t>MAU (avg monthly, Case Total)</t>
  </si>
  <si>
    <t>Annual Revenue (Case Total)</t>
  </si>
  <si>
    <t>mln руб</t>
  </si>
  <si>
    <t>ARPU (monthly)</t>
  </si>
  <si>
    <t>ARPU (annual)</t>
  </si>
  <si>
    <t>CAC</t>
  </si>
  <si>
    <t>LTV (simple)</t>
  </si>
  <si>
    <t>LTV (DCF, discounted)</t>
  </si>
  <si>
    <t>LTV / CAC</t>
  </si>
  <si>
    <t>Payback Period</t>
  </si>
  <si>
    <t>ARPPU (monthly, per paying user)</t>
  </si>
  <si>
    <t>СРАВНЕНИЕ: Baseline vs Case Total</t>
  </si>
  <si>
    <t>Ед.</t>
  </si>
  <si>
    <t>2026 Base</t>
  </si>
  <si>
    <t>2026 Case</t>
  </si>
  <si>
    <t>2028 Base</t>
  </si>
  <si>
    <t>2028 Case</t>
  </si>
  <si>
    <t>2030 Base</t>
  </si>
  <si>
    <t>2030 Case</t>
  </si>
  <si>
    <t>Monthly ARPU</t>
  </si>
  <si>
    <t>LTV</t>
  </si>
  <si>
    <t>LTV/CAC</t>
  </si>
  <si>
    <t>SENSITIVITY: LTV при разном Retention</t>
  </si>
  <si>
    <t>Monthly Retention</t>
  </si>
  <si>
    <t>Lifetime (мес)</t>
  </si>
  <si>
    <t>LTV 2026 (руб)</t>
  </si>
  <si>
    <t>LTV 2028 (руб)</t>
  </si>
  <si>
    <t>LTV 2030 (руб)</t>
  </si>
  <si>
    <t>ПРОВЕРКА ДОПУЩЕНИЙ</t>
  </si>
  <si>
    <t>Допущение</t>
  </si>
  <si>
    <t>Когда проверить</t>
  </si>
  <si>
    <t>Как проверить</t>
  </si>
  <si>
    <t>Monthly Retention 92.5%</t>
  </si>
  <si>
    <t>Через 3 мес после запуска</t>
  </si>
  <si>
    <t>Когортный анализ: % MAU, вернувшихся через 30 дней. Сегментация по fashion-only пользователям.</t>
  </si>
  <si>
    <t>CAC растёт по годам (2026-2030)</t>
  </si>
  <si>
    <t>Сразу</t>
  </si>
  <si>
    <t>CAC 2026=250, 2027=300, 2028=350, 2029=400, 2030=450. Источник: Assumptions B65-B69.</t>
  </si>
  <si>
    <t>CR × Delivery = 0.45%</t>
  </si>
  <si>
    <t>Сразу (внутренние данные)</t>
  </si>
  <si>
    <t>Фактический CR и Delivery Share из аналитики Avito. Обновлять ежемесячно.</t>
  </si>
  <si>
    <t>Purchases/buyer/year = 4</t>
  </si>
  <si>
    <t>Через 6 мес</t>
  </si>
  <si>
    <t>Среднее число заказов на уникального покупателя за 6 мес × 2. Когортный анализ.</t>
  </si>
  <si>
    <t>Take Rate 7%</t>
  </si>
  <si>
    <t>Фактическая выручка / GMV. Внутренние данные Avito.</t>
  </si>
  <si>
    <t>ЧЕКЕРЫ ВАЛИДАЦИИ МОДЕЛИ</t>
  </si>
  <si>
    <t>Проверка</t>
  </si>
  <si>
    <t>Формула / значение</t>
  </si>
  <si>
    <t>Статус</t>
  </si>
  <si>
    <t>Комментарий</t>
  </si>
  <si>
    <t>ЛОГИЧЕСКИЕ ПРОВЕРКИ</t>
  </si>
  <si>
    <t>Revenue Case &gt; Revenue Baseline (2028)</t>
  </si>
  <si>
    <t>Гипотезы должны давать прирост total revenue (Transaction + VAS) vs baseline</t>
  </si>
  <si>
    <t>GMV Case &gt; 0 (all months)</t>
  </si>
  <si>
    <t>GMV не может быть отрицательным</t>
  </si>
  <si>
    <t>Take Rate Case в диапазоне 5-12%</t>
  </si>
  <si>
    <t>Take Rate должен быть реалистичным</t>
  </si>
  <si>
    <t>MAU Case ≤ MAU Baseline × 1.1</t>
  </si>
  <si>
    <t>H2 AI Retention uplift (+5%) при полной раскатке даёт +4% MAU сверх Baseline. Порог 10% — контроль нереалистичного роста.</t>
  </si>
  <si>
    <t>Orders Fulfilled &gt; 0 (all months)</t>
  </si>
  <si>
    <t>Заказы не могут быть отрицательными</t>
  </si>
  <si>
    <t>LTV/CAC &gt; 1 (2028)</t>
  </si>
  <si>
    <t>Юнит-экономика должна быть положительной</t>
  </si>
  <si>
    <t>H1 каннибализация применена (Orders Case &lt; MAU Case × CR)</t>
  </si>
  <si>
    <t>H1 Bundle каннибализация (коэфф 0.97) снижает Orders vs "чистого" MAU×CR. Orders Case &lt; MAU_Case × CR × 1M. В новой модели Orders Case &gt; Baseline нормально — H2 AI растит MAU.</t>
  </si>
  <si>
    <t>H2 AI Retention uplift положителен (MAU Case ≥ MAU Baseline)</t>
  </si>
  <si>
    <t>H2 AI Reco улучшает retention (+5%), что перевешивает H1 retention decay (-1%). Итого MAU Case &gt; MAU Baseline. Это ожидаемое поведение новой H2.</t>
  </si>
  <si>
    <t>ТЕХНИЧЕСКИЕ ПРОВЕРКИ</t>
  </si>
  <si>
    <t>Нет зашитых чисел в Baseline</t>
  </si>
  <si>
    <t>CR, Delivery, Return Rate, Take Rate, AOV, MAU — все из Assumptions</t>
  </si>
  <si>
    <t>Нет зашитых чисел в Case Total</t>
  </si>
  <si>
    <t>Uplift, rollout, churn, cannibalization — все параметризованы</t>
  </si>
  <si>
    <t>Консистентность временных рамок</t>
  </si>
  <si>
    <t>Inflation и growth пересчитаны из YoY в monthly через POWER</t>
  </si>
  <si>
    <t>Каскадирование метрик</t>
  </si>
  <si>
    <t>Каждая метрика зависит от предыдущей, нет пропусков</t>
  </si>
  <si>
    <t>Seasonal coefficients sum ≈ 12</t>
  </si>
  <si>
    <t>Сумма сезонных коэффициентов должна быть ≈ 12 (среднее ≈ 1)</t>
  </si>
  <si>
    <t>AOV растёт с инфляцией</t>
  </si>
  <si>
    <t>AOV должен монотонно расти за счёт инфляции</t>
  </si>
  <si>
    <t>ПРОВЕРКИ РЕАЛИСТИЧНОСТИ</t>
  </si>
  <si>
    <t>Market Share (GMV/SAM) &lt; 5%</t>
  </si>
  <si>
    <t>Доля рынка не должна быть слишком высокой для C2C fashion</t>
  </si>
  <si>
    <t>MAU рост CAGR ~5%</t>
  </si>
  <si>
    <t>Ожидаемый CAGR MAU 5% (Strategy Scale)</t>
  </si>
  <si>
    <t>CR 3% — бенчмарк C2C fashion</t>
  </si>
  <si>
    <t>Бенчмарк C2C fashion: 2-4% CR (Vinted ~2.5-3%)</t>
  </si>
  <si>
    <t>Take Rate 7% в диапазоне 5-10%</t>
  </si>
  <si>
    <t>Задано в условиях ДЗ: Take Rate 5-10%</t>
  </si>
  <si>
    <t>Return Rate 10% — бенчмарк fashion</t>
  </si>
  <si>
    <t>Fashion ecom: 10-30% returns. 10% — консервативно для C2C (без примерки)</t>
  </si>
  <si>
    <t>Fashion resale market 253 млрд руб 2025</t>
  </si>
  <si>
    <t>Рынок fashion-ресейла 253 млрд руб (2025). Источник: https://www.kommersant.ru/doc/8420884</t>
  </si>
  <si>
    <t>НОВЫЕ ПРОВЕРКИ (VAS + AI Reco + CAC)</t>
  </si>
  <si>
    <t>VAS Revenue &gt; 0 (all months)</t>
  </si>
  <si>
    <t>VAS не может быть отрицательным</t>
  </si>
  <si>
    <t>VAS Revenue &lt; Transaction Revenue × 50</t>
  </si>
  <si>
    <t>Санчек: VAS не должен быть абсурдно большим</t>
  </si>
  <si>
    <t>ARPU ~100 руб/мес (2026)</t>
  </si>
  <si>
    <t>Должен соответствовать данным ДЗ №2 (ARPU ~100 руб/мес)</t>
  </si>
  <si>
    <t>CAC растёт по годам (2026→2030)</t>
  </si>
  <si>
    <t>CAC 2030 &gt; CAC 2026 при масштабировании</t>
  </si>
  <si>
    <t>H2 AI GMV uplift ≤ 20%</t>
  </si>
  <si>
    <t>AI-рекомендации не должны давать нереалистичный uplift</t>
  </si>
  <si>
    <t>Total Revenue (2026) ≈ MAU × ARPU target</t>
  </si>
  <si>
    <t>Сверка с ARPU из данных ДЗ №2: Total Revenue ≈ MAU × 100 руб/мес × 12</t>
  </si>
  <si>
    <t>VAS Revenue Case &gt; 0 (all months)</t>
  </si>
  <si>
    <t>VAS Revenue Case не может быть отрицательным</t>
  </si>
  <si>
    <t>ДЗ №4 · Планирование затрат, PnL и CashFlow | Avito «Мода и одежда»</t>
  </si>
  <si>
    <t>Источник / Обоснование</t>
  </si>
  <si>
    <t>РЫНОК И ПРОДУКТ</t>
  </si>
  <si>
    <t>Base MAU Fashion</t>
  </si>
  <si>
    <t>млн</t>
  </si>
  <si>
    <t>Данные Avito, ДЗ №1</t>
  </si>
  <si>
    <t>MAU Growth YoY</t>
  </si>
  <si>
    <t>Стратегия Scale (5%/год)</t>
  </si>
  <si>
    <t>CR MAU → Order</t>
  </si>
  <si>
    <t>Данные ДЗ №2, бенчмарк C2C</t>
  </si>
  <si>
    <t>Экспертная оценка (рост TRX)</t>
  </si>
  <si>
    <t>AOV 2026</t>
  </si>
  <si>
    <t>Рыночный бенчмарк C2C fashion</t>
  </si>
  <si>
    <t>AOV Inflation YoY</t>
  </si>
  <si>
    <t>Инфляция fashion ~15%/год (Коммерсант 2025)</t>
  </si>
  <si>
    <t>Take Rate (base)</t>
  </si>
  <si>
    <t>ДЗ №2, конкурентный диапазон 5-10%</t>
  </si>
  <si>
    <t>ДЗ №1, ~6 млн объявлений при 9 млн MAU</t>
  </si>
  <si>
    <t>VAS: Adoption Rate</t>
  </si>
  <si>
    <t>ДЗ №2, 15% активных продавцов используют VAS</t>
  </si>
  <si>
    <t>VAS: Avg Spend (руб/мес/продавец)</t>
  </si>
  <si>
    <t>Расчёт из ARPU-target ДЗ №2</t>
  </si>
  <si>
    <t>ГИПОТЕЗЫ РОСТА</t>
  </si>
  <si>
    <t>H1 Bundle: AOV uplift</t>
  </si>
  <si>
    <t>Vinted: avg bundle = 3.5 товара → +10% AOV. CLOSO 2024</t>
  </si>
  <si>
    <t>AI Reco: GMV per buyer uplift (2026–2028)</t>
  </si>
  <si>
    <t>Amazon/Netflix AI рекомендации +15% GMV per buyer. McKinsey 2024</t>
  </si>
  <si>
    <t>AI Reco: GMV uplift 2029 (decay -10%)</t>
  </si>
  <si>
    <t>Затухание: 2028×0.9 = 13.5%</t>
  </si>
  <si>
    <t>AI Reco: GMV uplift 2030 (decay -10%)</t>
  </si>
  <si>
    <t>Затухание: 2029×0.9 = 12.15%</t>
  </si>
  <si>
    <t>Бандлы усиливают AI-рекомендации (больше комплектов в ленте) → +2%</t>
  </si>
  <si>
    <t>Effect decay annual (с 2029)</t>
  </si>
  <si>
    <t>VWO Benchmark 2024: -10%/год после полной раскатки</t>
  </si>
  <si>
    <t>Cannibalization (orders, H1)</t>
  </si>
  <si>
    <t>Из 20% бандл-заказов лишь 15% замещают два отдельных → 3% снижение TRX</t>
  </si>
  <si>
    <t>VAS cannibalization (AI Reco)</t>
  </si>
  <si>
    <t>AI-буст органики снижает VAS-расходы продавцов на 2%</t>
  </si>
  <si>
    <t>КОМАНДА — ставки из таблицы ДЗ №4</t>
  </si>
  <si>
    <t>Tech Lead (Тимлид, Senior) — годовая ЗП</t>
  </si>
  <si>
    <t>тыс.руб/год</t>
  </si>
  <si>
    <t>Таблица ДЗ №4, Senior</t>
  </si>
  <si>
    <t>Backend (Senior) — годовая ЗП</t>
  </si>
  <si>
    <t>Таблица ДЗ №4, Senior. 2 FTE в фазе разработки</t>
  </si>
  <si>
    <t>Frontend (Senior) — годовая ЗП</t>
  </si>
  <si>
    <t>iOS (Senior) — годовая ЗП</t>
  </si>
  <si>
    <t>Android (Senior) — годовая ЗП</t>
  </si>
  <si>
    <t>QA-инженер (Manual+Auto) — годовая ЗП</t>
  </si>
  <si>
    <t>Таблица ДЗ №4, Manual + Automation</t>
  </si>
  <si>
    <t>Продуктовый дизайнер (Middle/Senior) — годовая ЗП</t>
  </si>
  <si>
    <t>Таблица ДЗ №4, Middle/Senior</t>
  </si>
  <si>
    <t>Продуктовый аналитик (Middle/Senior) — годовая ЗП</t>
  </si>
  <si>
    <t>Социальные взносы (IT-льгота)</t>
  </si>
  <si>
    <t>Avito — аккредитованная IT-компания. IT-льгота: страх. взносы ~7.6% выше порога + прочие ~7% = ~15% к gross. Ставка сущ. ниже стандарт. 30%</t>
  </si>
  <si>
    <t>Индексация ЗП (YoY)</t>
  </si>
  <si>
    <t>Рост рынка труда IT-специалистов ~10%/год (SuperJob 2025)</t>
  </si>
  <si>
    <t>TtM — TIME TO MARKET (ФАЗЫ РЕАЛИЗАЦИИ)</t>
  </si>
  <si>
    <t>Фаза 1: Discovery &amp; Design</t>
  </si>
  <si>
    <t>Тимлид + Аналитик + Дизайнер: scope, user research, wireframes, CPA-договоры</t>
  </si>
  <si>
    <t>Фаза 2: Development</t>
  </si>
  <si>
    <t>Вся команда 9 FTE: backend API (Bundle+CPA), frontend UI, mobile apps, QA-подготовка, MLOps инфра</t>
  </si>
  <si>
    <t>Фаза 3: QA &amp; Stabilization</t>
  </si>
  <si>
    <t>Тимлид + Backend×2 + QA + Аналитик: тестирование, баг-фикс, нагрузочные тесты, pre-launch review</t>
  </si>
  <si>
    <t>Фаза 4: A/B Launch &amp; Monitoring</t>
  </si>
  <si>
    <t>Тимлид + Backend×1 + QA + Аналитик: раскатка H1 10%/мес + H2 20%/мес, мониторинг метрик NSM</t>
  </si>
  <si>
    <t>Итого TtM (мес)</t>
  </si>
  <si>
    <t>Старт: янв 2026. Запуск: сент 2026. Буфер +15% → TtM консерв. ≤ 10 мес.</t>
  </si>
  <si>
    <t>Буфер рисков</t>
  </si>
  <si>
    <t>Риск задержки интеграции с Avito Доставка API + согласование бизнес-оферты CPA. Стандарт Avito: 10-15% буфер на внешние зависимости</t>
  </si>
  <si>
    <t>OPEX — ДОПОЛНИТЕЛЬНЫЕ ПАРАМЕТРЫ  (CAPEX = 0 — всё cloud-based)</t>
  </si>
  <si>
    <t>CoS: % от суммы доставленных заказов (Delivery GMV)</t>
  </si>
  <si>
    <t>Эквайринг ~1.5% GMV + комиссия партнёров Avito Доставка ~1% = 2.5%. Avito IT-льгота снижает банковские комиссии.</t>
  </si>
  <si>
    <t>IT-инфраструктура: полный год (тыс.руб)</t>
  </si>
  <si>
    <t>GPU-инстансы для AI Reco (IaaS, OPEX, без покупки серверов): 2 GPU-инст. × ~1.5 mln/год + MLOps pipeline + модельное хранилище ~2 mln/год. CAPEX = 0.</t>
  </si>
  <si>
    <t>IT-инфраструктура: 2026 (тыс.руб, частичный год)</t>
  </si>
  <si>
    <t>тыс.руб</t>
  </si>
  <si>
    <t>AI Reco запускается в сент-окт 2026 (~4 мес × 375 тыс./мес). Bundle/CPA — минимальная облачная нагрузка.</t>
  </si>
  <si>
    <t>Маркетинг: запуск 2026 (тыс.руб)</t>
  </si>
  <si>
    <t>Кампания среди продавцов: CPA onboarding, email/push, обучающий контент, A/B тест промо-материалов. Внутри Avito-экосистемы.</t>
  </si>
  <si>
    <t>Маркетинг: поддержка, год (тыс.руб)</t>
  </si>
  <si>
    <t>Регулярные активации: Bundle Adoption growth-кампании (цель 20%→100% MAU), продавческие бриф-сессии, ретаргетинг</t>
  </si>
  <si>
    <t>G&amp;A: 2026 (тыс.руб)</t>
  </si>
  <si>
    <t>Юр. сопровождение CPA-оферты (договор с продавцами), compliance, аллокация накладных на вертикаль Fashion.</t>
  </si>
  <si>
    <t>G&amp;A: поддержка, год (тыс.руб)</t>
  </si>
  <si>
    <t>Текущий compliance + регуляторная поддержка C2C + аллокация G&amp;A на вертикаль.</t>
  </si>
  <si>
    <t>Роль</t>
  </si>
  <si>
    <t>ЗП gross
(тыс.руб/год)</t>
  </si>
  <si>
    <t>Employer cost/yr
(тыс.руб)</t>
  </si>
  <si>
    <t>FTE
Фаза 1
(1 мес)</t>
  </si>
  <si>
    <t>FTE
Фаза 2
(4 мес)</t>
  </si>
  <si>
    <t>FTE
Фаза 3
(1.5 мес)</t>
  </si>
  <si>
    <t>FTE
Фаза 4
(1.5 мес)</t>
  </si>
  <si>
    <t>FTE
Поддержка
(ongoing)</t>
  </si>
  <si>
    <t>Tech Lead (Тимлид, Senior)</t>
  </si>
  <si>
    <t>Backend (Senior) × 2</t>
  </si>
  <si>
    <t>Frontend (Senior)</t>
  </si>
  <si>
    <t>iOS-разработчик (Senior)</t>
  </si>
  <si>
    <t>Android-разработчик (Senior)</t>
  </si>
  <si>
    <t>QA-инженер (Manual + Automation)</t>
  </si>
  <si>
    <t>Продуктовый дизайнер</t>
  </si>
  <si>
    <t>Продуктовый аналитик</t>
  </si>
  <si>
    <t>ИТОГО</t>
  </si>
  <si>
    <t>РАЗБИВКА ЗАТРАТ НА КОМАНДУ ПО ФАЗАМ (2026)</t>
  </si>
  <si>
    <t>Фаза</t>
  </si>
  <si>
    <t>Длит. (мес)</t>
  </si>
  <si>
    <t>Состав команды</t>
  </si>
  <si>
    <t>Стоимость (тыс.руб)</t>
  </si>
  <si>
    <t>% от бюджета разработки</t>
  </si>
  <si>
    <t>3 FTE: Тимлид + Дизайнер + Аналитик</t>
  </si>
  <si>
    <t>9 FTE (10 слотов): вся команда</t>
  </si>
  <si>
    <t>5 FTE: Тимлид + Backend×2 + QA + Аналитик</t>
  </si>
  <si>
    <t>4 FTE: Тимлид + Backend×1 + QA + Аналитик</t>
  </si>
  <si>
    <t>Поддержка (остаток 2026, 4 мес)</t>
  </si>
  <si>
    <t>3 FTE: Backend + QA×0.5 + Аналитик + Дизайнер×0.5</t>
  </si>
  <si>
    <t>ИТОГО бюджет команды 2026 (тыс.руб)</t>
  </si>
  <si>
    <t>Показатель</t>
  </si>
  <si>
    <t>ВЫРУЧКА — из Traction model ДЗ №3 (ссылки на лист «Traction model»)</t>
  </si>
  <si>
    <t xml:space="preserve">    Revenue AS IS (Baseline)</t>
  </si>
  <si>
    <t xml:space="preserve">    Revenue TO BE (Case Total с гипотезами)</t>
  </si>
  <si>
    <t xml:space="preserve">    Δ Increment Revenue (Case - Base)</t>
  </si>
  <si>
    <t xml:space="preserve">    Δ Increment Revenue %</t>
  </si>
  <si>
    <t>COST OF SALES (CoS) — переменные затраты, связанные с транзакциями</t>
  </si>
  <si>
    <t xml:space="preserve">    CoS — эквайринг + комиссии Avito Доставка</t>
  </si>
  <si>
    <t xml:space="preserve">  (Delivery GMV = Case GMV × Delivery Share; CoS rate = 2.5%)</t>
  </si>
  <si>
    <t>STAFF COSTS — затраты на персонал</t>
  </si>
  <si>
    <t>Staff Costs TOTAL (Фаза разработки + поддержка)</t>
  </si>
  <si>
    <t>IT COSTS — облачная инфраструктура (OPEX, без CAPEX)</t>
  </si>
  <si>
    <t>MARKETING COSTS</t>
  </si>
  <si>
    <t>G&amp;A COSTS (General &amp; Administrative)</t>
  </si>
  <si>
    <t xml:space="preserve">    G&amp;A (legal, compliance, аллокация накладных)</t>
  </si>
  <si>
    <t>TOTAL OPEX (CoS + Staff + IT + Marketing + G&amp;A)</t>
  </si>
  <si>
    <t>EBITDA (Revenue Case + Total OPEX)</t>
  </si>
  <si>
    <t>EBITDA Margin %</t>
  </si>
  <si>
    <t>YoY Revenue Growth (Case)</t>
  </si>
  <si>
    <t>—</t>
  </si>
  <si>
    <t>5Y Cumulative Increment Revenue (Case vs Base)</t>
  </si>
  <si>
    <t>← 5-летний прирост выручки от гипотез</t>
  </si>
  <si>
    <t>Прямой метод: суммируем фактические денежные притоки и оттоки. Поскольку нет CAPEX и D&amp;A ≈ 0, Operating CF ≈ EBITDA. Дебиторская задолженность минимальна (оплата онлайн, задержка ≤7 дней). NWC изменение незначительно (Avito — prepaid модель).</t>
  </si>
  <si>
    <t>Статья</t>
  </si>
  <si>
    <t>ДЕНЕЖНЫЕ ПРИТОКИ (Cash Inflows from Operating Activities)</t>
  </si>
  <si>
    <t>ИТОГО Денежные притоки</t>
  </si>
  <si>
    <t>ДЕНЕЖНЫЕ ОТТОКИ (Cash Outflows from Operating Activities)</t>
  </si>
  <si>
    <t>ИТОГО Денежные оттоки</t>
  </si>
  <si>
    <t>NET OPERATING CASH FLOW (Притоки + Оттоки)</t>
  </si>
  <si>
    <t>CF Margin (Net CF / Revenue Case)</t>
  </si>
  <si>
    <t>Cumulative CF (нарастающий итог)</t>
  </si>
  <si>
    <t>БЛОК ДОПУЩЕНИЙ — все входные параметры</t>
  </si>
  <si>
    <t xml:space="preserve">Гипотезы: Bundle Offers (H1) + AI Recommendations (H2) | Монетизация: Transactional 7% + CPA 5% </t>
  </si>
  <si>
    <t>TtM ВАРИАНТЫ: (1) БАЗОВЫЙ 8 мес — H1 и H2 разрабатываются параллельно, оптимальное соотношение скорость/стоимость. (2) КОНСЕРВАТИВНЫЙ 10 мес — буфер +15% на интеграции Avito Доставка и согласование CPA. (3) УСКОРЕННЫЙ 6 мес — аутсорс iOS/Android (+15% стоимость мобильной разработки). Выбран Вариант 1 как оптимальный.</t>
  </si>
  <si>
    <t>CAPEX = 0. Серверная инфраструктура — cloud IaaS (аренда, OPEX). Нет закупки оборудования, нет капитальных вложений. Все расходы операционные (OPEX) и отражены ниже.</t>
  </si>
  <si>
    <t>Marketing (запуск, онбординг продавцов, A/B тесты)</t>
  </si>
  <si>
    <t xml:space="preserve"> IT Infrastructure (GPU-инстансы, MLOps, cloud-based)</t>
  </si>
  <si>
    <t>в т.ч. Команда разработки (Dev+QA+Design, Фазы 1-4)</t>
  </si>
  <si>
    <t>в т.ч. Поддержка &amp; Оптимизация (ongoing)</t>
  </si>
  <si>
    <t>Поступления от покупателей (collections from buyers)</t>
  </si>
  <si>
    <t>Оплата онлайн через Avito — деньги холдируются до подтверждения доставки (~3-5 дней). Дисконт 0.1% = условный лаг AR. Для annualized PnL несущественен.</t>
  </si>
  <si>
    <t>Выплаты сотрудникам (salaries + social contrib.)</t>
  </si>
  <si>
    <t>Выплаты платёжным провайдерам и партнёрам (CoS)</t>
  </si>
  <si>
    <t>Выплаты облачным провайдерам (IT Infrastructure)</t>
  </si>
  <si>
    <t>Выплаты подрядчикам маркетинга</t>
  </si>
  <si>
    <t>Выплаты по G&amp;A (юр., compliance, G&amp;A)</t>
  </si>
  <si>
    <t>CASH FLOW — ПРЯМОЙ МЕТОД (Operating Cash Flow, Direct Method)</t>
  </si>
  <si>
    <t>ПРОГНОЗНЫЙ P&amp;L ДО EBITDA — 5 лет (Case Total with Hypotheses)</t>
  </si>
  <si>
    <t>ПЛАНИРОВАНИЕ КОМАНДЫ И TtM — численность, роли, стоимость по фазам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</si>
</sst>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"/>
    <numFmt numFmtId="166" formatCode="0.0"/>
  </numFmts>
  <fonts count="52">
    <font>
      <sz val="10"/>
      <color rgb="FF000000"/>
      <name val="Arial"/>
      <scheme val="minor"/>
    </font>
    <font>
      <b/>
      <sz val="16"/>
      <color theme="1"/>
      <name val="&quot;Arial&quot;"/>
    </font>
    <font>
      <sz val="16"/>
      <color theme="1"/>
      <name val="Arial"/>
      <family val="2"/>
      <scheme val="minor"/>
    </font>
    <font>
      <b/>
      <sz val="14"/>
      <color theme="1"/>
      <name val="&quot;Arial&quot;"/>
    </font>
    <font>
      <sz val="14"/>
      <color theme="1"/>
      <name val="Arial"/>
      <family val="2"/>
      <scheme val="minor"/>
    </font>
    <font>
      <sz val="11"/>
      <color theme="1"/>
      <name val="&quot;Arial&quot;"/>
    </font>
    <font>
      <sz val="11"/>
      <color theme="1"/>
      <name val="Arial"/>
      <family val="2"/>
      <scheme val="minor"/>
    </font>
    <font>
      <sz val="11"/>
      <color rgb="FF000000"/>
      <name val="&quot;Arial&quot;"/>
    </font>
    <font>
      <b/>
      <sz val="11"/>
      <color rgb="FF000000"/>
      <name val="&quot;Arial&quot;"/>
    </font>
    <font>
      <b/>
      <sz val="14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&quot;YS Text&quot;"/>
    </font>
    <font>
      <u/>
      <sz val="10"/>
      <color rgb="FF000000"/>
      <name val="&quot;YS Text&quot;"/>
    </font>
    <font>
      <sz val="10"/>
      <color theme="1"/>
      <name val="Arial"/>
      <family val="2"/>
      <scheme val="minor"/>
    </font>
    <font>
      <b/>
      <sz val="10"/>
      <color rgb="FF000000"/>
      <name val="&quot;YS Text&quot;"/>
    </font>
    <font>
      <sz val="10"/>
      <color rgb="FF000000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</font>
    <font>
      <sz val="10"/>
      <color theme="1"/>
      <name val="Calibri"/>
      <family val="2"/>
    </font>
    <font>
      <sz val="12"/>
      <color rgb="FF000000"/>
      <name val="Calibri"/>
      <family val="2"/>
    </font>
    <font>
      <sz val="12"/>
      <color rgb="FF000000"/>
      <name val="Arial"/>
      <family val="2"/>
    </font>
    <font>
      <b/>
      <sz val="12"/>
      <color rgb="FF000000"/>
      <name val="Calibri"/>
      <family val="2"/>
    </font>
    <font>
      <sz val="12"/>
      <color rgb="FF434343"/>
      <name val="Calibri"/>
      <family val="2"/>
    </font>
    <font>
      <sz val="12"/>
      <color rgb="FF434343"/>
      <name val="Arial"/>
      <family val="2"/>
    </font>
    <font>
      <sz val="10"/>
      <color rgb="FF729A1D"/>
      <name val="Arial"/>
      <family val="2"/>
    </font>
    <font>
      <b/>
      <sz val="12"/>
      <color rgb="FF434343"/>
      <name val="Calibri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  <scheme val="minor"/>
    </font>
    <font>
      <b/>
      <sz val="13"/>
      <color rgb="FFFFFFFF"/>
      <name val="Arial"/>
      <family val="2"/>
    </font>
    <font>
      <b/>
      <sz val="11"/>
      <color rgb="FFFFFFFF"/>
      <name val="Arial"/>
      <family val="2"/>
    </font>
    <font>
      <b/>
      <sz val="9"/>
      <color rgb="FF17375E"/>
      <name val="Arial"/>
      <family val="2"/>
    </font>
    <font>
      <sz val="9"/>
      <color rgb="FF000000"/>
      <name val="Arial"/>
      <family val="2"/>
    </font>
    <font>
      <sz val="9"/>
      <color rgb="FF595959"/>
      <name val="Arial"/>
      <family val="2"/>
    </font>
    <font>
      <b/>
      <sz val="9"/>
      <color rgb="FF000000"/>
      <name val="Arial"/>
      <family val="2"/>
    </font>
    <font>
      <b/>
      <sz val="8"/>
      <color rgb="FF17375E"/>
      <name val="Arial"/>
      <family val="2"/>
    </font>
    <font>
      <b/>
      <sz val="9"/>
      <name val="Arial"/>
      <family val="2"/>
    </font>
    <font>
      <sz val="8"/>
      <color rgb="FF000000"/>
      <name val="Arial"/>
      <family val="2"/>
    </font>
    <font>
      <sz val="9"/>
      <name val="Arial"/>
      <family val="2"/>
    </font>
    <font>
      <sz val="8"/>
      <color rgb="FF595959"/>
      <name val="Arial"/>
      <family val="2"/>
    </font>
    <font>
      <b/>
      <sz val="10"/>
      <color rgb="FF375623"/>
      <name val="Arial"/>
      <family val="2"/>
    </font>
    <font>
      <b/>
      <sz val="9"/>
      <color rgb="FF375623"/>
      <name val="Arial"/>
      <family val="2"/>
    </font>
    <font>
      <sz val="9"/>
      <color rgb="FFFFFFFF"/>
      <name val="Arial"/>
      <family val="2"/>
    </font>
    <font>
      <sz val="8"/>
      <color rgb="FF80808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F2F2F2"/>
        <bgColor rgb="FFF2F2F2"/>
      </patternFill>
    </fill>
    <fill>
      <patternFill patternType="solid">
        <fgColor rgb="FF548235"/>
        <bgColor rgb="FF548235"/>
      </patternFill>
    </fill>
    <fill>
      <patternFill patternType="solid">
        <fgColor rgb="FFE2EFDA"/>
        <bgColor rgb="FFE2EFDA"/>
      </patternFill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  <fill>
      <patternFill patternType="solid">
        <fgColor rgb="FFE2EFDA"/>
        <bgColor rgb="FFE2EFDA"/>
      </patternFill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2F5496"/>
        <bgColor rgb="FF2F5496"/>
      </patternFill>
    </fill>
    <fill>
      <patternFill patternType="solid">
        <fgColor rgb="FF8FAADC"/>
        <bgColor rgb="FF8FAADC"/>
      </patternFill>
    </fill>
    <fill>
      <patternFill patternType="solid">
        <fgColor rgb="FF9DC3E6"/>
        <bgColor rgb="FF9DC3E6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BDD7EE"/>
        <bgColor rgb="FFBDD7EE"/>
      </patternFill>
    </fill>
    <fill>
      <patternFill patternType="solid">
        <fgColor rgb="FFFFF0CD"/>
        <bgColor rgb="FFFFF0CD"/>
      </patternFill>
    </fill>
    <fill>
      <patternFill patternType="solid">
        <fgColor rgb="FFFCE4D6"/>
        <bgColor rgb="FFFCE4D6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9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2" borderId="0" xfId="0" applyFont="1" applyFill="1" applyAlignment="1">
      <alignment vertical="top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vertical="top"/>
    </xf>
    <xf numFmtId="0" fontId="8" fillId="0" borderId="0" xfId="0" applyFont="1"/>
    <xf numFmtId="0" fontId="6" fillId="0" borderId="0" xfId="0" applyFont="1" applyAlignment="1">
      <alignment wrapText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horizontal="right"/>
    </xf>
    <xf numFmtId="0" fontId="14" fillId="3" borderId="0" xfId="0" applyFont="1" applyFill="1" applyAlignment="1">
      <alignment horizontal="left"/>
    </xf>
    <xf numFmtId="0" fontId="15" fillId="3" borderId="0" xfId="0" applyFont="1" applyFill="1" applyAlignment="1">
      <alignment horizontal="left"/>
    </xf>
    <xf numFmtId="9" fontId="13" fillId="0" borderId="0" xfId="0" applyNumberFormat="1" applyFont="1" applyAlignment="1">
      <alignment horizontal="right"/>
    </xf>
    <xf numFmtId="0" fontId="16" fillId="3" borderId="0" xfId="0" applyFont="1" applyFill="1" applyAlignment="1">
      <alignment horizontal="left"/>
    </xf>
    <xf numFmtId="49" fontId="13" fillId="0" borderId="0" xfId="0" applyNumberFormat="1" applyFont="1" applyAlignment="1">
      <alignment horizontal="right"/>
    </xf>
    <xf numFmtId="10" fontId="13" fillId="0" borderId="0" xfId="0" applyNumberFormat="1" applyFont="1" applyAlignment="1">
      <alignment horizontal="right"/>
    </xf>
    <xf numFmtId="0" fontId="17" fillId="3" borderId="0" xfId="0" applyFont="1" applyFill="1" applyAlignment="1">
      <alignment horizontal="left"/>
    </xf>
    <xf numFmtId="164" fontId="13" fillId="0" borderId="0" xfId="0" applyNumberFormat="1" applyFont="1" applyAlignment="1">
      <alignment horizontal="right"/>
    </xf>
    <xf numFmtId="0" fontId="18" fillId="0" borderId="0" xfId="0" applyFont="1"/>
    <xf numFmtId="0" fontId="19" fillId="3" borderId="0" xfId="0" applyFont="1" applyFill="1" applyAlignment="1">
      <alignment horizontal="left"/>
    </xf>
    <xf numFmtId="0" fontId="20" fillId="3" borderId="0" xfId="0" applyFont="1" applyFill="1" applyAlignment="1">
      <alignment horizontal="right"/>
    </xf>
    <xf numFmtId="0" fontId="13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20" fillId="0" borderId="0" xfId="0" applyFont="1" applyAlignment="1">
      <alignment horizontal="right"/>
    </xf>
    <xf numFmtId="0" fontId="22" fillId="0" borderId="0" xfId="0" applyFont="1" applyAlignment="1">
      <alignment wrapText="1"/>
    </xf>
    <xf numFmtId="0" fontId="23" fillId="4" borderId="0" xfId="0" applyFont="1" applyFill="1"/>
    <xf numFmtId="0" fontId="23" fillId="0" borderId="0" xfId="0" applyFont="1"/>
    <xf numFmtId="0" fontId="24" fillId="4" borderId="6" xfId="0" applyFont="1" applyFill="1" applyBorder="1" applyAlignment="1">
      <alignment horizontal="center"/>
    </xf>
    <xf numFmtId="9" fontId="25" fillId="5" borderId="4" xfId="0" applyNumberFormat="1" applyFont="1" applyFill="1" applyBorder="1" applyAlignment="1">
      <alignment horizontal="center"/>
    </xf>
    <xf numFmtId="9" fontId="25" fillId="5" borderId="6" xfId="0" applyNumberFormat="1" applyFont="1" applyFill="1" applyBorder="1" applyAlignment="1">
      <alignment horizontal="center"/>
    </xf>
    <xf numFmtId="9" fontId="25" fillId="6" borderId="6" xfId="0" applyNumberFormat="1" applyFont="1" applyFill="1" applyBorder="1" applyAlignment="1">
      <alignment horizontal="right" wrapText="1"/>
    </xf>
    <xf numFmtId="0" fontId="23" fillId="0" borderId="6" xfId="0" applyFont="1" applyBorder="1" applyAlignment="1">
      <alignment vertical="top" wrapText="1"/>
    </xf>
    <xf numFmtId="0" fontId="26" fillId="7" borderId="0" xfId="0" applyFont="1" applyFill="1" applyAlignment="1">
      <alignment wrapText="1"/>
    </xf>
    <xf numFmtId="0" fontId="26" fillId="8" borderId="0" xfId="0" applyFont="1" applyFill="1"/>
    <xf numFmtId="0" fontId="26" fillId="0" borderId="0" xfId="0" applyFont="1"/>
    <xf numFmtId="0" fontId="27" fillId="9" borderId="0" xfId="0" applyFont="1" applyFill="1"/>
    <xf numFmtId="0" fontId="27" fillId="9" borderId="7" xfId="0" applyFont="1" applyFill="1" applyBorder="1" applyAlignment="1">
      <alignment horizontal="center"/>
    </xf>
    <xf numFmtId="0" fontId="27" fillId="9" borderId="0" xfId="0" applyFont="1" applyFill="1" applyAlignment="1">
      <alignment horizontal="center"/>
    </xf>
    <xf numFmtId="0" fontId="27" fillId="0" borderId="0" xfId="0" applyFont="1" applyAlignment="1">
      <alignment horizontal="center"/>
    </xf>
    <xf numFmtId="0" fontId="26" fillId="9" borderId="0" xfId="0" applyFont="1" applyFill="1"/>
    <xf numFmtId="0" fontId="27" fillId="9" borderId="8" xfId="0" applyFont="1" applyFill="1" applyBorder="1" applyAlignment="1">
      <alignment horizontal="center"/>
    </xf>
    <xf numFmtId="0" fontId="27" fillId="0" borderId="0" xfId="0" applyFont="1"/>
    <xf numFmtId="0" fontId="28" fillId="10" borderId="0" xfId="0" applyFont="1" applyFill="1"/>
    <xf numFmtId="0" fontId="26" fillId="10" borderId="0" xfId="0" applyFont="1" applyFill="1"/>
    <xf numFmtId="0" fontId="28" fillId="0" borderId="9" xfId="0" applyFont="1" applyBorder="1"/>
    <xf numFmtId="0" fontId="26" fillId="0" borderId="10" xfId="0" applyFont="1" applyBorder="1"/>
    <xf numFmtId="0" fontId="26" fillId="0" borderId="9" xfId="0" applyFont="1" applyBorder="1" applyAlignment="1">
      <alignment horizontal="right"/>
    </xf>
    <xf numFmtId="0" fontId="26" fillId="0" borderId="10" xfId="0" applyFont="1" applyBorder="1" applyAlignment="1">
      <alignment horizontal="right"/>
    </xf>
    <xf numFmtId="0" fontId="29" fillId="0" borderId="1" xfId="0" applyFont="1" applyBorder="1" applyAlignment="1">
      <alignment horizontal="right"/>
    </xf>
    <xf numFmtId="0" fontId="15" fillId="0" borderId="7" xfId="0" applyFont="1" applyBorder="1"/>
    <xf numFmtId="0" fontId="26" fillId="0" borderId="8" xfId="0" applyFont="1" applyBorder="1"/>
    <xf numFmtId="0" fontId="26" fillId="0" borderId="7" xfId="0" applyFont="1" applyBorder="1" applyAlignment="1">
      <alignment horizontal="right"/>
    </xf>
    <xf numFmtId="0" fontId="26" fillId="0" borderId="0" xfId="0" applyFont="1" applyAlignment="1">
      <alignment horizontal="right"/>
    </xf>
    <xf numFmtId="0" fontId="26" fillId="0" borderId="8" xfId="0" applyFont="1" applyBorder="1" applyAlignment="1">
      <alignment horizontal="right"/>
    </xf>
    <xf numFmtId="0" fontId="30" fillId="0" borderId="11" xfId="0" applyFont="1" applyBorder="1" applyAlignment="1">
      <alignment horizontal="center"/>
    </xf>
    <xf numFmtId="0" fontId="27" fillId="0" borderId="11" xfId="0" applyFont="1" applyBorder="1" applyAlignment="1">
      <alignment horizontal="center"/>
    </xf>
    <xf numFmtId="0" fontId="28" fillId="0" borderId="7" xfId="0" applyFont="1" applyBorder="1"/>
    <xf numFmtId="0" fontId="29" fillId="0" borderId="11" xfId="0" applyFont="1" applyBorder="1" applyAlignment="1">
      <alignment horizontal="right"/>
    </xf>
    <xf numFmtId="0" fontId="26" fillId="0" borderId="11" xfId="0" applyFont="1" applyBorder="1"/>
    <xf numFmtId="0" fontId="31" fillId="0" borderId="0" xfId="0" applyFont="1" applyAlignment="1">
      <alignment horizontal="right"/>
    </xf>
    <xf numFmtId="0" fontId="15" fillId="0" borderId="12" xfId="0" applyFont="1" applyBorder="1"/>
    <xf numFmtId="0" fontId="26" fillId="0" borderId="13" xfId="0" applyFont="1" applyBorder="1"/>
    <xf numFmtId="0" fontId="26" fillId="0" borderId="12" xfId="0" applyFont="1" applyBorder="1"/>
    <xf numFmtId="0" fontId="26" fillId="0" borderId="14" xfId="0" applyFont="1" applyBorder="1"/>
    <xf numFmtId="0" fontId="29" fillId="0" borderId="5" xfId="0" applyFont="1" applyBorder="1"/>
    <xf numFmtId="0" fontId="26" fillId="0" borderId="5" xfId="0" applyFont="1" applyBorder="1"/>
    <xf numFmtId="0" fontId="26" fillId="0" borderId="0" xfId="0" applyFont="1" applyAlignment="1">
      <alignment horizontal="left" wrapText="1"/>
    </xf>
    <xf numFmtId="0" fontId="29" fillId="0" borderId="0" xfId="0" applyFont="1"/>
    <xf numFmtId="10" fontId="26" fillId="10" borderId="0" xfId="0" applyNumberFormat="1" applyFont="1" applyFill="1" applyAlignment="1">
      <alignment horizontal="right"/>
    </xf>
    <xf numFmtId="0" fontId="28" fillId="0" borderId="2" xfId="0" applyFont="1" applyBorder="1"/>
    <xf numFmtId="0" fontId="26" fillId="0" borderId="3" xfId="0" applyFont="1" applyBorder="1"/>
    <xf numFmtId="9" fontId="26" fillId="0" borderId="3" xfId="0" applyNumberFormat="1" applyFont="1" applyBorder="1"/>
    <xf numFmtId="0" fontId="28" fillId="0" borderId="0" xfId="0" applyFont="1"/>
    <xf numFmtId="0" fontId="28" fillId="0" borderId="0" xfId="0" applyFont="1" applyAlignment="1">
      <alignment horizontal="right"/>
    </xf>
    <xf numFmtId="0" fontId="32" fillId="0" borderId="0" xfId="0" applyFont="1" applyAlignment="1">
      <alignment horizontal="right"/>
    </xf>
    <xf numFmtId="165" fontId="26" fillId="0" borderId="10" xfId="0" applyNumberFormat="1" applyFont="1" applyBorder="1" applyAlignment="1">
      <alignment horizontal="right"/>
    </xf>
    <xf numFmtId="0" fontId="32" fillId="0" borderId="1" xfId="0" applyFont="1" applyBorder="1" applyAlignment="1">
      <alignment horizontal="right"/>
    </xf>
    <xf numFmtId="0" fontId="26" fillId="0" borderId="7" xfId="0" applyFont="1" applyBorder="1"/>
    <xf numFmtId="1" fontId="26" fillId="0" borderId="7" xfId="0" applyNumberFormat="1" applyFont="1" applyBorder="1"/>
    <xf numFmtId="1" fontId="26" fillId="0" borderId="0" xfId="0" applyNumberFormat="1" applyFont="1"/>
    <xf numFmtId="1" fontId="26" fillId="0" borderId="8" xfId="0" applyNumberFormat="1" applyFont="1" applyBorder="1"/>
    <xf numFmtId="0" fontId="28" fillId="0" borderId="7" xfId="0" applyFont="1" applyBorder="1" applyAlignment="1">
      <alignment horizontal="left"/>
    </xf>
    <xf numFmtId="9" fontId="26" fillId="0" borderId="0" xfId="0" applyNumberFormat="1" applyFont="1" applyAlignment="1">
      <alignment horizontal="right"/>
    </xf>
    <xf numFmtId="9" fontId="26" fillId="0" borderId="8" xfId="0" applyNumberFormat="1" applyFont="1" applyBorder="1" applyAlignment="1">
      <alignment horizontal="right"/>
    </xf>
    <xf numFmtId="164" fontId="28" fillId="0" borderId="11" xfId="0" applyNumberFormat="1" applyFont="1" applyBorder="1" applyAlignment="1">
      <alignment horizontal="right"/>
    </xf>
    <xf numFmtId="2" fontId="26" fillId="0" borderId="0" xfId="0" applyNumberFormat="1" applyFont="1" applyAlignment="1">
      <alignment horizontal="right"/>
    </xf>
    <xf numFmtId="2" fontId="26" fillId="0" borderId="8" xfId="0" applyNumberFormat="1" applyFont="1" applyBorder="1" applyAlignment="1">
      <alignment horizontal="right"/>
    </xf>
    <xf numFmtId="0" fontId="28" fillId="0" borderId="11" xfId="0" applyFont="1" applyBorder="1" applyAlignment="1">
      <alignment horizontal="right"/>
    </xf>
    <xf numFmtId="0" fontId="32" fillId="0" borderId="11" xfId="0" applyFont="1" applyBorder="1" applyAlignment="1">
      <alignment horizontal="right"/>
    </xf>
    <xf numFmtId="0" fontId="27" fillId="3" borderId="0" xfId="0" applyFont="1" applyFill="1"/>
    <xf numFmtId="2" fontId="28" fillId="0" borderId="7" xfId="0" applyNumberFormat="1" applyFont="1" applyBorder="1" applyAlignment="1">
      <alignment horizontal="left"/>
    </xf>
    <xf numFmtId="2" fontId="26" fillId="0" borderId="8" xfId="0" applyNumberFormat="1" applyFont="1" applyBorder="1"/>
    <xf numFmtId="2" fontId="26" fillId="0" borderId="0" xfId="0" applyNumberFormat="1" applyFont="1"/>
    <xf numFmtId="2" fontId="32" fillId="0" borderId="11" xfId="0" applyNumberFormat="1" applyFont="1" applyBorder="1" applyAlignment="1">
      <alignment horizontal="right"/>
    </xf>
    <xf numFmtId="9" fontId="32" fillId="0" borderId="11" xfId="0" applyNumberFormat="1" applyFont="1" applyBorder="1" applyAlignment="1">
      <alignment horizontal="right"/>
    </xf>
    <xf numFmtId="9" fontId="26" fillId="0" borderId="0" xfId="0" applyNumberFormat="1" applyFont="1"/>
    <xf numFmtId="9" fontId="26" fillId="0" borderId="8" xfId="0" applyNumberFormat="1" applyFont="1" applyBorder="1"/>
    <xf numFmtId="0" fontId="28" fillId="0" borderId="12" xfId="0" applyFont="1" applyBorder="1" applyAlignment="1">
      <alignment horizontal="left"/>
    </xf>
    <xf numFmtId="2" fontId="26" fillId="0" borderId="14" xfId="0" applyNumberFormat="1" applyFont="1" applyBorder="1" applyAlignment="1">
      <alignment horizontal="right"/>
    </xf>
    <xf numFmtId="2" fontId="26" fillId="0" borderId="13" xfId="0" applyNumberFormat="1" applyFont="1" applyBorder="1" applyAlignment="1">
      <alignment horizontal="right"/>
    </xf>
    <xf numFmtId="2" fontId="32" fillId="0" borderId="5" xfId="0" applyNumberFormat="1" applyFont="1" applyBorder="1" applyAlignment="1">
      <alignment horizontal="right"/>
    </xf>
    <xf numFmtId="0" fontId="24" fillId="10" borderId="0" xfId="0" applyFont="1" applyFill="1"/>
    <xf numFmtId="0" fontId="18" fillId="10" borderId="0" xfId="0" applyFont="1" applyFill="1"/>
    <xf numFmtId="9" fontId="18" fillId="0" borderId="0" xfId="0" applyNumberFormat="1" applyFont="1"/>
    <xf numFmtId="9" fontId="23" fillId="0" borderId="0" xfId="0" applyNumberFormat="1" applyFont="1" applyAlignment="1">
      <alignment horizontal="right"/>
    </xf>
    <xf numFmtId="165" fontId="26" fillId="0" borderId="9" xfId="0" applyNumberFormat="1" applyFont="1" applyBorder="1" applyAlignment="1">
      <alignment horizontal="right"/>
    </xf>
    <xf numFmtId="0" fontId="33" fillId="0" borderId="0" xfId="0" applyFont="1"/>
    <xf numFmtId="0" fontId="34" fillId="4" borderId="0" xfId="0" applyFont="1" applyFill="1"/>
    <xf numFmtId="0" fontId="33" fillId="4" borderId="6" xfId="0" applyFont="1" applyFill="1" applyBorder="1" applyAlignment="1">
      <alignment horizontal="center"/>
    </xf>
    <xf numFmtId="0" fontId="25" fillId="0" borderId="6" xfId="0" applyFont="1" applyBorder="1" applyAlignment="1">
      <alignment vertical="top" wrapText="1"/>
    </xf>
    <xf numFmtId="0" fontId="23" fillId="0" borderId="0" xfId="0" applyFont="1" applyAlignment="1">
      <alignment vertical="top" wrapText="1"/>
    </xf>
    <xf numFmtId="0" fontId="34" fillId="0" borderId="0" xfId="0" applyFont="1"/>
    <xf numFmtId="0" fontId="35" fillId="11" borderId="0" xfId="0" applyFont="1" applyFill="1"/>
    <xf numFmtId="0" fontId="0" fillId="12" borderId="0" xfId="0" applyFill="1"/>
    <xf numFmtId="0" fontId="0" fillId="0" borderId="0" xfId="0" applyAlignment="1">
      <alignment vertical="top" wrapText="1"/>
    </xf>
    <xf numFmtId="164" fontId="0" fillId="0" borderId="0" xfId="0" applyNumberFormat="1"/>
    <xf numFmtId="164" fontId="0" fillId="13" borderId="0" xfId="0" applyNumberFormat="1" applyFill="1"/>
    <xf numFmtId="0" fontId="0" fillId="13" borderId="0" xfId="0" applyFill="1"/>
    <xf numFmtId="0" fontId="36" fillId="0" borderId="0" xfId="0" applyFont="1" applyAlignment="1">
      <alignment vertical="top" wrapText="1"/>
    </xf>
    <xf numFmtId="0" fontId="36" fillId="12" borderId="0" xfId="0" applyFont="1" applyFill="1"/>
    <xf numFmtId="0" fontId="13" fillId="0" borderId="6" xfId="0" applyFont="1" applyBorder="1" applyAlignment="1">
      <alignment vertical="top" wrapText="1"/>
    </xf>
    <xf numFmtId="0" fontId="39" fillId="17" borderId="15" xfId="0" applyFont="1" applyFill="1" applyBorder="1" applyAlignment="1">
      <alignment horizontal="center" vertical="center"/>
    </xf>
    <xf numFmtId="0" fontId="40" fillId="0" borderId="15" xfId="0" applyFont="1" applyBorder="1" applyAlignment="1">
      <alignment horizontal="left" vertical="center" wrapText="1"/>
    </xf>
    <xf numFmtId="0" fontId="40" fillId="19" borderId="15" xfId="0" applyFont="1" applyFill="1" applyBorder="1" applyAlignment="1">
      <alignment horizontal="center" vertical="center"/>
    </xf>
    <xf numFmtId="0" fontId="41" fillId="0" borderId="15" xfId="0" applyFont="1" applyBorder="1" applyAlignment="1">
      <alignment horizontal="center" vertical="center"/>
    </xf>
    <xf numFmtId="9" fontId="40" fillId="19" borderId="15" xfId="0" applyNumberFormat="1" applyFont="1" applyFill="1" applyBorder="1" applyAlignment="1">
      <alignment horizontal="center" vertical="center"/>
    </xf>
    <xf numFmtId="10" fontId="40" fillId="19" borderId="15" xfId="0" applyNumberFormat="1" applyFont="1" applyFill="1" applyBorder="1" applyAlignment="1">
      <alignment horizontal="center" vertical="center"/>
    </xf>
    <xf numFmtId="3" fontId="40" fillId="19" borderId="15" xfId="0" applyNumberFormat="1" applyFont="1" applyFill="1" applyBorder="1" applyAlignment="1">
      <alignment horizontal="center" vertical="center"/>
    </xf>
    <xf numFmtId="164" fontId="40" fillId="19" borderId="15" xfId="0" applyNumberFormat="1" applyFont="1" applyFill="1" applyBorder="1" applyAlignment="1">
      <alignment horizontal="center" vertical="center"/>
    </xf>
    <xf numFmtId="0" fontId="42" fillId="0" borderId="15" xfId="0" applyFont="1" applyBorder="1" applyAlignment="1">
      <alignment horizontal="left" vertical="center"/>
    </xf>
    <xf numFmtId="166" fontId="42" fillId="20" borderId="15" xfId="0" applyNumberFormat="1" applyFont="1" applyFill="1" applyBorder="1" applyAlignment="1">
      <alignment horizontal="center" vertical="center"/>
    </xf>
    <xf numFmtId="0" fontId="43" fillId="17" borderId="15" xfId="0" applyFont="1" applyFill="1" applyBorder="1" applyAlignment="1">
      <alignment horizontal="center" vertical="center" wrapText="1"/>
    </xf>
    <xf numFmtId="0" fontId="40" fillId="0" borderId="15" xfId="0" applyFont="1" applyBorder="1" applyAlignment="1">
      <alignment horizontal="left" vertical="center"/>
    </xf>
    <xf numFmtId="3" fontId="40" fillId="0" borderId="15" xfId="0" applyNumberFormat="1" applyFont="1" applyBorder="1" applyAlignment="1">
      <alignment horizontal="center" vertical="center"/>
    </xf>
    <xf numFmtId="0" fontId="40" fillId="0" borderId="15" xfId="0" applyFont="1" applyBorder="1" applyAlignment="1">
      <alignment horizontal="center" vertical="center"/>
    </xf>
    <xf numFmtId="0" fontId="42" fillId="20" borderId="15" xfId="0" applyFont="1" applyFill="1" applyBorder="1" applyAlignment="1">
      <alignment horizontal="left" vertical="center"/>
    </xf>
    <xf numFmtId="3" fontId="44" fillId="20" borderId="15" xfId="0" applyNumberFormat="1" applyFont="1" applyFill="1" applyBorder="1" applyAlignment="1">
      <alignment horizontal="center"/>
    </xf>
    <xf numFmtId="0" fontId="44" fillId="20" borderId="15" xfId="0" applyFont="1" applyFill="1" applyBorder="1" applyAlignment="1">
      <alignment horizontal="center"/>
    </xf>
    <xf numFmtId="166" fontId="40" fillId="0" borderId="15" xfId="0" applyNumberFormat="1" applyFont="1" applyBorder="1" applyAlignment="1">
      <alignment horizontal="center" vertical="center"/>
    </xf>
    <xf numFmtId="0" fontId="45" fillId="0" borderId="15" xfId="0" applyFont="1" applyBorder="1" applyAlignment="1">
      <alignment horizontal="left" vertical="center" wrapText="1"/>
    </xf>
    <xf numFmtId="3" fontId="40" fillId="0" borderId="15" xfId="0" applyNumberFormat="1" applyFont="1" applyBorder="1" applyAlignment="1">
      <alignment horizontal="right" vertical="center"/>
    </xf>
    <xf numFmtId="9" fontId="46" fillId="0" borderId="15" xfId="0" applyNumberFormat="1" applyFont="1" applyBorder="1" applyAlignment="1">
      <alignment horizontal="center"/>
    </xf>
    <xf numFmtId="3" fontId="42" fillId="20" borderId="15" xfId="0" applyNumberFormat="1" applyFont="1" applyFill="1" applyBorder="1" applyAlignment="1">
      <alignment horizontal="right" vertical="center"/>
    </xf>
    <xf numFmtId="0" fontId="38" fillId="14" borderId="15" xfId="0" applyFont="1" applyFill="1" applyBorder="1" applyAlignment="1">
      <alignment horizontal="center" vertical="center"/>
    </xf>
    <xf numFmtId="0" fontId="40" fillId="19" borderId="15" xfId="0" applyFont="1" applyFill="1" applyBorder="1" applyAlignment="1">
      <alignment horizontal="left" vertical="center" wrapText="1"/>
    </xf>
    <xf numFmtId="0" fontId="47" fillId="0" borderId="15" xfId="0" applyFont="1" applyBorder="1" applyAlignment="1">
      <alignment horizontal="center" vertical="center"/>
    </xf>
    <xf numFmtId="3" fontId="46" fillId="19" borderId="15" xfId="0" applyNumberFormat="1" applyFont="1" applyFill="1" applyBorder="1" applyAlignment="1">
      <alignment horizontal="right"/>
    </xf>
    <xf numFmtId="0" fontId="42" fillId="19" borderId="15" xfId="0" applyFont="1" applyFill="1" applyBorder="1" applyAlignment="1">
      <alignment horizontal="left" vertical="center" wrapText="1"/>
    </xf>
    <xf numFmtId="3" fontId="44" fillId="19" borderId="15" xfId="0" applyNumberFormat="1" applyFont="1" applyFill="1" applyBorder="1" applyAlignment="1">
      <alignment horizontal="right"/>
    </xf>
    <xf numFmtId="0" fontId="40" fillId="24" borderId="15" xfId="0" applyFont="1" applyFill="1" applyBorder="1" applyAlignment="1">
      <alignment horizontal="left" vertical="center" wrapText="1"/>
    </xf>
    <xf numFmtId="3" fontId="46" fillId="24" borderId="15" xfId="0" applyNumberFormat="1" applyFont="1" applyFill="1" applyBorder="1" applyAlignment="1">
      <alignment horizontal="right"/>
    </xf>
    <xf numFmtId="164" fontId="46" fillId="24" borderId="15" xfId="0" applyNumberFormat="1" applyFont="1" applyFill="1" applyBorder="1" applyAlignment="1">
      <alignment horizontal="right"/>
    </xf>
    <xf numFmtId="0" fontId="40" fillId="25" borderId="15" xfId="0" applyFont="1" applyFill="1" applyBorder="1" applyAlignment="1">
      <alignment horizontal="left" vertical="center" wrapText="1"/>
    </xf>
    <xf numFmtId="3" fontId="46" fillId="0" borderId="15" xfId="0" applyNumberFormat="1" applyFont="1" applyBorder="1" applyAlignment="1">
      <alignment horizontal="right"/>
    </xf>
    <xf numFmtId="0" fontId="42" fillId="25" borderId="15" xfId="0" applyFont="1" applyFill="1" applyBorder="1" applyAlignment="1">
      <alignment horizontal="left" vertical="center" wrapText="1"/>
    </xf>
    <xf numFmtId="3" fontId="44" fillId="0" borderId="15" xfId="0" applyNumberFormat="1" applyFont="1" applyBorder="1" applyAlignment="1">
      <alignment horizontal="right"/>
    </xf>
    <xf numFmtId="0" fontId="42" fillId="20" borderId="15" xfId="0" applyFont="1" applyFill="1" applyBorder="1" applyAlignment="1">
      <alignment horizontal="left" vertical="center" wrapText="1"/>
    </xf>
    <xf numFmtId="3" fontId="44" fillId="20" borderId="15" xfId="0" applyNumberFormat="1" applyFont="1" applyFill="1" applyBorder="1" applyAlignment="1">
      <alignment horizontal="right"/>
    </xf>
    <xf numFmtId="0" fontId="42" fillId="26" borderId="15" xfId="0" applyFont="1" applyFill="1" applyBorder="1" applyAlignment="1">
      <alignment horizontal="left" vertical="center" wrapText="1"/>
    </xf>
    <xf numFmtId="3" fontId="48" fillId="26" borderId="15" xfId="0" applyNumberFormat="1" applyFont="1" applyFill="1" applyBorder="1" applyAlignment="1">
      <alignment horizontal="right"/>
    </xf>
    <xf numFmtId="0" fontId="40" fillId="26" borderId="15" xfId="0" applyFont="1" applyFill="1" applyBorder="1" applyAlignment="1">
      <alignment horizontal="left" vertical="center" wrapText="1"/>
    </xf>
    <xf numFmtId="164" fontId="49" fillId="26" borderId="15" xfId="0" applyNumberFormat="1" applyFont="1" applyFill="1" applyBorder="1" applyAlignment="1">
      <alignment horizontal="right"/>
    </xf>
    <xf numFmtId="0" fontId="42" fillId="24" borderId="15" xfId="0" applyFont="1" applyFill="1" applyBorder="1" applyAlignment="1">
      <alignment horizontal="left" vertical="center" wrapText="1"/>
    </xf>
    <xf numFmtId="3" fontId="44" fillId="24" borderId="15" xfId="0" applyNumberFormat="1" applyFont="1" applyFill="1" applyBorder="1" applyAlignment="1">
      <alignment horizontal="right"/>
    </xf>
    <xf numFmtId="3" fontId="44" fillId="26" borderId="15" xfId="0" applyNumberFormat="1" applyFont="1" applyFill="1" applyBorder="1" applyAlignment="1">
      <alignment horizontal="right"/>
    </xf>
    <xf numFmtId="0" fontId="42" fillId="23" borderId="15" xfId="0" applyFont="1" applyFill="1" applyBorder="1" applyAlignment="1">
      <alignment horizontal="left" vertical="center" wrapText="1"/>
    </xf>
    <xf numFmtId="3" fontId="44" fillId="23" borderId="15" xfId="0" applyNumberFormat="1" applyFont="1" applyFill="1" applyBorder="1" applyAlignment="1">
      <alignment horizontal="right"/>
    </xf>
    <xf numFmtId="164" fontId="46" fillId="26" borderId="15" xfId="0" applyNumberFormat="1" applyFont="1" applyFill="1" applyBorder="1" applyAlignment="1">
      <alignment horizontal="right"/>
    </xf>
    <xf numFmtId="0" fontId="39" fillId="21" borderId="15" xfId="0" applyFont="1" applyFill="1" applyBorder="1" applyAlignment="1">
      <alignment horizontal="left" vertical="center"/>
    </xf>
    <xf numFmtId="0" fontId="39" fillId="17" borderId="15" xfId="0" applyFont="1" applyFill="1" applyBorder="1" applyAlignment="1">
      <alignment horizontal="center" vertical="center"/>
    </xf>
    <xf numFmtId="0" fontId="39" fillId="18" borderId="15" xfId="0" applyFont="1" applyFill="1" applyBorder="1" applyAlignment="1">
      <alignment horizontal="left" vertical="center"/>
    </xf>
    <xf numFmtId="0" fontId="38" fillId="16" borderId="0" xfId="0" applyFont="1" applyFill="1" applyAlignment="1">
      <alignment horizontal="center" vertical="center"/>
    </xf>
    <xf numFmtId="0" fontId="37" fillId="14" borderId="0" xfId="0" applyFont="1" applyFill="1" applyAlignment="1">
      <alignment horizontal="center" vertical="center"/>
    </xf>
    <xf numFmtId="0" fontId="39" fillId="15" borderId="15" xfId="0" applyFont="1" applyFill="1" applyBorder="1" applyAlignment="1">
      <alignment horizontal="left" vertical="center"/>
    </xf>
    <xf numFmtId="0" fontId="36" fillId="0" borderId="0" xfId="0" applyFont="1"/>
    <xf numFmtId="0" fontId="36" fillId="0" borderId="0" xfId="0" applyFont="1"/>
    <xf numFmtId="0" fontId="50" fillId="15" borderId="0" xfId="0" applyFont="1" applyFill="1" applyAlignment="1">
      <alignment horizontal="center" vertical="center"/>
    </xf>
    <xf numFmtId="0" fontId="47" fillId="0" borderId="15" xfId="0" applyFont="1" applyBorder="1" applyAlignment="1">
      <alignment horizontal="left" vertical="center" wrapText="1"/>
    </xf>
    <xf numFmtId="0" fontId="47" fillId="0" borderId="15" xfId="0" applyFont="1" applyBorder="1" applyAlignment="1">
      <alignment horizontal="left" vertical="center"/>
    </xf>
    <xf numFmtId="0" fontId="45" fillId="22" borderId="15" xfId="0" applyFont="1" applyFill="1" applyBorder="1" applyAlignment="1">
      <alignment horizontal="left" vertical="center" wrapText="1"/>
    </xf>
    <xf numFmtId="0" fontId="45" fillId="23" borderId="15" xfId="0" applyFont="1" applyFill="1" applyBorder="1" applyAlignment="1">
      <alignment horizontal="left" vertical="center" wrapText="1"/>
    </xf>
    <xf numFmtId="0" fontId="35" fillId="14" borderId="15" xfId="0" applyFont="1" applyFill="1" applyBorder="1" applyAlignment="1">
      <alignment horizontal="left" vertical="center"/>
    </xf>
    <xf numFmtId="0" fontId="35" fillId="14" borderId="15" xfId="0" applyFont="1" applyFill="1" applyBorder="1" applyAlignment="1">
      <alignment horizontal="center" vertical="center"/>
    </xf>
    <xf numFmtId="0" fontId="51" fillId="25" borderId="15" xfId="0" applyFont="1" applyFill="1" applyBorder="1" applyAlignment="1">
      <alignment horizontal="left" vertical="center" wrapText="1"/>
    </xf>
    <xf numFmtId="49" fontId="46" fillId="0" borderId="15" xfId="0" applyNumberFormat="1" applyFont="1" applyBorder="1" applyAlignment="1">
      <alignment horizontal="right"/>
    </xf>
    <xf numFmtId="3" fontId="41" fillId="24" borderId="15" xfId="0" applyNumberFormat="1" applyFont="1" applyFill="1" applyBorder="1" applyAlignment="1">
      <alignment horizontal="right"/>
    </xf>
    <xf numFmtId="0" fontId="45" fillId="0" borderId="15" xfId="0" applyFont="1" applyBorder="1" applyAlignment="1">
      <alignment horizontal="left" vertical="center"/>
    </xf>
    <xf numFmtId="0" fontId="36" fillId="0" borderId="0" xfId="0" applyFont="1" applyFill="1"/>
    <xf numFmtId="0" fontId="36" fillId="0" borderId="0" xfId="0" applyFont="1" applyFill="1"/>
    <xf numFmtId="0" fontId="39" fillId="0" borderId="15" xfId="0" applyFont="1" applyFill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LTV </a:t>
            </a:r>
            <a:r>
              <a:rPr lang="ru-RU"/>
              <a:t>при разном </a:t>
            </a:r>
            <a:r>
              <a:rPr lang="en-US"/>
              <a:t>Monthly Retention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3.8805555555555558E-2"/>
          <c:y val="5.8796296296296296E-3"/>
          <c:w val="0.96119444444444446"/>
          <c:h val="0.93532407407407403"/>
        </c:manualLayout>
      </c:layout>
      <c:lineChart>
        <c:grouping val="standard"/>
        <c:varyColors val="1"/>
        <c:ser>
          <c:idx val="0"/>
          <c:order val="0"/>
          <c:tx>
            <c:strRef>
              <c:f>'Монетизация и юнит'!$C$38</c:f>
              <c:strCache>
                <c:ptCount val="1"/>
                <c:pt idx="0">
                  <c:v>LTV 2026 (руб)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'Монетизация и юнит'!$A$39:$A$46</c:f>
              <c:numCache>
                <c:formatCode>0.0%</c:formatCode>
                <c:ptCount val="8"/>
                <c:pt idx="0">
                  <c:v>0.85</c:v>
                </c:pt>
                <c:pt idx="1">
                  <c:v>0.875</c:v>
                </c:pt>
                <c:pt idx="2">
                  <c:v>0.9</c:v>
                </c:pt>
                <c:pt idx="3">
                  <c:v>0.92500000000000004</c:v>
                </c:pt>
                <c:pt idx="4">
                  <c:v>0.95</c:v>
                </c:pt>
                <c:pt idx="5">
                  <c:v>0.96</c:v>
                </c:pt>
                <c:pt idx="6">
                  <c:v>0.97</c:v>
                </c:pt>
                <c:pt idx="7">
                  <c:v>0.98</c:v>
                </c:pt>
              </c:numCache>
            </c:numRef>
          </c:cat>
          <c:val>
            <c:numRef>
              <c:f>'Монетизация и юнит'!$C$39:$C$46</c:f>
              <c:numCache>
                <c:formatCode>General</c:formatCode>
                <c:ptCount val="8"/>
                <c:pt idx="0">
                  <c:v>747.81434156893386</c:v>
                </c:pt>
                <c:pt idx="1">
                  <c:v>897.37720988272076</c:v>
                </c:pt>
                <c:pt idx="2">
                  <c:v>1121.7215123534011</c:v>
                </c:pt>
                <c:pt idx="3">
                  <c:v>1495.6286831378688</c:v>
                </c:pt>
                <c:pt idx="4">
                  <c:v>2243.4430247067999</c:v>
                </c:pt>
                <c:pt idx="5">
                  <c:v>2804.3037808835002</c:v>
                </c:pt>
                <c:pt idx="6">
                  <c:v>3739.0717078446669</c:v>
                </c:pt>
                <c:pt idx="7">
                  <c:v>5608.6075617670003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BA7-F14E-A445-3E437C7D5049}"/>
            </c:ext>
          </c:extLst>
        </c:ser>
        <c:ser>
          <c:idx val="1"/>
          <c:order val="1"/>
          <c:tx>
            <c:strRef>
              <c:f>'Монетизация и юнит'!$D$38</c:f>
              <c:strCache>
                <c:ptCount val="1"/>
                <c:pt idx="0">
                  <c:v>LTV 2028 (руб)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'Монетизация и юнит'!$A$39:$A$46</c:f>
              <c:numCache>
                <c:formatCode>0.0%</c:formatCode>
                <c:ptCount val="8"/>
                <c:pt idx="0">
                  <c:v>0.85</c:v>
                </c:pt>
                <c:pt idx="1">
                  <c:v>0.875</c:v>
                </c:pt>
                <c:pt idx="2">
                  <c:v>0.9</c:v>
                </c:pt>
                <c:pt idx="3">
                  <c:v>0.92500000000000004</c:v>
                </c:pt>
                <c:pt idx="4">
                  <c:v>0.95</c:v>
                </c:pt>
                <c:pt idx="5">
                  <c:v>0.96</c:v>
                </c:pt>
                <c:pt idx="6">
                  <c:v>0.97</c:v>
                </c:pt>
                <c:pt idx="7">
                  <c:v>0.98</c:v>
                </c:pt>
              </c:numCache>
            </c:numRef>
          </c:cat>
          <c:val>
            <c:numRef>
              <c:f>'Монетизация и юнит'!$D$39:$D$46</c:f>
              <c:numCache>
                <c:formatCode>General</c:formatCode>
                <c:ptCount val="8"/>
                <c:pt idx="0">
                  <c:v>719.55809316129648</c:v>
                </c:pt>
                <c:pt idx="1">
                  <c:v>863.4697117935558</c:v>
                </c:pt>
                <c:pt idx="2">
                  <c:v>1079.3371397419448</c:v>
                </c:pt>
                <c:pt idx="3">
                  <c:v>1439.1161863225939</c:v>
                </c:pt>
                <c:pt idx="4">
                  <c:v>2158.6742794838874</c:v>
                </c:pt>
                <c:pt idx="5">
                  <c:v>2698.3428493548595</c:v>
                </c:pt>
                <c:pt idx="6">
                  <c:v>3597.7904658064799</c:v>
                </c:pt>
                <c:pt idx="7">
                  <c:v>5396.685698709719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BA7-F14E-A445-3E437C7D5049}"/>
            </c:ext>
          </c:extLst>
        </c:ser>
        <c:ser>
          <c:idx val="2"/>
          <c:order val="2"/>
          <c:tx>
            <c:strRef>
              <c:f>'Монетизация и юнит'!$E$38</c:f>
              <c:strCache>
                <c:ptCount val="1"/>
                <c:pt idx="0">
                  <c:v>LTV 2030 (руб)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'Монетизация и юнит'!$A$39:$A$46</c:f>
              <c:numCache>
                <c:formatCode>0.0%</c:formatCode>
                <c:ptCount val="8"/>
                <c:pt idx="0">
                  <c:v>0.85</c:v>
                </c:pt>
                <c:pt idx="1">
                  <c:v>0.875</c:v>
                </c:pt>
                <c:pt idx="2">
                  <c:v>0.9</c:v>
                </c:pt>
                <c:pt idx="3">
                  <c:v>0.92500000000000004</c:v>
                </c:pt>
                <c:pt idx="4">
                  <c:v>0.95</c:v>
                </c:pt>
                <c:pt idx="5">
                  <c:v>0.96</c:v>
                </c:pt>
                <c:pt idx="6">
                  <c:v>0.97</c:v>
                </c:pt>
                <c:pt idx="7">
                  <c:v>0.98</c:v>
                </c:pt>
              </c:numCache>
            </c:numRef>
          </c:cat>
          <c:val>
            <c:numRef>
              <c:f>'Монетизация и юнит'!$E$39:$E$46</c:f>
              <c:numCache>
                <c:formatCode>General</c:formatCode>
                <c:ptCount val="8"/>
                <c:pt idx="0">
                  <c:v>724.91493445976289</c:v>
                </c:pt>
                <c:pt idx="1">
                  <c:v>869.89792135171558</c:v>
                </c:pt>
                <c:pt idx="2">
                  <c:v>1087.3724016896447</c:v>
                </c:pt>
                <c:pt idx="3">
                  <c:v>1449.8298689195269</c:v>
                </c:pt>
                <c:pt idx="4">
                  <c:v>2174.7448033792871</c:v>
                </c:pt>
                <c:pt idx="5">
                  <c:v>2718.4310042241091</c:v>
                </c:pt>
                <c:pt idx="6">
                  <c:v>3624.5746722988119</c:v>
                </c:pt>
                <c:pt idx="7">
                  <c:v>5436.8620084482181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BA7-F14E-A445-3E437C7D5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Monthly Retention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LTV (</a:t>
                </a:r>
                <a:r>
                  <a:rPr lang="ru-RU"/>
                  <a:t>руб)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3238500</xdr:colOff>
      <xdr:row>53</xdr:row>
      <xdr:rowOff>0</xdr:rowOff>
    </xdr:from>
    <xdr:ext cx="72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zwincome.com/ru/news/peak-season-analysis-for-jackets/" TargetMode="External"/><Relationship Id="rId3" Type="http://schemas.openxmlformats.org/officeDocument/2006/relationships/hyperlink" Target="https://newsland.com/post/7842940-rossiyanam-raskryli-sekrety-kogda-i-chto-luchshe-pokupat-na-rasprodazhah" TargetMode="External"/><Relationship Id="rId7" Type="http://schemas.openxmlformats.org/officeDocument/2006/relationships/hyperlink" Target="https://www.hzwincome.com/ru/news/peak-season-analysis-for-jackets/" TargetMode="External"/><Relationship Id="rId2" Type="http://schemas.openxmlformats.org/officeDocument/2006/relationships/hyperlink" Target="https://nsk.dk.ru/news/237219082" TargetMode="External"/><Relationship Id="rId1" Type="http://schemas.openxmlformats.org/officeDocument/2006/relationships/hyperlink" Target="https://www.kommersant.ru/doc/8180662" TargetMode="External"/><Relationship Id="rId6" Type="http://schemas.openxmlformats.org/officeDocument/2006/relationships/hyperlink" Target="https://focus.bi/blog/tpost/bc6sbcayv1-itogi-pervogo-polugodiya-fashion-riteila" TargetMode="External"/><Relationship Id="rId5" Type="http://schemas.openxmlformats.org/officeDocument/2006/relationships/hyperlink" Target="https://www.rsb.ru/press-center/publications/2023/230923/" TargetMode="External"/><Relationship Id="rId4" Type="http://schemas.openxmlformats.org/officeDocument/2006/relationships/hyperlink" Target="https://partner.market.yandex.ru/chtojournal/kalendar_sezonnosti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87"/>
  <sheetViews>
    <sheetView topLeftCell="A27" workbookViewId="0"/>
  </sheetViews>
  <sheetFormatPr baseColWidth="10" defaultColWidth="12.6640625" defaultRowHeight="15.75" customHeight="1"/>
  <cols>
    <col min="1" max="1" width="39.6640625" customWidth="1"/>
    <col min="2" max="2" width="29" customWidth="1"/>
    <col min="3" max="3" width="39.6640625" customWidth="1"/>
  </cols>
  <sheetData>
    <row r="1" spans="1:26" ht="15.75" customHeight="1">
      <c r="A1" s="1" t="s">
        <v>120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3" t="s">
        <v>121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" customHeight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" customHeight="1">
      <c r="A4" s="7" t="s">
        <v>122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" customHeight="1">
      <c r="A5" s="7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customHeight="1">
      <c r="A6" s="8" t="s">
        <v>123</v>
      </c>
      <c r="B6" s="8" t="s">
        <v>124</v>
      </c>
      <c r="C6" s="8" t="s">
        <v>125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customHeight="1">
      <c r="A7" s="9" t="s">
        <v>126</v>
      </c>
      <c r="B7" s="10" t="s">
        <v>127</v>
      </c>
      <c r="C7" s="9" t="s">
        <v>128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customHeight="1">
      <c r="A8" s="9" t="s">
        <v>129</v>
      </c>
      <c r="B8" s="10" t="s">
        <v>130</v>
      </c>
      <c r="C8" s="9" t="s">
        <v>131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 customHeight="1">
      <c r="A9" s="9" t="s">
        <v>132</v>
      </c>
      <c r="B9" s="10" t="s">
        <v>133</v>
      </c>
      <c r="C9" s="9" t="s">
        <v>134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" customHeight="1">
      <c r="A10" s="7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" customHeight="1">
      <c r="A11" s="7" t="s">
        <v>135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" customHeight="1">
      <c r="A12" s="7" t="s">
        <v>136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" customHeight="1">
      <c r="A13" s="7" t="s">
        <v>137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" customHeight="1">
      <c r="A14" s="7" t="s">
        <v>138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" customHeight="1">
      <c r="A15" s="7" t="s">
        <v>139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" customHeight="1">
      <c r="A16" s="7" t="s">
        <v>140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" customHeight="1">
      <c r="A17" s="7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" customHeight="1">
      <c r="A18" s="11" t="s">
        <v>141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customHeight="1">
      <c r="A19" s="6" t="s">
        <v>142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customHeight="1">
      <c r="A20" s="6" t="s">
        <v>143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>
      <c r="A21" s="6" t="s">
        <v>144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8" customHeight="1">
      <c r="A23" s="3" t="s">
        <v>145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12" t="s">
        <v>146</v>
      </c>
      <c r="B24" s="12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8" customHeight="1">
      <c r="A25" s="13" t="s">
        <v>147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6" t="s">
        <v>148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>
      <c r="A27" s="14" t="s">
        <v>149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>
      <c r="A28" s="6" t="s">
        <v>150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>
      <c r="A29" s="6" t="s">
        <v>151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>
      <c r="A30" s="14" t="s">
        <v>152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>
      <c r="A31" s="6" t="s">
        <v>153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>
      <c r="A32" s="6" t="s">
        <v>154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>
      <c r="A33" s="14" t="s">
        <v>155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>
      <c r="A34" s="6" t="s">
        <v>156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>
      <c r="A35" s="6" t="s">
        <v>157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>
      <c r="A36" s="14" t="s">
        <v>158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>
      <c r="A37" s="6" t="s">
        <v>159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>
      <c r="A38" s="6" t="s">
        <v>160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>
      <c r="A39" s="6" t="s">
        <v>161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>
      <c r="A40" s="14" t="s">
        <v>162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>
      <c r="A41" s="6" t="s">
        <v>163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>
      <c r="A42" s="6" t="s">
        <v>164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>
      <c r="A43" s="6" t="s">
        <v>165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8" customHeight="1">
      <c r="A44" s="13" t="s">
        <v>166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>
      <c r="A45" s="14" t="s">
        <v>167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>
      <c r="A46" s="6" t="s">
        <v>168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>
      <c r="A47" s="6" t="s">
        <v>169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>
      <c r="A48" s="6" t="s">
        <v>170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>
      <c r="A49" s="14" t="s">
        <v>171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" customHeight="1">
      <c r="A50" s="6" t="s">
        <v>172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" customHeight="1">
      <c r="A51" s="6" t="s">
        <v>173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" customHeight="1">
      <c r="A52" s="6" t="s">
        <v>174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" customHeight="1">
      <c r="A53" s="15" t="s">
        <v>175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" customHeight="1">
      <c r="A56" s="114" t="s">
        <v>176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" customHeight="1">
      <c r="A57" s="6" t="s">
        <v>177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" customHeight="1">
      <c r="A58" s="6" t="s">
        <v>178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" customHeight="1">
      <c r="A59" s="6" t="s">
        <v>179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" customHeight="1">
      <c r="A60" s="6" t="s">
        <v>180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005"/>
  <sheetViews>
    <sheetView workbookViewId="0">
      <selection activeCell="B17" sqref="B17"/>
    </sheetView>
  </sheetViews>
  <sheetFormatPr baseColWidth="10" defaultColWidth="12.6640625" defaultRowHeight="15.75" customHeight="1"/>
  <cols>
    <col min="1" max="1" width="25.6640625" customWidth="1"/>
    <col min="2" max="2" width="17.1640625" customWidth="1"/>
    <col min="3" max="3" width="115.5" customWidth="1"/>
  </cols>
  <sheetData>
    <row r="1" spans="1:3" ht="15.75" customHeight="1">
      <c r="A1" s="16"/>
      <c r="B1" s="17"/>
    </row>
    <row r="2" spans="1:3" ht="15.75" customHeight="1">
      <c r="A2" s="16"/>
      <c r="B2" s="17"/>
    </row>
    <row r="3" spans="1:3" ht="15.75" customHeight="1">
      <c r="A3" s="18" t="s">
        <v>0</v>
      </c>
      <c r="B3" s="17">
        <v>180000</v>
      </c>
      <c r="C3" s="19" t="s">
        <v>1</v>
      </c>
    </row>
    <row r="4" spans="1:3" ht="15.75" customHeight="1">
      <c r="A4" s="18" t="s">
        <v>2</v>
      </c>
      <c r="B4" s="20">
        <v>0.45</v>
      </c>
      <c r="C4" s="21" t="s">
        <v>1</v>
      </c>
    </row>
    <row r="5" spans="1:3" ht="15.75" customHeight="1">
      <c r="A5" s="18" t="s">
        <v>3</v>
      </c>
      <c r="B5" s="22">
        <f>B3*B4</f>
        <v>81000</v>
      </c>
      <c r="C5" s="19" t="s">
        <v>4</v>
      </c>
    </row>
    <row r="6" spans="1:3" ht="15.75" customHeight="1">
      <c r="A6" s="18" t="s">
        <v>5</v>
      </c>
      <c r="B6" s="22">
        <f>B5/12</f>
        <v>6750</v>
      </c>
      <c r="C6" s="19" t="s">
        <v>6</v>
      </c>
    </row>
    <row r="7" spans="1:3" ht="15.75" customHeight="1">
      <c r="A7" s="18" t="s">
        <v>7</v>
      </c>
      <c r="B7" s="23">
        <v>0.3</v>
      </c>
      <c r="C7" s="21" t="s">
        <v>1</v>
      </c>
    </row>
    <row r="8" spans="1:3" ht="15.75" customHeight="1">
      <c r="A8" s="18" t="s">
        <v>8</v>
      </c>
      <c r="B8" s="22">
        <f>B5*B7</f>
        <v>24300</v>
      </c>
      <c r="C8" s="19" t="s">
        <v>9</v>
      </c>
    </row>
    <row r="9" spans="1:3" ht="15.75" customHeight="1">
      <c r="A9" s="18" t="s">
        <v>10</v>
      </c>
      <c r="B9" s="22">
        <f>B8/12</f>
        <v>2025</v>
      </c>
      <c r="C9" s="19" t="s">
        <v>6</v>
      </c>
    </row>
    <row r="10" spans="1:3" ht="15.75" customHeight="1">
      <c r="A10" s="18" t="s">
        <v>11</v>
      </c>
      <c r="B10" s="20">
        <v>0.15</v>
      </c>
      <c r="C10" s="24" t="s">
        <v>12</v>
      </c>
    </row>
    <row r="11" spans="1:3" ht="15.75" customHeight="1">
      <c r="A11" s="18" t="s">
        <v>13</v>
      </c>
      <c r="B11" s="25">
        <f>POWER((1+B10),(1/12))-1</f>
        <v>1.171491691985338E-2</v>
      </c>
      <c r="C11" s="26" t="s">
        <v>14</v>
      </c>
    </row>
    <row r="12" spans="1:3" ht="15.75" customHeight="1">
      <c r="A12" s="16" t="s">
        <v>15</v>
      </c>
      <c r="B12" s="17">
        <v>9</v>
      </c>
      <c r="C12" s="21" t="s">
        <v>1</v>
      </c>
    </row>
    <row r="13" spans="1:3" ht="15.75" customHeight="1">
      <c r="A13" s="18" t="s">
        <v>16</v>
      </c>
      <c r="B13" s="20">
        <v>0.05</v>
      </c>
      <c r="C13" s="21" t="s">
        <v>17</v>
      </c>
    </row>
    <row r="14" spans="1:3" ht="15.75" customHeight="1">
      <c r="A14" s="18" t="s">
        <v>18</v>
      </c>
      <c r="B14" s="23">
        <f>POWER((1+B13),(1/12))-1</f>
        <v>4.0741237836483535E-3</v>
      </c>
      <c r="C14" s="26" t="s">
        <v>14</v>
      </c>
    </row>
    <row r="15" spans="1:3" ht="15.75" customHeight="1">
      <c r="A15" s="27" t="s">
        <v>19</v>
      </c>
      <c r="B15" s="20">
        <v>0.03</v>
      </c>
      <c r="C15" s="21" t="s">
        <v>20</v>
      </c>
    </row>
    <row r="16" spans="1:3" ht="15.75" customHeight="1">
      <c r="A16" s="27" t="s">
        <v>21</v>
      </c>
      <c r="B16" s="20">
        <v>0.37</v>
      </c>
      <c r="C16" s="21" t="s">
        <v>22</v>
      </c>
    </row>
    <row r="17" spans="1:3" ht="15.75" customHeight="1">
      <c r="A17" s="27" t="s">
        <v>23</v>
      </c>
      <c r="B17" s="20">
        <v>0.1</v>
      </c>
      <c r="C17" s="21" t="s">
        <v>24</v>
      </c>
    </row>
    <row r="18" spans="1:3" ht="15.75" customHeight="1">
      <c r="A18" s="27" t="s">
        <v>25</v>
      </c>
      <c r="B18" s="17">
        <v>2500</v>
      </c>
      <c r="C18" s="21" t="s">
        <v>26</v>
      </c>
    </row>
    <row r="19" spans="1:3" ht="15.75" customHeight="1">
      <c r="A19" s="27" t="s">
        <v>27</v>
      </c>
      <c r="B19" s="20">
        <v>7.0000000000000007E-2</v>
      </c>
      <c r="C19" s="21" t="s">
        <v>28</v>
      </c>
    </row>
    <row r="20" spans="1:3" ht="15.75" customHeight="1">
      <c r="A20" s="18" t="s">
        <v>29</v>
      </c>
      <c r="B20" s="28">
        <v>0.9</v>
      </c>
      <c r="C20" s="29" t="s">
        <v>30</v>
      </c>
    </row>
    <row r="21" spans="1:3" ht="15.75" customHeight="1">
      <c r="A21" s="18" t="s">
        <v>31</v>
      </c>
      <c r="B21" s="28">
        <v>0.9</v>
      </c>
      <c r="C21" s="29"/>
    </row>
    <row r="22" spans="1:3" ht="15.75" customHeight="1">
      <c r="A22" s="18" t="s">
        <v>32</v>
      </c>
      <c r="B22" s="28">
        <v>1.05</v>
      </c>
      <c r="C22" s="30" t="s">
        <v>33</v>
      </c>
    </row>
    <row r="23" spans="1:3" ht="15.75" customHeight="1">
      <c r="A23" s="18" t="s">
        <v>34</v>
      </c>
      <c r="B23" s="28">
        <v>1.1000000000000001</v>
      </c>
      <c r="C23" s="30" t="s">
        <v>35</v>
      </c>
    </row>
    <row r="24" spans="1:3" ht="15.75" customHeight="1">
      <c r="A24" s="18" t="s">
        <v>36</v>
      </c>
      <c r="B24" s="28">
        <v>0.8</v>
      </c>
      <c r="C24" s="30" t="s">
        <v>37</v>
      </c>
    </row>
    <row r="25" spans="1:3" ht="15.75" customHeight="1">
      <c r="A25" s="18" t="s">
        <v>38</v>
      </c>
      <c r="B25" s="28">
        <v>1</v>
      </c>
      <c r="C25" s="30" t="s">
        <v>39</v>
      </c>
    </row>
    <row r="26" spans="1:3" ht="15.75" customHeight="1">
      <c r="A26" s="18" t="s">
        <v>40</v>
      </c>
      <c r="B26" s="31">
        <v>0.9</v>
      </c>
      <c r="C26" s="29" t="s">
        <v>41</v>
      </c>
    </row>
    <row r="27" spans="1:3" ht="15.75" customHeight="1">
      <c r="A27" s="18" t="s">
        <v>42</v>
      </c>
      <c r="B27" s="28">
        <v>0.9</v>
      </c>
      <c r="C27" s="32" t="s">
        <v>43</v>
      </c>
    </row>
    <row r="28" spans="1:3" ht="15.75" customHeight="1">
      <c r="A28" s="18" t="s">
        <v>44</v>
      </c>
      <c r="B28" s="28">
        <v>1.1499999999999999</v>
      </c>
      <c r="C28" s="30" t="s">
        <v>45</v>
      </c>
    </row>
    <row r="29" spans="1:3" ht="15.75" customHeight="1">
      <c r="A29" s="18" t="s">
        <v>46</v>
      </c>
      <c r="B29" s="28">
        <v>1</v>
      </c>
      <c r="C29" s="30" t="s">
        <v>47</v>
      </c>
    </row>
    <row r="30" spans="1:3" ht="15.75" customHeight="1">
      <c r="A30" s="18" t="s">
        <v>48</v>
      </c>
      <c r="B30" s="28">
        <v>1.1000000000000001</v>
      </c>
      <c r="C30" s="29" t="s">
        <v>49</v>
      </c>
    </row>
    <row r="31" spans="1:3" ht="15.75" customHeight="1">
      <c r="A31" s="18" t="s">
        <v>50</v>
      </c>
      <c r="B31" s="28">
        <v>1.2</v>
      </c>
      <c r="C31" s="29" t="s">
        <v>51</v>
      </c>
    </row>
    <row r="32" spans="1:3" ht="15.75" customHeight="1">
      <c r="A32" s="16"/>
      <c r="B32" s="17"/>
    </row>
    <row r="33" spans="1:3" ht="15.75" customHeight="1">
      <c r="A33" s="114" t="s">
        <v>52</v>
      </c>
      <c r="B33" s="17"/>
    </row>
    <row r="34" spans="1:3" ht="15.75" customHeight="1">
      <c r="A34" s="16" t="s">
        <v>53</v>
      </c>
      <c r="B34" s="17">
        <v>1</v>
      </c>
      <c r="C34" t="s">
        <v>54</v>
      </c>
    </row>
    <row r="35" spans="1:3" ht="15.75" customHeight="1">
      <c r="A35" s="16" t="s">
        <v>55</v>
      </c>
      <c r="B35" s="17">
        <v>0.15</v>
      </c>
      <c r="C35" t="s">
        <v>56</v>
      </c>
    </row>
    <row r="36" spans="1:3" ht="15.75" customHeight="1">
      <c r="A36" s="16" t="s">
        <v>57</v>
      </c>
      <c r="B36" s="17">
        <v>0.1</v>
      </c>
      <c r="C36" t="s">
        <v>58</v>
      </c>
    </row>
    <row r="37" spans="1:3" ht="15.75" customHeight="1">
      <c r="A37" s="16" t="s">
        <v>59</v>
      </c>
      <c r="B37" s="17">
        <v>-0.01</v>
      </c>
      <c r="C37" t="s">
        <v>60</v>
      </c>
    </row>
    <row r="38" spans="1:3" ht="15.75" customHeight="1">
      <c r="A38" s="16" t="s">
        <v>61</v>
      </c>
      <c r="B38" s="17">
        <v>0.97</v>
      </c>
      <c r="C38" t="s">
        <v>62</v>
      </c>
    </row>
    <row r="39" spans="1:3" ht="15.75" customHeight="1">
      <c r="A39" s="16"/>
      <c r="B39" s="17"/>
    </row>
    <row r="40" spans="1:3" ht="15.75" customHeight="1">
      <c r="A40" s="114" t="s">
        <v>63</v>
      </c>
      <c r="B40" s="17"/>
    </row>
    <row r="41" spans="1:3" ht="15.75" customHeight="1">
      <c r="A41" s="16" t="s">
        <v>64</v>
      </c>
      <c r="B41" s="17">
        <v>0.15</v>
      </c>
      <c r="C41" t="s">
        <v>65</v>
      </c>
    </row>
    <row r="42" spans="1:3" ht="15.75" customHeight="1">
      <c r="A42" s="16" t="s">
        <v>66</v>
      </c>
      <c r="B42" s="17">
        <v>0.35</v>
      </c>
      <c r="C42" t="s">
        <v>67</v>
      </c>
    </row>
    <row r="43" spans="1:3" ht="15.75" customHeight="1">
      <c r="A43" s="16" t="s">
        <v>68</v>
      </c>
      <c r="B43" s="17">
        <v>0.25</v>
      </c>
      <c r="C43" t="s">
        <v>69</v>
      </c>
    </row>
    <row r="44" spans="1:3" ht="15.75" customHeight="1">
      <c r="A44" s="16" t="s">
        <v>70</v>
      </c>
      <c r="B44" s="17">
        <v>7.0000000000000007E-2</v>
      </c>
      <c r="C44" t="s">
        <v>71</v>
      </c>
    </row>
    <row r="45" spans="1:3" ht="15.75" customHeight="1">
      <c r="A45" s="16" t="s">
        <v>72</v>
      </c>
      <c r="B45" s="17">
        <v>0.02</v>
      </c>
      <c r="C45" t="s">
        <v>73</v>
      </c>
    </row>
    <row r="46" spans="1:3" ht="15.75" customHeight="1">
      <c r="A46" s="16" t="s">
        <v>74</v>
      </c>
      <c r="B46" s="17">
        <v>0.01</v>
      </c>
      <c r="C46" t="s">
        <v>75</v>
      </c>
    </row>
    <row r="47" spans="1:3" ht="15.75" customHeight="1">
      <c r="A47" s="16" t="s">
        <v>76</v>
      </c>
      <c r="B47" s="17">
        <v>0.85</v>
      </c>
      <c r="C47" t="s">
        <v>77</v>
      </c>
    </row>
    <row r="48" spans="1:3" ht="15.75" customHeight="1">
      <c r="A48" s="16" t="s">
        <v>78</v>
      </c>
      <c r="B48" s="17">
        <v>0.02</v>
      </c>
      <c r="C48" t="s">
        <v>79</v>
      </c>
    </row>
    <row r="49" spans="1:4" ht="15.75" customHeight="1">
      <c r="A49" s="16"/>
      <c r="B49" s="17"/>
    </row>
    <row r="50" spans="1:4" ht="13" customHeight="1">
      <c r="A50" s="114" t="s">
        <v>80</v>
      </c>
      <c r="B50" s="17"/>
    </row>
    <row r="51" spans="1:4" ht="13" customHeight="1">
      <c r="A51" s="16" t="s">
        <v>81</v>
      </c>
      <c r="B51" s="17">
        <v>0.1</v>
      </c>
      <c r="C51" t="s">
        <v>82</v>
      </c>
    </row>
    <row r="52" spans="1:4" ht="13" customHeight="1">
      <c r="A52" s="16" t="s">
        <v>83</v>
      </c>
      <c r="B52" s="17">
        <v>0.02</v>
      </c>
      <c r="C52" t="s">
        <v>84</v>
      </c>
    </row>
    <row r="53" spans="1:4" ht="13" customHeight="1">
      <c r="A53" s="16" t="s">
        <v>85</v>
      </c>
      <c r="B53" s="17"/>
    </row>
    <row r="54" spans="1:4" ht="13" customHeight="1">
      <c r="A54" s="16" t="s">
        <v>86</v>
      </c>
      <c r="B54" s="17">
        <v>0.28000000000000003</v>
      </c>
      <c r="C54" t="s">
        <v>87</v>
      </c>
      <c r="D54" t="s">
        <v>88</v>
      </c>
    </row>
    <row r="55" spans="1:4" ht="13" customHeight="1">
      <c r="A55" s="16" t="s">
        <v>89</v>
      </c>
      <c r="B55" s="17">
        <v>0.15</v>
      </c>
      <c r="C55" t="s">
        <v>87</v>
      </c>
      <c r="D55" t="s">
        <v>90</v>
      </c>
    </row>
    <row r="56" spans="1:4" ht="13" customHeight="1">
      <c r="A56" s="16" t="s">
        <v>91</v>
      </c>
      <c r="B56" s="17">
        <v>2650</v>
      </c>
      <c r="C56" t="s">
        <v>92</v>
      </c>
      <c r="D56" t="s">
        <v>93</v>
      </c>
    </row>
    <row r="57" spans="1:4" ht="13" customHeight="1">
      <c r="A57" s="16" t="s">
        <v>94</v>
      </c>
      <c r="B57" s="17"/>
    </row>
    <row r="58" spans="1:4" ht="13" customHeight="1">
      <c r="A58" s="16" t="s">
        <v>95</v>
      </c>
      <c r="B58" s="17">
        <v>0.15</v>
      </c>
      <c r="C58" t="s">
        <v>96</v>
      </c>
      <c r="D58" t="s">
        <v>97</v>
      </c>
    </row>
    <row r="59" spans="1:4" ht="13" customHeight="1">
      <c r="A59" s="16" t="s">
        <v>98</v>
      </c>
      <c r="B59" s="17">
        <v>0.13500000000000001</v>
      </c>
      <c r="C59" t="s">
        <v>96</v>
      </c>
      <c r="D59" t="s">
        <v>99</v>
      </c>
    </row>
    <row r="60" spans="1:4" ht="13" customHeight="1">
      <c r="A60" s="16" t="s">
        <v>100</v>
      </c>
      <c r="B60" s="17">
        <v>0.1215</v>
      </c>
      <c r="C60" t="s">
        <v>96</v>
      </c>
      <c r="D60" t="s">
        <v>101</v>
      </c>
    </row>
    <row r="61" spans="1:4" ht="13" customHeight="1">
      <c r="A61" s="16" t="s">
        <v>102</v>
      </c>
      <c r="B61" s="17">
        <v>0.05</v>
      </c>
      <c r="C61" t="s">
        <v>96</v>
      </c>
      <c r="D61" t="s">
        <v>103</v>
      </c>
    </row>
    <row r="62" spans="1:4" ht="13" customHeight="1">
      <c r="A62" s="16" t="s">
        <v>104</v>
      </c>
      <c r="B62" s="17">
        <v>0.03</v>
      </c>
      <c r="C62" t="s">
        <v>87</v>
      </c>
      <c r="D62" t="s">
        <v>105</v>
      </c>
    </row>
    <row r="63" spans="1:4" ht="13" customHeight="1">
      <c r="A63" s="16" t="s">
        <v>106</v>
      </c>
      <c r="B63" s="17">
        <v>0.02</v>
      </c>
      <c r="C63" t="s">
        <v>87</v>
      </c>
      <c r="D63" t="s">
        <v>107</v>
      </c>
    </row>
    <row r="64" spans="1:4" ht="13" customHeight="1">
      <c r="A64" s="16" t="s">
        <v>108</v>
      </c>
      <c r="B64" s="17"/>
    </row>
    <row r="65" spans="1:4" ht="13" customHeight="1">
      <c r="A65" s="16" t="s">
        <v>109</v>
      </c>
      <c r="B65" s="17">
        <v>250</v>
      </c>
      <c r="C65" t="s">
        <v>110</v>
      </c>
      <c r="D65" t="s">
        <v>111</v>
      </c>
    </row>
    <row r="66" spans="1:4" ht="13" customHeight="1">
      <c r="A66" s="16" t="s">
        <v>112</v>
      </c>
      <c r="B66" s="17">
        <v>300</v>
      </c>
      <c r="C66" t="s">
        <v>110</v>
      </c>
      <c r="D66" t="s">
        <v>113</v>
      </c>
    </row>
    <row r="67" spans="1:4" ht="13" customHeight="1">
      <c r="A67" s="16" t="s">
        <v>114</v>
      </c>
      <c r="B67" s="17">
        <v>350</v>
      </c>
      <c r="C67" t="s">
        <v>110</v>
      </c>
      <c r="D67" t="s">
        <v>115</v>
      </c>
    </row>
    <row r="68" spans="1:4" ht="13" customHeight="1">
      <c r="A68" s="16" t="s">
        <v>116</v>
      </c>
      <c r="B68" s="17">
        <v>400</v>
      </c>
      <c r="C68" t="s">
        <v>110</v>
      </c>
      <c r="D68" t="s">
        <v>117</v>
      </c>
    </row>
    <row r="69" spans="1:4" ht="13" customHeight="1">
      <c r="A69" s="16" t="s">
        <v>118</v>
      </c>
      <c r="B69" s="17">
        <v>450</v>
      </c>
      <c r="C69" t="s">
        <v>110</v>
      </c>
      <c r="D69" t="s">
        <v>119</v>
      </c>
    </row>
    <row r="70" spans="1:4" ht="13" customHeight="1">
      <c r="A70" s="16"/>
      <c r="B70" s="17"/>
    </row>
    <row r="71" spans="1:4" ht="13" customHeight="1">
      <c r="A71" s="16"/>
      <c r="B71" s="17"/>
    </row>
    <row r="72" spans="1:4" ht="13" customHeight="1">
      <c r="A72" s="16"/>
      <c r="B72" s="17"/>
    </row>
    <row r="73" spans="1:4" ht="13" customHeight="1">
      <c r="A73" s="16"/>
      <c r="B73" s="17"/>
    </row>
    <row r="74" spans="1:4" ht="13" customHeight="1">
      <c r="A74" s="16"/>
      <c r="B74" s="17"/>
    </row>
    <row r="75" spans="1:4" ht="13" customHeight="1">
      <c r="A75" s="16"/>
      <c r="B75" s="17"/>
    </row>
    <row r="76" spans="1:4" ht="13" customHeight="1">
      <c r="A76" s="16"/>
      <c r="B76" s="17"/>
    </row>
    <row r="77" spans="1:4" ht="13" customHeight="1">
      <c r="A77" s="16"/>
      <c r="B77" s="17"/>
    </row>
    <row r="78" spans="1:4" ht="13" customHeight="1">
      <c r="A78" s="16"/>
      <c r="B78" s="17"/>
    </row>
    <row r="79" spans="1:4" ht="13" customHeight="1">
      <c r="A79" s="16"/>
      <c r="B79" s="17"/>
    </row>
    <row r="80" spans="1:4" ht="13" customHeight="1">
      <c r="A80" s="16"/>
      <c r="B80" s="17"/>
    </row>
    <row r="81" spans="1:2" ht="13" customHeight="1">
      <c r="A81" s="16"/>
      <c r="B81" s="17"/>
    </row>
    <row r="82" spans="1:2" ht="13" customHeight="1">
      <c r="A82" s="16"/>
      <c r="B82" s="17"/>
    </row>
    <row r="83" spans="1:2" ht="13" customHeight="1">
      <c r="A83" s="16"/>
      <c r="B83" s="17"/>
    </row>
    <row r="84" spans="1:2" ht="13" customHeight="1">
      <c r="A84" s="16"/>
      <c r="B84" s="17"/>
    </row>
    <row r="85" spans="1:2" ht="13" customHeight="1">
      <c r="A85" s="16"/>
      <c r="B85" s="17"/>
    </row>
    <row r="86" spans="1:2" ht="13" customHeight="1">
      <c r="A86" s="16"/>
      <c r="B86" s="17"/>
    </row>
    <row r="87" spans="1:2" ht="13" customHeight="1">
      <c r="A87" s="16"/>
      <c r="B87" s="17"/>
    </row>
    <row r="88" spans="1:2" ht="13" customHeight="1">
      <c r="A88" s="16"/>
      <c r="B88" s="17"/>
    </row>
    <row r="89" spans="1:2" ht="13" customHeight="1">
      <c r="A89" s="16"/>
      <c r="B89" s="17"/>
    </row>
    <row r="90" spans="1:2" ht="13" customHeight="1">
      <c r="A90" s="16"/>
      <c r="B90" s="17"/>
    </row>
    <row r="91" spans="1:2" ht="13" customHeight="1">
      <c r="A91" s="16"/>
      <c r="B91" s="17"/>
    </row>
    <row r="92" spans="1:2" ht="13" customHeight="1">
      <c r="A92" s="16"/>
      <c r="B92" s="17"/>
    </row>
    <row r="93" spans="1:2" ht="13" customHeight="1">
      <c r="A93" s="16"/>
      <c r="B93" s="17"/>
    </row>
    <row r="94" spans="1:2" ht="13" customHeight="1">
      <c r="A94" s="16"/>
      <c r="B94" s="17"/>
    </row>
    <row r="95" spans="1:2" ht="13" customHeight="1">
      <c r="A95" s="16"/>
      <c r="B95" s="17"/>
    </row>
    <row r="96" spans="1:2" ht="13" customHeight="1">
      <c r="A96" s="16"/>
      <c r="B96" s="17"/>
    </row>
    <row r="97" spans="1:2" ht="13" customHeight="1">
      <c r="A97" s="16"/>
      <c r="B97" s="17"/>
    </row>
    <row r="98" spans="1:2" ht="13" customHeight="1">
      <c r="A98" s="16"/>
      <c r="B98" s="17"/>
    </row>
    <row r="99" spans="1:2" ht="13" customHeight="1">
      <c r="A99" s="16"/>
      <c r="B99" s="17"/>
    </row>
    <row r="100" spans="1:2" ht="13" customHeight="1">
      <c r="A100" s="16"/>
      <c r="B100" s="17"/>
    </row>
    <row r="101" spans="1:2" ht="13" customHeight="1">
      <c r="A101" s="16"/>
      <c r="B101" s="17"/>
    </row>
    <row r="102" spans="1:2" ht="13" customHeight="1">
      <c r="A102" s="16"/>
      <c r="B102" s="17"/>
    </row>
    <row r="103" spans="1:2" ht="13" customHeight="1">
      <c r="A103" s="16"/>
      <c r="B103" s="17"/>
    </row>
    <row r="104" spans="1:2" ht="13" customHeight="1">
      <c r="A104" s="16"/>
      <c r="B104" s="17"/>
    </row>
    <row r="105" spans="1:2" ht="13" customHeight="1">
      <c r="A105" s="16"/>
      <c r="B105" s="17"/>
    </row>
    <row r="106" spans="1:2" ht="13" customHeight="1">
      <c r="A106" s="16"/>
      <c r="B106" s="17"/>
    </row>
    <row r="107" spans="1:2" ht="13" customHeight="1">
      <c r="A107" s="16"/>
      <c r="B107" s="17"/>
    </row>
    <row r="108" spans="1:2" ht="13" customHeight="1">
      <c r="A108" s="16"/>
      <c r="B108" s="17"/>
    </row>
    <row r="109" spans="1:2" ht="13" customHeight="1">
      <c r="A109" s="16"/>
      <c r="B109" s="17"/>
    </row>
    <row r="110" spans="1:2" ht="13" customHeight="1">
      <c r="A110" s="16"/>
      <c r="B110" s="17"/>
    </row>
    <row r="111" spans="1:2" ht="13" customHeight="1">
      <c r="A111" s="16"/>
      <c r="B111" s="17"/>
    </row>
    <row r="112" spans="1:2" ht="13" customHeight="1">
      <c r="A112" s="16"/>
      <c r="B112" s="17"/>
    </row>
    <row r="113" spans="1:2" ht="13" customHeight="1">
      <c r="A113" s="16"/>
      <c r="B113" s="17"/>
    </row>
    <row r="114" spans="1:2" ht="13" customHeight="1">
      <c r="A114" s="16"/>
      <c r="B114" s="17"/>
    </row>
    <row r="115" spans="1:2" ht="13" customHeight="1">
      <c r="A115" s="16"/>
      <c r="B115" s="17"/>
    </row>
    <row r="116" spans="1:2" ht="13" customHeight="1">
      <c r="A116" s="16"/>
      <c r="B116" s="17"/>
    </row>
    <row r="117" spans="1:2" ht="13" customHeight="1">
      <c r="A117" s="16"/>
      <c r="B117" s="17"/>
    </row>
    <row r="118" spans="1:2" ht="13" customHeight="1">
      <c r="A118" s="16"/>
      <c r="B118" s="17"/>
    </row>
    <row r="119" spans="1:2" ht="13" customHeight="1">
      <c r="A119" s="16"/>
      <c r="B119" s="17"/>
    </row>
    <row r="120" spans="1:2" ht="13" customHeight="1">
      <c r="A120" s="16"/>
      <c r="B120" s="17"/>
    </row>
    <row r="121" spans="1:2" ht="13" customHeight="1">
      <c r="A121" s="16"/>
      <c r="B121" s="17"/>
    </row>
    <row r="122" spans="1:2" ht="13" customHeight="1">
      <c r="A122" s="16"/>
      <c r="B122" s="17"/>
    </row>
    <row r="123" spans="1:2" ht="13" customHeight="1">
      <c r="A123" s="16"/>
      <c r="B123" s="17"/>
    </row>
    <row r="124" spans="1:2" ht="13" customHeight="1">
      <c r="A124" s="16"/>
      <c r="B124" s="17"/>
    </row>
    <row r="125" spans="1:2" ht="13" customHeight="1">
      <c r="A125" s="16"/>
      <c r="B125" s="17"/>
    </row>
    <row r="126" spans="1:2" ht="13" customHeight="1">
      <c r="A126" s="16"/>
      <c r="B126" s="17"/>
    </row>
    <row r="127" spans="1:2" ht="13" customHeight="1">
      <c r="A127" s="16"/>
      <c r="B127" s="17"/>
    </row>
    <row r="128" spans="1:2" ht="13" customHeight="1">
      <c r="A128" s="16"/>
      <c r="B128" s="17"/>
    </row>
    <row r="129" spans="1:2" ht="13" customHeight="1">
      <c r="A129" s="16"/>
      <c r="B129" s="17"/>
    </row>
    <row r="130" spans="1:2" ht="13" customHeight="1">
      <c r="A130" s="16"/>
      <c r="B130" s="17"/>
    </row>
    <row r="131" spans="1:2" ht="13" customHeight="1">
      <c r="A131" s="16"/>
      <c r="B131" s="17"/>
    </row>
    <row r="132" spans="1:2" ht="13" customHeight="1">
      <c r="A132" s="16"/>
      <c r="B132" s="17"/>
    </row>
    <row r="133" spans="1:2" ht="13" customHeight="1">
      <c r="A133" s="16"/>
      <c r="B133" s="17"/>
    </row>
    <row r="134" spans="1:2" ht="13" customHeight="1">
      <c r="A134" s="16"/>
      <c r="B134" s="17"/>
    </row>
    <row r="135" spans="1:2" ht="13" customHeight="1">
      <c r="A135" s="16"/>
      <c r="B135" s="17"/>
    </row>
    <row r="136" spans="1:2" ht="13" customHeight="1">
      <c r="A136" s="16"/>
      <c r="B136" s="17"/>
    </row>
    <row r="137" spans="1:2" ht="13" customHeight="1">
      <c r="A137" s="16"/>
      <c r="B137" s="17"/>
    </row>
    <row r="138" spans="1:2" ht="13" customHeight="1">
      <c r="A138" s="16"/>
      <c r="B138" s="17"/>
    </row>
    <row r="139" spans="1:2" ht="13" customHeight="1">
      <c r="A139" s="16"/>
      <c r="B139" s="17"/>
    </row>
    <row r="140" spans="1:2" ht="13" customHeight="1">
      <c r="A140" s="16"/>
      <c r="B140" s="17"/>
    </row>
    <row r="141" spans="1:2" ht="13" customHeight="1">
      <c r="A141" s="16"/>
      <c r="B141" s="17"/>
    </row>
    <row r="142" spans="1:2" ht="13" customHeight="1">
      <c r="A142" s="16"/>
      <c r="B142" s="17"/>
    </row>
    <row r="143" spans="1:2" ht="13" customHeight="1">
      <c r="A143" s="16"/>
      <c r="B143" s="17"/>
    </row>
    <row r="144" spans="1:2" ht="13" customHeight="1">
      <c r="A144" s="16"/>
      <c r="B144" s="17"/>
    </row>
    <row r="145" spans="1:2" ht="13" customHeight="1">
      <c r="A145" s="16"/>
      <c r="B145" s="17"/>
    </row>
    <row r="146" spans="1:2" ht="13" customHeight="1">
      <c r="A146" s="16"/>
      <c r="B146" s="17"/>
    </row>
    <row r="147" spans="1:2" ht="13" customHeight="1">
      <c r="A147" s="16"/>
      <c r="B147" s="17"/>
    </row>
    <row r="148" spans="1:2" ht="13" customHeight="1">
      <c r="A148" s="16"/>
      <c r="B148" s="17"/>
    </row>
    <row r="149" spans="1:2" ht="13" customHeight="1">
      <c r="A149" s="16"/>
      <c r="B149" s="17"/>
    </row>
    <row r="150" spans="1:2" ht="13" customHeight="1">
      <c r="A150" s="16"/>
      <c r="B150" s="17"/>
    </row>
    <row r="151" spans="1:2" ht="13" customHeight="1">
      <c r="A151" s="16"/>
      <c r="B151" s="17"/>
    </row>
    <row r="152" spans="1:2" ht="13" customHeight="1">
      <c r="A152" s="16"/>
      <c r="B152" s="17"/>
    </row>
    <row r="153" spans="1:2" ht="13" customHeight="1">
      <c r="A153" s="16"/>
      <c r="B153" s="17"/>
    </row>
    <row r="154" spans="1:2" ht="13" customHeight="1">
      <c r="A154" s="16"/>
      <c r="B154" s="17"/>
    </row>
    <row r="155" spans="1:2" ht="13" customHeight="1">
      <c r="A155" s="16"/>
      <c r="B155" s="17"/>
    </row>
    <row r="156" spans="1:2" ht="13" customHeight="1">
      <c r="A156" s="16"/>
      <c r="B156" s="17"/>
    </row>
    <row r="157" spans="1:2" ht="13" customHeight="1">
      <c r="A157" s="16"/>
      <c r="B157" s="17"/>
    </row>
    <row r="158" spans="1:2" ht="13" customHeight="1">
      <c r="A158" s="16"/>
      <c r="B158" s="17"/>
    </row>
    <row r="159" spans="1:2" ht="13" customHeight="1">
      <c r="A159" s="16"/>
      <c r="B159" s="17"/>
    </row>
    <row r="160" spans="1:2" ht="13" customHeight="1">
      <c r="A160" s="16"/>
      <c r="B160" s="17"/>
    </row>
    <row r="161" spans="1:2" ht="13" customHeight="1">
      <c r="A161" s="16"/>
      <c r="B161" s="17"/>
    </row>
    <row r="162" spans="1:2" ht="13" customHeight="1">
      <c r="A162" s="16"/>
      <c r="B162" s="17"/>
    </row>
    <row r="163" spans="1:2" ht="13" customHeight="1">
      <c r="A163" s="16"/>
      <c r="B163" s="17"/>
    </row>
    <row r="164" spans="1:2" ht="13" customHeight="1">
      <c r="A164" s="16"/>
      <c r="B164" s="17"/>
    </row>
    <row r="165" spans="1:2" ht="13" customHeight="1">
      <c r="A165" s="16"/>
      <c r="B165" s="17"/>
    </row>
    <row r="166" spans="1:2" ht="13" customHeight="1">
      <c r="A166" s="16"/>
      <c r="B166" s="17"/>
    </row>
    <row r="167" spans="1:2" ht="13" customHeight="1">
      <c r="A167" s="16"/>
      <c r="B167" s="17"/>
    </row>
    <row r="168" spans="1:2" ht="13" customHeight="1">
      <c r="A168" s="16"/>
      <c r="B168" s="17"/>
    </row>
    <row r="169" spans="1:2" ht="13" customHeight="1">
      <c r="A169" s="16"/>
      <c r="B169" s="17"/>
    </row>
    <row r="170" spans="1:2" ht="13" customHeight="1">
      <c r="A170" s="16"/>
      <c r="B170" s="17"/>
    </row>
    <row r="171" spans="1:2" ht="13" customHeight="1">
      <c r="A171" s="16"/>
      <c r="B171" s="17"/>
    </row>
    <row r="172" spans="1:2" ht="13" customHeight="1">
      <c r="A172" s="16"/>
      <c r="B172" s="17"/>
    </row>
    <row r="173" spans="1:2" ht="13" customHeight="1">
      <c r="A173" s="16"/>
      <c r="B173" s="17"/>
    </row>
    <row r="174" spans="1:2" ht="13" customHeight="1">
      <c r="A174" s="16"/>
      <c r="B174" s="17"/>
    </row>
    <row r="175" spans="1:2" ht="13" customHeight="1">
      <c r="A175" s="16"/>
      <c r="B175" s="17"/>
    </row>
    <row r="176" spans="1:2" ht="13" customHeight="1">
      <c r="A176" s="16"/>
      <c r="B176" s="17"/>
    </row>
    <row r="177" spans="1:2" ht="13" customHeight="1">
      <c r="A177" s="16"/>
      <c r="B177" s="17"/>
    </row>
    <row r="178" spans="1:2" ht="13" customHeight="1">
      <c r="A178" s="16"/>
      <c r="B178" s="17"/>
    </row>
    <row r="179" spans="1:2" ht="13" customHeight="1">
      <c r="A179" s="16"/>
      <c r="B179" s="17"/>
    </row>
    <row r="180" spans="1:2" ht="13" customHeight="1">
      <c r="A180" s="16"/>
      <c r="B180" s="17"/>
    </row>
    <row r="181" spans="1:2" ht="13" customHeight="1">
      <c r="A181" s="16"/>
      <c r="B181" s="17"/>
    </row>
    <row r="182" spans="1:2" ht="13" customHeight="1">
      <c r="A182" s="16"/>
      <c r="B182" s="17"/>
    </row>
    <row r="183" spans="1:2" ht="13" customHeight="1">
      <c r="A183" s="16"/>
      <c r="B183" s="17"/>
    </row>
    <row r="184" spans="1:2" ht="13" customHeight="1">
      <c r="A184" s="16"/>
      <c r="B184" s="17"/>
    </row>
    <row r="185" spans="1:2" ht="13" customHeight="1">
      <c r="A185" s="16"/>
      <c r="B185" s="17"/>
    </row>
    <row r="186" spans="1:2" ht="13" customHeight="1">
      <c r="A186" s="16"/>
      <c r="B186" s="17"/>
    </row>
    <row r="187" spans="1:2" ht="13" customHeight="1">
      <c r="A187" s="16"/>
      <c r="B187" s="17"/>
    </row>
    <row r="188" spans="1:2" ht="13" customHeight="1">
      <c r="A188" s="16"/>
      <c r="B188" s="17"/>
    </row>
    <row r="189" spans="1:2" ht="13" customHeight="1">
      <c r="A189" s="16"/>
      <c r="B189" s="17"/>
    </row>
    <row r="190" spans="1:2" ht="13" customHeight="1">
      <c r="A190" s="16"/>
      <c r="B190" s="17"/>
    </row>
    <row r="191" spans="1:2" ht="13" customHeight="1">
      <c r="A191" s="16"/>
      <c r="B191" s="17"/>
    </row>
    <row r="192" spans="1:2" ht="13" customHeight="1">
      <c r="A192" s="16"/>
      <c r="B192" s="17"/>
    </row>
    <row r="193" spans="1:2" ht="13" customHeight="1">
      <c r="A193" s="16"/>
      <c r="B193" s="17"/>
    </row>
    <row r="194" spans="1:2" ht="13" customHeight="1">
      <c r="A194" s="16"/>
      <c r="B194" s="17"/>
    </row>
    <row r="195" spans="1:2" ht="13" customHeight="1">
      <c r="A195" s="16"/>
      <c r="B195" s="17"/>
    </row>
    <row r="196" spans="1:2" ht="13" customHeight="1">
      <c r="A196" s="16"/>
      <c r="B196" s="17"/>
    </row>
    <row r="197" spans="1:2" ht="13" customHeight="1">
      <c r="A197" s="16"/>
      <c r="B197" s="17"/>
    </row>
    <row r="198" spans="1:2" ht="13" customHeight="1">
      <c r="A198" s="16"/>
      <c r="B198" s="17"/>
    </row>
    <row r="199" spans="1:2" ht="13" customHeight="1">
      <c r="A199" s="16"/>
      <c r="B199" s="17"/>
    </row>
    <row r="200" spans="1:2" ht="13" customHeight="1">
      <c r="A200" s="16"/>
      <c r="B200" s="17"/>
    </row>
    <row r="201" spans="1:2" ht="13" customHeight="1">
      <c r="A201" s="16"/>
      <c r="B201" s="17"/>
    </row>
    <row r="202" spans="1:2" ht="13" customHeight="1">
      <c r="A202" s="16"/>
      <c r="B202" s="17"/>
    </row>
    <row r="203" spans="1:2" ht="13" customHeight="1">
      <c r="A203" s="16"/>
      <c r="B203" s="17"/>
    </row>
    <row r="204" spans="1:2" ht="13" customHeight="1">
      <c r="A204" s="16"/>
      <c r="B204" s="17"/>
    </row>
    <row r="205" spans="1:2" ht="13" customHeight="1">
      <c r="A205" s="16"/>
      <c r="B205" s="17"/>
    </row>
    <row r="206" spans="1:2" ht="13" customHeight="1">
      <c r="A206" s="16"/>
      <c r="B206" s="17"/>
    </row>
    <row r="207" spans="1:2" ht="13" customHeight="1">
      <c r="A207" s="16"/>
      <c r="B207" s="17"/>
    </row>
    <row r="208" spans="1:2" ht="13" customHeight="1">
      <c r="A208" s="16"/>
      <c r="B208" s="17"/>
    </row>
    <row r="209" spans="1:2" ht="13" customHeight="1">
      <c r="A209" s="16"/>
      <c r="B209" s="17"/>
    </row>
    <row r="210" spans="1:2" ht="13" customHeight="1">
      <c r="A210" s="16"/>
      <c r="B210" s="17"/>
    </row>
    <row r="211" spans="1:2" ht="13" customHeight="1">
      <c r="A211" s="16"/>
      <c r="B211" s="17"/>
    </row>
    <row r="212" spans="1:2" ht="13" customHeight="1">
      <c r="A212" s="16"/>
      <c r="B212" s="17"/>
    </row>
    <row r="213" spans="1:2" ht="13" customHeight="1">
      <c r="A213" s="16"/>
      <c r="B213" s="17"/>
    </row>
    <row r="214" spans="1:2" ht="13" customHeight="1">
      <c r="A214" s="16"/>
      <c r="B214" s="17"/>
    </row>
    <row r="215" spans="1:2" ht="13" customHeight="1">
      <c r="A215" s="16"/>
      <c r="B215" s="17"/>
    </row>
    <row r="216" spans="1:2" ht="13" customHeight="1">
      <c r="A216" s="16"/>
      <c r="B216" s="17"/>
    </row>
    <row r="217" spans="1:2" ht="13" customHeight="1">
      <c r="A217" s="16"/>
      <c r="B217" s="17"/>
    </row>
    <row r="218" spans="1:2" ht="13" customHeight="1">
      <c r="A218" s="16"/>
      <c r="B218" s="17"/>
    </row>
    <row r="219" spans="1:2" ht="13" customHeight="1">
      <c r="A219" s="16"/>
      <c r="B219" s="17"/>
    </row>
    <row r="220" spans="1:2" ht="13" customHeight="1">
      <c r="A220" s="16"/>
      <c r="B220" s="17"/>
    </row>
    <row r="221" spans="1:2" ht="13" customHeight="1">
      <c r="A221" s="16"/>
      <c r="B221" s="17"/>
    </row>
    <row r="222" spans="1:2" ht="13" customHeight="1">
      <c r="A222" s="16"/>
      <c r="B222" s="17"/>
    </row>
    <row r="223" spans="1:2" ht="13" customHeight="1">
      <c r="A223" s="16"/>
      <c r="B223" s="17"/>
    </row>
    <row r="224" spans="1:2" ht="13" customHeight="1">
      <c r="A224" s="16"/>
      <c r="B224" s="17"/>
    </row>
    <row r="225" spans="1:2" ht="13" customHeight="1">
      <c r="A225" s="16"/>
      <c r="B225" s="17"/>
    </row>
    <row r="226" spans="1:2" ht="13" customHeight="1">
      <c r="A226" s="16"/>
      <c r="B226" s="17"/>
    </row>
    <row r="227" spans="1:2" ht="13" customHeight="1">
      <c r="A227" s="16"/>
      <c r="B227" s="17"/>
    </row>
    <row r="228" spans="1:2" ht="13" customHeight="1">
      <c r="A228" s="16"/>
      <c r="B228" s="17"/>
    </row>
    <row r="229" spans="1:2" ht="13" customHeight="1">
      <c r="A229" s="16"/>
      <c r="B229" s="17"/>
    </row>
    <row r="230" spans="1:2" ht="13" customHeight="1">
      <c r="A230" s="16"/>
      <c r="B230" s="17"/>
    </row>
    <row r="231" spans="1:2" ht="13" customHeight="1">
      <c r="A231" s="16"/>
      <c r="B231" s="17"/>
    </row>
    <row r="232" spans="1:2" ht="13" customHeight="1">
      <c r="A232" s="16"/>
      <c r="B232" s="17"/>
    </row>
    <row r="233" spans="1:2" ht="13" customHeight="1">
      <c r="A233" s="16"/>
      <c r="B233" s="17"/>
    </row>
    <row r="234" spans="1:2" ht="13" customHeight="1">
      <c r="A234" s="16"/>
      <c r="B234" s="17"/>
    </row>
    <row r="235" spans="1:2" ht="13" customHeight="1">
      <c r="A235" s="16"/>
      <c r="B235" s="17"/>
    </row>
    <row r="236" spans="1:2" ht="13" customHeight="1">
      <c r="A236" s="16"/>
      <c r="B236" s="17"/>
    </row>
    <row r="237" spans="1:2" ht="13" customHeight="1">
      <c r="A237" s="16"/>
      <c r="B237" s="17"/>
    </row>
    <row r="238" spans="1:2" ht="13" customHeight="1">
      <c r="A238" s="16"/>
      <c r="B238" s="17"/>
    </row>
    <row r="239" spans="1:2" ht="13" customHeight="1">
      <c r="A239" s="16"/>
      <c r="B239" s="17"/>
    </row>
    <row r="240" spans="1:2" ht="13" customHeight="1">
      <c r="A240" s="16"/>
      <c r="B240" s="17"/>
    </row>
    <row r="241" spans="1:2" ht="13" customHeight="1">
      <c r="A241" s="16"/>
      <c r="B241" s="17"/>
    </row>
    <row r="242" spans="1:2" ht="13" customHeight="1">
      <c r="A242" s="16"/>
      <c r="B242" s="17"/>
    </row>
    <row r="243" spans="1:2" ht="13" customHeight="1">
      <c r="A243" s="16"/>
      <c r="B243" s="17"/>
    </row>
    <row r="244" spans="1:2" ht="13" customHeight="1">
      <c r="A244" s="16"/>
      <c r="B244" s="17"/>
    </row>
    <row r="245" spans="1:2" ht="13" customHeight="1">
      <c r="A245" s="16"/>
      <c r="B245" s="17"/>
    </row>
    <row r="246" spans="1:2" ht="13" customHeight="1">
      <c r="A246" s="16"/>
      <c r="B246" s="17"/>
    </row>
    <row r="247" spans="1:2" ht="13" customHeight="1">
      <c r="A247" s="16"/>
      <c r="B247" s="17"/>
    </row>
    <row r="248" spans="1:2" ht="13" customHeight="1">
      <c r="A248" s="16"/>
      <c r="B248" s="17"/>
    </row>
    <row r="249" spans="1:2" ht="13" customHeight="1">
      <c r="A249" s="16"/>
      <c r="B249" s="17"/>
    </row>
    <row r="250" spans="1:2" ht="13" customHeight="1">
      <c r="A250" s="16"/>
      <c r="B250" s="17"/>
    </row>
    <row r="251" spans="1:2" ht="13" customHeight="1">
      <c r="A251" s="16"/>
      <c r="B251" s="17"/>
    </row>
    <row r="252" spans="1:2" ht="13" customHeight="1">
      <c r="A252" s="16"/>
      <c r="B252" s="17"/>
    </row>
    <row r="253" spans="1:2" ht="13" customHeight="1">
      <c r="A253" s="16"/>
      <c r="B253" s="17"/>
    </row>
    <row r="254" spans="1:2" ht="13" customHeight="1">
      <c r="A254" s="16"/>
      <c r="B254" s="17"/>
    </row>
    <row r="255" spans="1:2" ht="13" customHeight="1">
      <c r="A255" s="16"/>
      <c r="B255" s="17"/>
    </row>
    <row r="256" spans="1:2" ht="13" customHeight="1">
      <c r="A256" s="16"/>
      <c r="B256" s="17"/>
    </row>
    <row r="257" spans="1:2" ht="13" customHeight="1">
      <c r="A257" s="16"/>
      <c r="B257" s="17"/>
    </row>
    <row r="258" spans="1:2" ht="13" customHeight="1">
      <c r="A258" s="16"/>
      <c r="B258" s="17"/>
    </row>
    <row r="259" spans="1:2" ht="13" customHeight="1">
      <c r="A259" s="16"/>
      <c r="B259" s="17"/>
    </row>
    <row r="260" spans="1:2" ht="13" customHeight="1">
      <c r="A260" s="16"/>
      <c r="B260" s="17"/>
    </row>
    <row r="261" spans="1:2" ht="13" customHeight="1">
      <c r="A261" s="16"/>
      <c r="B261" s="17"/>
    </row>
    <row r="262" spans="1:2" ht="13" customHeight="1">
      <c r="A262" s="16"/>
      <c r="B262" s="17"/>
    </row>
    <row r="263" spans="1:2" ht="13" customHeight="1">
      <c r="A263" s="16"/>
      <c r="B263" s="17"/>
    </row>
    <row r="264" spans="1:2" ht="13" customHeight="1">
      <c r="A264" s="16"/>
      <c r="B264" s="17"/>
    </row>
    <row r="265" spans="1:2" ht="13" customHeight="1">
      <c r="A265" s="16"/>
      <c r="B265" s="17"/>
    </row>
    <row r="266" spans="1:2" ht="13" customHeight="1">
      <c r="A266" s="16"/>
      <c r="B266" s="17"/>
    </row>
    <row r="267" spans="1:2" ht="13" customHeight="1">
      <c r="A267" s="16"/>
      <c r="B267" s="17"/>
    </row>
    <row r="268" spans="1:2" ht="13" customHeight="1">
      <c r="A268" s="16"/>
      <c r="B268" s="17"/>
    </row>
    <row r="269" spans="1:2" ht="13" customHeight="1">
      <c r="A269" s="16"/>
      <c r="B269" s="17"/>
    </row>
    <row r="270" spans="1:2" ht="13" customHeight="1">
      <c r="A270" s="16"/>
      <c r="B270" s="17"/>
    </row>
    <row r="271" spans="1:2" ht="13" customHeight="1">
      <c r="A271" s="16"/>
      <c r="B271" s="17"/>
    </row>
    <row r="272" spans="1:2" ht="13" customHeight="1">
      <c r="A272" s="16"/>
      <c r="B272" s="17"/>
    </row>
    <row r="273" spans="1:2" ht="13" customHeight="1">
      <c r="A273" s="16"/>
      <c r="B273" s="17"/>
    </row>
    <row r="274" spans="1:2" ht="13" customHeight="1">
      <c r="A274" s="16"/>
      <c r="B274" s="17"/>
    </row>
    <row r="275" spans="1:2" ht="13" customHeight="1">
      <c r="A275" s="16"/>
      <c r="B275" s="17"/>
    </row>
    <row r="276" spans="1:2" ht="13" customHeight="1">
      <c r="A276" s="16"/>
      <c r="B276" s="17"/>
    </row>
    <row r="277" spans="1:2" ht="13" customHeight="1">
      <c r="A277" s="16"/>
      <c r="B277" s="17"/>
    </row>
    <row r="278" spans="1:2" ht="13" customHeight="1">
      <c r="A278" s="16"/>
      <c r="B278" s="17"/>
    </row>
    <row r="279" spans="1:2" ht="13" customHeight="1">
      <c r="A279" s="16"/>
      <c r="B279" s="17"/>
    </row>
    <row r="280" spans="1:2" ht="13" customHeight="1">
      <c r="A280" s="16"/>
      <c r="B280" s="17"/>
    </row>
    <row r="281" spans="1:2" ht="13" customHeight="1">
      <c r="A281" s="16"/>
      <c r="B281" s="17"/>
    </row>
    <row r="282" spans="1:2" ht="13" customHeight="1">
      <c r="A282" s="16"/>
      <c r="B282" s="17"/>
    </row>
    <row r="283" spans="1:2" ht="13" customHeight="1">
      <c r="A283" s="16"/>
      <c r="B283" s="17"/>
    </row>
    <row r="284" spans="1:2" ht="13" customHeight="1">
      <c r="A284" s="16"/>
      <c r="B284" s="17"/>
    </row>
    <row r="285" spans="1:2" ht="13" customHeight="1">
      <c r="A285" s="16"/>
      <c r="B285" s="17"/>
    </row>
    <row r="286" spans="1:2" ht="13" customHeight="1">
      <c r="A286" s="16"/>
      <c r="B286" s="17"/>
    </row>
    <row r="287" spans="1:2" ht="13" customHeight="1">
      <c r="A287" s="16"/>
      <c r="B287" s="17"/>
    </row>
    <row r="288" spans="1:2" ht="13" customHeight="1">
      <c r="A288" s="16"/>
      <c r="B288" s="17"/>
    </row>
    <row r="289" spans="1:2" ht="13" customHeight="1">
      <c r="A289" s="16"/>
      <c r="B289" s="17"/>
    </row>
    <row r="290" spans="1:2" ht="13" customHeight="1">
      <c r="A290" s="16"/>
      <c r="B290" s="17"/>
    </row>
    <row r="291" spans="1:2" ht="13" customHeight="1">
      <c r="A291" s="16"/>
      <c r="B291" s="17"/>
    </row>
    <row r="292" spans="1:2" ht="13" customHeight="1">
      <c r="A292" s="16"/>
      <c r="B292" s="17"/>
    </row>
    <row r="293" spans="1:2" ht="13" customHeight="1">
      <c r="A293" s="16"/>
      <c r="B293" s="17"/>
    </row>
    <row r="294" spans="1:2" ht="13" customHeight="1">
      <c r="A294" s="16"/>
      <c r="B294" s="17"/>
    </row>
    <row r="295" spans="1:2" ht="13" customHeight="1">
      <c r="A295" s="16"/>
      <c r="B295" s="17"/>
    </row>
    <row r="296" spans="1:2" ht="13" customHeight="1">
      <c r="A296" s="16"/>
      <c r="B296" s="17"/>
    </row>
    <row r="297" spans="1:2" ht="13" customHeight="1">
      <c r="A297" s="16"/>
      <c r="B297" s="17"/>
    </row>
    <row r="298" spans="1:2" ht="13" customHeight="1">
      <c r="A298" s="16"/>
      <c r="B298" s="17"/>
    </row>
    <row r="299" spans="1:2" ht="13" customHeight="1">
      <c r="A299" s="16"/>
      <c r="B299" s="17"/>
    </row>
    <row r="300" spans="1:2" ht="13" customHeight="1">
      <c r="A300" s="16"/>
      <c r="B300" s="17"/>
    </row>
    <row r="301" spans="1:2" ht="13" customHeight="1">
      <c r="A301" s="16"/>
      <c r="B301" s="17"/>
    </row>
    <row r="302" spans="1:2" ht="13" customHeight="1">
      <c r="A302" s="16"/>
      <c r="B302" s="17"/>
    </row>
    <row r="303" spans="1:2" ht="13" customHeight="1">
      <c r="A303" s="16"/>
      <c r="B303" s="17"/>
    </row>
    <row r="304" spans="1:2" ht="13" customHeight="1">
      <c r="A304" s="16"/>
      <c r="B304" s="17"/>
    </row>
    <row r="305" spans="1:2" ht="13" customHeight="1">
      <c r="A305" s="16"/>
      <c r="B305" s="17"/>
    </row>
    <row r="306" spans="1:2" ht="13" customHeight="1">
      <c r="A306" s="16"/>
      <c r="B306" s="17"/>
    </row>
    <row r="307" spans="1:2" ht="13" customHeight="1">
      <c r="A307" s="16"/>
      <c r="B307" s="17"/>
    </row>
    <row r="308" spans="1:2" ht="13" customHeight="1">
      <c r="A308" s="16"/>
      <c r="B308" s="17"/>
    </row>
    <row r="309" spans="1:2" ht="13" customHeight="1">
      <c r="A309" s="16"/>
      <c r="B309" s="17"/>
    </row>
    <row r="310" spans="1:2" ht="13" customHeight="1">
      <c r="A310" s="16"/>
      <c r="B310" s="17"/>
    </row>
    <row r="311" spans="1:2" ht="13" customHeight="1">
      <c r="A311" s="16"/>
      <c r="B311" s="17"/>
    </row>
    <row r="312" spans="1:2" ht="13" customHeight="1">
      <c r="A312" s="16"/>
      <c r="B312" s="17"/>
    </row>
    <row r="313" spans="1:2" ht="13" customHeight="1">
      <c r="A313" s="16"/>
      <c r="B313" s="17"/>
    </row>
    <row r="314" spans="1:2" ht="13" customHeight="1">
      <c r="A314" s="16"/>
      <c r="B314" s="17"/>
    </row>
    <row r="315" spans="1:2" ht="13" customHeight="1">
      <c r="A315" s="16"/>
      <c r="B315" s="17"/>
    </row>
    <row r="316" spans="1:2" ht="13" customHeight="1">
      <c r="A316" s="16"/>
      <c r="B316" s="17"/>
    </row>
    <row r="317" spans="1:2" ht="13" customHeight="1">
      <c r="A317" s="16"/>
      <c r="B317" s="17"/>
    </row>
    <row r="318" spans="1:2" ht="13" customHeight="1">
      <c r="A318" s="16"/>
      <c r="B318" s="17"/>
    </row>
    <row r="319" spans="1:2" ht="13" customHeight="1">
      <c r="A319" s="16"/>
      <c r="B319" s="17"/>
    </row>
    <row r="320" spans="1:2" ht="13" customHeight="1">
      <c r="A320" s="16"/>
      <c r="B320" s="17"/>
    </row>
    <row r="321" spans="1:2" ht="13" customHeight="1">
      <c r="A321" s="16"/>
      <c r="B321" s="17"/>
    </row>
    <row r="322" spans="1:2" ht="13" customHeight="1">
      <c r="A322" s="16"/>
      <c r="B322" s="17"/>
    </row>
    <row r="323" spans="1:2" ht="13" customHeight="1">
      <c r="A323" s="16"/>
      <c r="B323" s="17"/>
    </row>
    <row r="324" spans="1:2" ht="13" customHeight="1">
      <c r="A324" s="16"/>
      <c r="B324" s="17"/>
    </row>
    <row r="325" spans="1:2" ht="13" customHeight="1">
      <c r="A325" s="16"/>
      <c r="B325" s="17"/>
    </row>
    <row r="326" spans="1:2" ht="13" customHeight="1">
      <c r="A326" s="16"/>
      <c r="B326" s="17"/>
    </row>
    <row r="327" spans="1:2" ht="13" customHeight="1">
      <c r="A327" s="16"/>
      <c r="B327" s="17"/>
    </row>
    <row r="328" spans="1:2" ht="13" customHeight="1">
      <c r="A328" s="16"/>
      <c r="B328" s="17"/>
    </row>
    <row r="329" spans="1:2" ht="13" customHeight="1">
      <c r="A329" s="16"/>
      <c r="B329" s="17"/>
    </row>
    <row r="330" spans="1:2" ht="13" customHeight="1">
      <c r="A330" s="16"/>
      <c r="B330" s="17"/>
    </row>
    <row r="331" spans="1:2" ht="13" customHeight="1">
      <c r="A331" s="16"/>
      <c r="B331" s="17"/>
    </row>
    <row r="332" spans="1:2" ht="13" customHeight="1">
      <c r="A332" s="16"/>
      <c r="B332" s="17"/>
    </row>
    <row r="333" spans="1:2" ht="13" customHeight="1">
      <c r="A333" s="16"/>
      <c r="B333" s="17"/>
    </row>
    <row r="334" spans="1:2" ht="13" customHeight="1">
      <c r="A334" s="16"/>
      <c r="B334" s="17"/>
    </row>
    <row r="335" spans="1:2" ht="13" customHeight="1">
      <c r="A335" s="16"/>
      <c r="B335" s="17"/>
    </row>
    <row r="336" spans="1:2" ht="13" customHeight="1">
      <c r="A336" s="16"/>
      <c r="B336" s="17"/>
    </row>
    <row r="337" spans="1:2" ht="13" customHeight="1">
      <c r="A337" s="16"/>
      <c r="B337" s="17"/>
    </row>
    <row r="338" spans="1:2" ht="13" customHeight="1">
      <c r="A338" s="16"/>
      <c r="B338" s="17"/>
    </row>
    <row r="339" spans="1:2" ht="13" customHeight="1">
      <c r="A339" s="16"/>
      <c r="B339" s="17"/>
    </row>
    <row r="340" spans="1:2" ht="13" customHeight="1">
      <c r="A340" s="16"/>
      <c r="B340" s="17"/>
    </row>
    <row r="341" spans="1:2" ht="13" customHeight="1">
      <c r="A341" s="16"/>
      <c r="B341" s="17"/>
    </row>
    <row r="342" spans="1:2" ht="13" customHeight="1">
      <c r="A342" s="16"/>
      <c r="B342" s="17"/>
    </row>
    <row r="343" spans="1:2" ht="13" customHeight="1">
      <c r="A343" s="16"/>
      <c r="B343" s="17"/>
    </row>
    <row r="344" spans="1:2" ht="13" customHeight="1">
      <c r="A344" s="16"/>
      <c r="B344" s="17"/>
    </row>
    <row r="345" spans="1:2" ht="13" customHeight="1">
      <c r="A345" s="16"/>
      <c r="B345" s="17"/>
    </row>
    <row r="346" spans="1:2" ht="13" customHeight="1">
      <c r="A346" s="16"/>
      <c r="B346" s="17"/>
    </row>
    <row r="347" spans="1:2" ht="13" customHeight="1">
      <c r="A347" s="16"/>
      <c r="B347" s="17"/>
    </row>
    <row r="348" spans="1:2" ht="13" customHeight="1">
      <c r="A348" s="16"/>
      <c r="B348" s="17"/>
    </row>
    <row r="349" spans="1:2" ht="13" customHeight="1">
      <c r="A349" s="16"/>
      <c r="B349" s="17"/>
    </row>
    <row r="350" spans="1:2" ht="13" customHeight="1">
      <c r="A350" s="16"/>
      <c r="B350" s="17"/>
    </row>
    <row r="351" spans="1:2" ht="13" customHeight="1">
      <c r="A351" s="16"/>
      <c r="B351" s="17"/>
    </row>
    <row r="352" spans="1:2" ht="13" customHeight="1">
      <c r="A352" s="16"/>
      <c r="B352" s="17"/>
    </row>
    <row r="353" spans="1:2" ht="13" customHeight="1">
      <c r="A353" s="16"/>
      <c r="B353" s="17"/>
    </row>
    <row r="354" spans="1:2" ht="13" customHeight="1">
      <c r="A354" s="16"/>
      <c r="B354" s="17"/>
    </row>
    <row r="355" spans="1:2" ht="13" customHeight="1">
      <c r="A355" s="16"/>
      <c r="B355" s="17"/>
    </row>
    <row r="356" spans="1:2" ht="13" customHeight="1">
      <c r="A356" s="16"/>
      <c r="B356" s="17"/>
    </row>
    <row r="357" spans="1:2" ht="13" customHeight="1">
      <c r="A357" s="16"/>
      <c r="B357" s="17"/>
    </row>
    <row r="358" spans="1:2" ht="13" customHeight="1">
      <c r="A358" s="16"/>
      <c r="B358" s="17"/>
    </row>
    <row r="359" spans="1:2" ht="13" customHeight="1">
      <c r="A359" s="16"/>
      <c r="B359" s="17"/>
    </row>
    <row r="360" spans="1:2" ht="13" customHeight="1">
      <c r="A360" s="16"/>
      <c r="B360" s="17"/>
    </row>
    <row r="361" spans="1:2" ht="13" customHeight="1">
      <c r="A361" s="16"/>
      <c r="B361" s="17"/>
    </row>
    <row r="362" spans="1:2" ht="13" customHeight="1">
      <c r="A362" s="16"/>
      <c r="B362" s="17"/>
    </row>
    <row r="363" spans="1:2" ht="13" customHeight="1">
      <c r="A363" s="16"/>
      <c r="B363" s="17"/>
    </row>
    <row r="364" spans="1:2" ht="13" customHeight="1">
      <c r="A364" s="16"/>
      <c r="B364" s="17"/>
    </row>
    <row r="365" spans="1:2" ht="13" customHeight="1">
      <c r="A365" s="16"/>
      <c r="B365" s="17"/>
    </row>
    <row r="366" spans="1:2" ht="13" customHeight="1">
      <c r="A366" s="16"/>
      <c r="B366" s="17"/>
    </row>
    <row r="367" spans="1:2" ht="13" customHeight="1">
      <c r="A367" s="16"/>
      <c r="B367" s="17"/>
    </row>
    <row r="368" spans="1:2" ht="13" customHeight="1">
      <c r="A368" s="16"/>
      <c r="B368" s="17"/>
    </row>
    <row r="369" spans="1:2" ht="13" customHeight="1">
      <c r="A369" s="16"/>
      <c r="B369" s="17"/>
    </row>
    <row r="370" spans="1:2" ht="13" customHeight="1">
      <c r="A370" s="16"/>
      <c r="B370" s="17"/>
    </row>
    <row r="371" spans="1:2" ht="13" customHeight="1">
      <c r="A371" s="16"/>
      <c r="B371" s="17"/>
    </row>
    <row r="372" spans="1:2" ht="13" customHeight="1">
      <c r="A372" s="16"/>
      <c r="B372" s="17"/>
    </row>
    <row r="373" spans="1:2" ht="13" customHeight="1">
      <c r="A373" s="16"/>
      <c r="B373" s="17"/>
    </row>
    <row r="374" spans="1:2" ht="13" customHeight="1">
      <c r="A374" s="16"/>
      <c r="B374" s="17"/>
    </row>
    <row r="375" spans="1:2" ht="13" customHeight="1">
      <c r="A375" s="16"/>
      <c r="B375" s="17"/>
    </row>
    <row r="376" spans="1:2" ht="13" customHeight="1">
      <c r="A376" s="16"/>
      <c r="B376" s="17"/>
    </row>
    <row r="377" spans="1:2" ht="13" customHeight="1">
      <c r="A377" s="16"/>
      <c r="B377" s="17"/>
    </row>
    <row r="378" spans="1:2" ht="13" customHeight="1">
      <c r="A378" s="16"/>
      <c r="B378" s="17"/>
    </row>
    <row r="379" spans="1:2" ht="13" customHeight="1">
      <c r="A379" s="16"/>
      <c r="B379" s="17"/>
    </row>
    <row r="380" spans="1:2" ht="13" customHeight="1">
      <c r="A380" s="16"/>
      <c r="B380" s="17"/>
    </row>
    <row r="381" spans="1:2" ht="13" customHeight="1">
      <c r="A381" s="16"/>
      <c r="B381" s="17"/>
    </row>
    <row r="382" spans="1:2" ht="13" customHeight="1">
      <c r="A382" s="16"/>
      <c r="B382" s="17"/>
    </row>
    <row r="383" spans="1:2" ht="13" customHeight="1">
      <c r="A383" s="16"/>
      <c r="B383" s="17"/>
    </row>
    <row r="384" spans="1:2" ht="13" customHeight="1">
      <c r="A384" s="16"/>
      <c r="B384" s="17"/>
    </row>
    <row r="385" spans="1:2" ht="13" customHeight="1">
      <c r="A385" s="16"/>
      <c r="B385" s="17"/>
    </row>
    <row r="386" spans="1:2" ht="13" customHeight="1">
      <c r="A386" s="16"/>
      <c r="B386" s="17"/>
    </row>
    <row r="387" spans="1:2" ht="13" customHeight="1">
      <c r="A387" s="16"/>
      <c r="B387" s="17"/>
    </row>
    <row r="388" spans="1:2" ht="13" customHeight="1">
      <c r="A388" s="16"/>
      <c r="B388" s="17"/>
    </row>
    <row r="389" spans="1:2" ht="13" customHeight="1">
      <c r="A389" s="16"/>
      <c r="B389" s="17"/>
    </row>
    <row r="390" spans="1:2" ht="13" customHeight="1">
      <c r="A390" s="16"/>
      <c r="B390" s="17"/>
    </row>
    <row r="391" spans="1:2" ht="13" customHeight="1">
      <c r="A391" s="16"/>
      <c r="B391" s="17"/>
    </row>
    <row r="392" spans="1:2" ht="13" customHeight="1">
      <c r="A392" s="16"/>
      <c r="B392" s="17"/>
    </row>
    <row r="393" spans="1:2" ht="13" customHeight="1">
      <c r="A393" s="16"/>
      <c r="B393" s="17"/>
    </row>
    <row r="394" spans="1:2" ht="13" customHeight="1">
      <c r="A394" s="16"/>
      <c r="B394" s="17"/>
    </row>
    <row r="395" spans="1:2" ht="13" customHeight="1">
      <c r="A395" s="16"/>
      <c r="B395" s="17"/>
    </row>
    <row r="396" spans="1:2" ht="13" customHeight="1">
      <c r="A396" s="16"/>
      <c r="B396" s="17"/>
    </row>
    <row r="397" spans="1:2" ht="13" customHeight="1">
      <c r="A397" s="16"/>
      <c r="B397" s="17"/>
    </row>
    <row r="398" spans="1:2" ht="13" customHeight="1">
      <c r="A398" s="16"/>
      <c r="B398" s="17"/>
    </row>
    <row r="399" spans="1:2" ht="13" customHeight="1">
      <c r="A399" s="16"/>
      <c r="B399" s="17"/>
    </row>
    <row r="400" spans="1:2" ht="13" customHeight="1">
      <c r="A400" s="16"/>
      <c r="B400" s="17"/>
    </row>
    <row r="401" spans="1:2" ht="13" customHeight="1">
      <c r="A401" s="16"/>
      <c r="B401" s="17"/>
    </row>
    <row r="402" spans="1:2" ht="13" customHeight="1">
      <c r="A402" s="16"/>
      <c r="B402" s="17"/>
    </row>
    <row r="403" spans="1:2" ht="13" customHeight="1">
      <c r="A403" s="16"/>
      <c r="B403" s="17"/>
    </row>
    <row r="404" spans="1:2" ht="13" customHeight="1">
      <c r="A404" s="16"/>
      <c r="B404" s="17"/>
    </row>
    <row r="405" spans="1:2" ht="13" customHeight="1">
      <c r="A405" s="16"/>
      <c r="B405" s="17"/>
    </row>
    <row r="406" spans="1:2" ht="13" customHeight="1">
      <c r="A406" s="16"/>
      <c r="B406" s="17"/>
    </row>
    <row r="407" spans="1:2" ht="13" customHeight="1">
      <c r="A407" s="16"/>
      <c r="B407" s="17"/>
    </row>
    <row r="408" spans="1:2" ht="13" customHeight="1">
      <c r="A408" s="16"/>
      <c r="B408" s="17"/>
    </row>
    <row r="409" spans="1:2" ht="13" customHeight="1">
      <c r="A409" s="16"/>
      <c r="B409" s="17"/>
    </row>
    <row r="410" spans="1:2" ht="13" customHeight="1">
      <c r="A410" s="16"/>
      <c r="B410" s="17"/>
    </row>
    <row r="411" spans="1:2" ht="13" customHeight="1">
      <c r="A411" s="16"/>
      <c r="B411" s="17"/>
    </row>
    <row r="412" spans="1:2" ht="13" customHeight="1">
      <c r="A412" s="16"/>
      <c r="B412" s="17"/>
    </row>
    <row r="413" spans="1:2" ht="13" customHeight="1">
      <c r="A413" s="16"/>
      <c r="B413" s="17"/>
    </row>
    <row r="414" spans="1:2" ht="13" customHeight="1">
      <c r="A414" s="16"/>
      <c r="B414" s="17"/>
    </row>
    <row r="415" spans="1:2" ht="13" customHeight="1">
      <c r="A415" s="16"/>
      <c r="B415" s="17"/>
    </row>
    <row r="416" spans="1:2" ht="13" customHeight="1">
      <c r="A416" s="16"/>
      <c r="B416" s="17"/>
    </row>
    <row r="417" spans="1:2" ht="13" customHeight="1">
      <c r="A417" s="16"/>
      <c r="B417" s="17"/>
    </row>
    <row r="418" spans="1:2" ht="13" customHeight="1">
      <c r="A418" s="16"/>
      <c r="B418" s="17"/>
    </row>
    <row r="419" spans="1:2" ht="13" customHeight="1">
      <c r="A419" s="16"/>
      <c r="B419" s="17"/>
    </row>
    <row r="420" spans="1:2" ht="13" customHeight="1">
      <c r="A420" s="16"/>
      <c r="B420" s="17"/>
    </row>
    <row r="421" spans="1:2" ht="13" customHeight="1">
      <c r="A421" s="16"/>
      <c r="B421" s="17"/>
    </row>
    <row r="422" spans="1:2" ht="13" customHeight="1">
      <c r="A422" s="16"/>
      <c r="B422" s="17"/>
    </row>
    <row r="423" spans="1:2" ht="13" customHeight="1">
      <c r="A423" s="16"/>
      <c r="B423" s="17"/>
    </row>
    <row r="424" spans="1:2" ht="13" customHeight="1">
      <c r="A424" s="16"/>
      <c r="B424" s="17"/>
    </row>
    <row r="425" spans="1:2" ht="13" customHeight="1">
      <c r="A425" s="16"/>
      <c r="B425" s="17"/>
    </row>
    <row r="426" spans="1:2" ht="13" customHeight="1">
      <c r="A426" s="16"/>
      <c r="B426" s="17"/>
    </row>
    <row r="427" spans="1:2" ht="13" customHeight="1">
      <c r="A427" s="16"/>
      <c r="B427" s="17"/>
    </row>
    <row r="428" spans="1:2" ht="13" customHeight="1">
      <c r="A428" s="16"/>
      <c r="B428" s="17"/>
    </row>
    <row r="429" spans="1:2" ht="13" customHeight="1">
      <c r="A429" s="16"/>
      <c r="B429" s="17"/>
    </row>
    <row r="430" spans="1:2" ht="13" customHeight="1">
      <c r="A430" s="16"/>
      <c r="B430" s="17"/>
    </row>
    <row r="431" spans="1:2" ht="13" customHeight="1">
      <c r="A431" s="16"/>
      <c r="B431" s="17"/>
    </row>
    <row r="432" spans="1:2" ht="13" customHeight="1">
      <c r="A432" s="16"/>
      <c r="B432" s="17"/>
    </row>
    <row r="433" spans="1:2" ht="13" customHeight="1">
      <c r="A433" s="16"/>
      <c r="B433" s="17"/>
    </row>
    <row r="434" spans="1:2" ht="13" customHeight="1">
      <c r="A434" s="16"/>
      <c r="B434" s="17"/>
    </row>
    <row r="435" spans="1:2" ht="13" customHeight="1">
      <c r="A435" s="16"/>
      <c r="B435" s="17"/>
    </row>
    <row r="436" spans="1:2" ht="13" customHeight="1">
      <c r="A436" s="16"/>
      <c r="B436" s="17"/>
    </row>
    <row r="437" spans="1:2" ht="13" customHeight="1">
      <c r="A437" s="16"/>
      <c r="B437" s="17"/>
    </row>
    <row r="438" spans="1:2" ht="13" customHeight="1">
      <c r="A438" s="16"/>
      <c r="B438" s="17"/>
    </row>
    <row r="439" spans="1:2" ht="13" customHeight="1">
      <c r="A439" s="16"/>
      <c r="B439" s="17"/>
    </row>
    <row r="440" spans="1:2" ht="13" customHeight="1">
      <c r="A440" s="16"/>
      <c r="B440" s="17"/>
    </row>
    <row r="441" spans="1:2" ht="13" customHeight="1">
      <c r="A441" s="16"/>
      <c r="B441" s="17"/>
    </row>
    <row r="442" spans="1:2" ht="13" customHeight="1">
      <c r="A442" s="16"/>
      <c r="B442" s="17"/>
    </row>
    <row r="443" spans="1:2" ht="13" customHeight="1">
      <c r="A443" s="16"/>
      <c r="B443" s="17"/>
    </row>
    <row r="444" spans="1:2" ht="13" customHeight="1">
      <c r="A444" s="16"/>
      <c r="B444" s="17"/>
    </row>
    <row r="445" spans="1:2" ht="13" customHeight="1">
      <c r="A445" s="16"/>
      <c r="B445" s="17"/>
    </row>
    <row r="446" spans="1:2" ht="13" customHeight="1">
      <c r="A446" s="16"/>
      <c r="B446" s="17"/>
    </row>
    <row r="447" spans="1:2" ht="13" customHeight="1">
      <c r="A447" s="16"/>
      <c r="B447" s="17"/>
    </row>
    <row r="448" spans="1:2" ht="13" customHeight="1">
      <c r="A448" s="16"/>
      <c r="B448" s="17"/>
    </row>
    <row r="449" spans="1:2" ht="13" customHeight="1">
      <c r="A449" s="16"/>
      <c r="B449" s="17"/>
    </row>
    <row r="450" spans="1:2" ht="13" customHeight="1">
      <c r="A450" s="16"/>
      <c r="B450" s="17"/>
    </row>
    <row r="451" spans="1:2" ht="13" customHeight="1">
      <c r="A451" s="16"/>
      <c r="B451" s="17"/>
    </row>
    <row r="452" spans="1:2" ht="13" customHeight="1">
      <c r="A452" s="16"/>
      <c r="B452" s="17"/>
    </row>
    <row r="453" spans="1:2" ht="13" customHeight="1">
      <c r="A453" s="16"/>
      <c r="B453" s="17"/>
    </row>
    <row r="454" spans="1:2" ht="13" customHeight="1">
      <c r="A454" s="16"/>
      <c r="B454" s="17"/>
    </row>
    <row r="455" spans="1:2" ht="13" customHeight="1">
      <c r="A455" s="16"/>
      <c r="B455" s="17"/>
    </row>
    <row r="456" spans="1:2" ht="13" customHeight="1">
      <c r="A456" s="16"/>
      <c r="B456" s="17"/>
    </row>
    <row r="457" spans="1:2" ht="13" customHeight="1">
      <c r="A457" s="16"/>
      <c r="B457" s="17"/>
    </row>
    <row r="458" spans="1:2" ht="13" customHeight="1">
      <c r="A458" s="16"/>
      <c r="B458" s="17"/>
    </row>
    <row r="459" spans="1:2" ht="13" customHeight="1">
      <c r="A459" s="16"/>
      <c r="B459" s="17"/>
    </row>
    <row r="460" spans="1:2" ht="13" customHeight="1">
      <c r="A460" s="16"/>
      <c r="B460" s="17"/>
    </row>
    <row r="461" spans="1:2" ht="13" customHeight="1">
      <c r="A461" s="16"/>
      <c r="B461" s="17"/>
    </row>
    <row r="462" spans="1:2" ht="13" customHeight="1">
      <c r="A462" s="16"/>
      <c r="B462" s="17"/>
    </row>
    <row r="463" spans="1:2" ht="13" customHeight="1">
      <c r="A463" s="16"/>
      <c r="B463" s="17"/>
    </row>
    <row r="464" spans="1:2" ht="13" customHeight="1">
      <c r="A464" s="16"/>
      <c r="B464" s="17"/>
    </row>
    <row r="465" spans="1:2" ht="13" customHeight="1">
      <c r="A465" s="16"/>
      <c r="B465" s="17"/>
    </row>
    <row r="466" spans="1:2" ht="13" customHeight="1">
      <c r="A466" s="16"/>
      <c r="B466" s="17"/>
    </row>
    <row r="467" spans="1:2" ht="13" customHeight="1">
      <c r="A467" s="16"/>
      <c r="B467" s="17"/>
    </row>
    <row r="468" spans="1:2" ht="13" customHeight="1">
      <c r="A468" s="16"/>
      <c r="B468" s="17"/>
    </row>
    <row r="469" spans="1:2" ht="13" customHeight="1">
      <c r="A469" s="16"/>
      <c r="B469" s="17"/>
    </row>
    <row r="470" spans="1:2" ht="13" customHeight="1">
      <c r="A470" s="16"/>
      <c r="B470" s="17"/>
    </row>
    <row r="471" spans="1:2" ht="13" customHeight="1">
      <c r="A471" s="16"/>
      <c r="B471" s="17"/>
    </row>
    <row r="472" spans="1:2" ht="13" customHeight="1">
      <c r="A472" s="16"/>
      <c r="B472" s="17"/>
    </row>
    <row r="473" spans="1:2" ht="13" customHeight="1">
      <c r="A473" s="16"/>
      <c r="B473" s="17"/>
    </row>
    <row r="474" spans="1:2" ht="13" customHeight="1">
      <c r="A474" s="16"/>
      <c r="B474" s="17"/>
    </row>
    <row r="475" spans="1:2" ht="13" customHeight="1">
      <c r="A475" s="16"/>
      <c r="B475" s="17"/>
    </row>
    <row r="476" spans="1:2" ht="13" customHeight="1">
      <c r="A476" s="16"/>
      <c r="B476" s="17"/>
    </row>
    <row r="477" spans="1:2" ht="13" customHeight="1">
      <c r="A477" s="16"/>
      <c r="B477" s="17"/>
    </row>
    <row r="478" spans="1:2" ht="13" customHeight="1">
      <c r="A478" s="16"/>
      <c r="B478" s="17"/>
    </row>
    <row r="479" spans="1:2" ht="13" customHeight="1">
      <c r="A479" s="16"/>
      <c r="B479" s="17"/>
    </row>
    <row r="480" spans="1:2" ht="13" customHeight="1">
      <c r="A480" s="16"/>
      <c r="B480" s="17"/>
    </row>
    <row r="481" spans="1:2" ht="13" customHeight="1">
      <c r="A481" s="16"/>
      <c r="B481" s="17"/>
    </row>
    <row r="482" spans="1:2" ht="13" customHeight="1">
      <c r="A482" s="16"/>
      <c r="B482" s="17"/>
    </row>
    <row r="483" spans="1:2" ht="13" customHeight="1">
      <c r="A483" s="16"/>
      <c r="B483" s="17"/>
    </row>
    <row r="484" spans="1:2" ht="13" customHeight="1">
      <c r="A484" s="16"/>
      <c r="B484" s="17"/>
    </row>
    <row r="485" spans="1:2" ht="13" customHeight="1">
      <c r="A485" s="16"/>
      <c r="B485" s="17"/>
    </row>
    <row r="486" spans="1:2" ht="13" customHeight="1">
      <c r="A486" s="16"/>
      <c r="B486" s="17"/>
    </row>
    <row r="487" spans="1:2" ht="13" customHeight="1">
      <c r="A487" s="16"/>
      <c r="B487" s="17"/>
    </row>
    <row r="488" spans="1:2" ht="13" customHeight="1">
      <c r="A488" s="16"/>
      <c r="B488" s="17"/>
    </row>
    <row r="489" spans="1:2" ht="13" customHeight="1">
      <c r="A489" s="16"/>
      <c r="B489" s="17"/>
    </row>
    <row r="490" spans="1:2" ht="13" customHeight="1">
      <c r="A490" s="16"/>
      <c r="B490" s="17"/>
    </row>
    <row r="491" spans="1:2" ht="13" customHeight="1">
      <c r="A491" s="16"/>
      <c r="B491" s="17"/>
    </row>
    <row r="492" spans="1:2" ht="13" customHeight="1">
      <c r="A492" s="16"/>
      <c r="B492" s="17"/>
    </row>
    <row r="493" spans="1:2" ht="13" customHeight="1">
      <c r="A493" s="16"/>
      <c r="B493" s="17"/>
    </row>
    <row r="494" spans="1:2" ht="13" customHeight="1">
      <c r="A494" s="16"/>
      <c r="B494" s="17"/>
    </row>
    <row r="495" spans="1:2" ht="13" customHeight="1">
      <c r="A495" s="16"/>
      <c r="B495" s="17"/>
    </row>
    <row r="496" spans="1:2" ht="13" customHeight="1">
      <c r="A496" s="16"/>
      <c r="B496" s="17"/>
    </row>
    <row r="497" spans="1:2" ht="13" customHeight="1">
      <c r="A497" s="16"/>
      <c r="B497" s="17"/>
    </row>
    <row r="498" spans="1:2" ht="13" customHeight="1">
      <c r="A498" s="16"/>
      <c r="B498" s="17"/>
    </row>
    <row r="499" spans="1:2" ht="13" customHeight="1">
      <c r="A499" s="16"/>
      <c r="B499" s="17"/>
    </row>
    <row r="500" spans="1:2" ht="13" customHeight="1">
      <c r="A500" s="16"/>
      <c r="B500" s="17"/>
    </row>
    <row r="501" spans="1:2" ht="13" customHeight="1">
      <c r="A501" s="16"/>
      <c r="B501" s="17"/>
    </row>
    <row r="502" spans="1:2" ht="13" customHeight="1">
      <c r="A502" s="16"/>
      <c r="B502" s="17"/>
    </row>
    <row r="503" spans="1:2" ht="13" customHeight="1">
      <c r="A503" s="16"/>
      <c r="B503" s="17"/>
    </row>
    <row r="504" spans="1:2" ht="13" customHeight="1">
      <c r="A504" s="16"/>
      <c r="B504" s="17"/>
    </row>
    <row r="505" spans="1:2" ht="13" customHeight="1">
      <c r="A505" s="16"/>
      <c r="B505" s="17"/>
    </row>
    <row r="506" spans="1:2" ht="13" customHeight="1">
      <c r="A506" s="16"/>
      <c r="B506" s="17"/>
    </row>
    <row r="507" spans="1:2" ht="13" customHeight="1">
      <c r="A507" s="16"/>
      <c r="B507" s="17"/>
    </row>
    <row r="508" spans="1:2" ht="13" customHeight="1">
      <c r="A508" s="16"/>
      <c r="B508" s="17"/>
    </row>
    <row r="509" spans="1:2" ht="13" customHeight="1">
      <c r="A509" s="16"/>
      <c r="B509" s="17"/>
    </row>
    <row r="510" spans="1:2" ht="13" customHeight="1">
      <c r="A510" s="16"/>
      <c r="B510" s="17"/>
    </row>
    <row r="511" spans="1:2" ht="13" customHeight="1">
      <c r="A511" s="16"/>
      <c r="B511" s="17"/>
    </row>
    <row r="512" spans="1:2" ht="13" customHeight="1">
      <c r="A512" s="16"/>
      <c r="B512" s="17"/>
    </row>
    <row r="513" spans="1:2" ht="13" customHeight="1">
      <c r="A513" s="16"/>
      <c r="B513" s="17"/>
    </row>
    <row r="514" spans="1:2" ht="13" customHeight="1">
      <c r="A514" s="16"/>
      <c r="B514" s="17"/>
    </row>
    <row r="515" spans="1:2" ht="13" customHeight="1">
      <c r="A515" s="16"/>
      <c r="B515" s="17"/>
    </row>
    <row r="516" spans="1:2" ht="13" customHeight="1">
      <c r="A516" s="16"/>
      <c r="B516" s="17"/>
    </row>
    <row r="517" spans="1:2" ht="13" customHeight="1">
      <c r="A517" s="16"/>
      <c r="B517" s="17"/>
    </row>
    <row r="518" spans="1:2" ht="13" customHeight="1">
      <c r="A518" s="16"/>
      <c r="B518" s="17"/>
    </row>
    <row r="519" spans="1:2" ht="13" customHeight="1">
      <c r="A519" s="16"/>
      <c r="B519" s="17"/>
    </row>
    <row r="520" spans="1:2" ht="13" customHeight="1">
      <c r="A520" s="16"/>
      <c r="B520" s="17"/>
    </row>
    <row r="521" spans="1:2" ht="13" customHeight="1">
      <c r="A521" s="16"/>
      <c r="B521" s="17"/>
    </row>
    <row r="522" spans="1:2" ht="13" customHeight="1">
      <c r="A522" s="16"/>
      <c r="B522" s="17"/>
    </row>
    <row r="523" spans="1:2" ht="13" customHeight="1">
      <c r="A523" s="16"/>
      <c r="B523" s="17"/>
    </row>
    <row r="524" spans="1:2" ht="13" customHeight="1">
      <c r="A524" s="16"/>
      <c r="B524" s="17"/>
    </row>
    <row r="525" spans="1:2" ht="13" customHeight="1">
      <c r="A525" s="16"/>
      <c r="B525" s="17"/>
    </row>
    <row r="526" spans="1:2" ht="13" customHeight="1">
      <c r="A526" s="16"/>
      <c r="B526" s="17"/>
    </row>
    <row r="527" spans="1:2" ht="13" customHeight="1">
      <c r="A527" s="16"/>
      <c r="B527" s="17"/>
    </row>
    <row r="528" spans="1:2" ht="13" customHeight="1">
      <c r="A528" s="16"/>
      <c r="B528" s="17"/>
    </row>
    <row r="529" spans="1:2" ht="13" customHeight="1">
      <c r="A529" s="16"/>
      <c r="B529" s="17"/>
    </row>
    <row r="530" spans="1:2" ht="13" customHeight="1">
      <c r="A530" s="16"/>
      <c r="B530" s="17"/>
    </row>
    <row r="531" spans="1:2" ht="13" customHeight="1">
      <c r="A531" s="16"/>
      <c r="B531" s="17"/>
    </row>
    <row r="532" spans="1:2" ht="13" customHeight="1">
      <c r="A532" s="16"/>
      <c r="B532" s="17"/>
    </row>
    <row r="533" spans="1:2" ht="13" customHeight="1">
      <c r="A533" s="16"/>
      <c r="B533" s="17"/>
    </row>
    <row r="534" spans="1:2" ht="13" customHeight="1">
      <c r="A534" s="16"/>
      <c r="B534" s="17"/>
    </row>
    <row r="535" spans="1:2" ht="13" customHeight="1">
      <c r="A535" s="16"/>
      <c r="B535" s="17"/>
    </row>
    <row r="536" spans="1:2" ht="13" customHeight="1">
      <c r="A536" s="16"/>
      <c r="B536" s="17"/>
    </row>
    <row r="537" spans="1:2" ht="13" customHeight="1">
      <c r="A537" s="16"/>
      <c r="B537" s="17"/>
    </row>
    <row r="538" spans="1:2" ht="13" customHeight="1">
      <c r="A538" s="16"/>
      <c r="B538" s="17"/>
    </row>
    <row r="539" spans="1:2" ht="13" customHeight="1">
      <c r="A539" s="16"/>
      <c r="B539" s="17"/>
    </row>
    <row r="540" spans="1:2" ht="13" customHeight="1">
      <c r="A540" s="16"/>
      <c r="B540" s="17"/>
    </row>
    <row r="541" spans="1:2" ht="13" customHeight="1">
      <c r="A541" s="16"/>
      <c r="B541" s="17"/>
    </row>
    <row r="542" spans="1:2" ht="13" customHeight="1">
      <c r="A542" s="16"/>
      <c r="B542" s="17"/>
    </row>
    <row r="543" spans="1:2" ht="13" customHeight="1">
      <c r="A543" s="16"/>
      <c r="B543" s="17"/>
    </row>
    <row r="544" spans="1:2" ht="13" customHeight="1">
      <c r="A544" s="16"/>
      <c r="B544" s="17"/>
    </row>
    <row r="545" spans="1:2" ht="13" customHeight="1">
      <c r="A545" s="16"/>
      <c r="B545" s="17"/>
    </row>
    <row r="546" spans="1:2" ht="13" customHeight="1">
      <c r="A546" s="16"/>
      <c r="B546" s="17"/>
    </row>
    <row r="547" spans="1:2" ht="13" customHeight="1">
      <c r="A547" s="16"/>
      <c r="B547" s="17"/>
    </row>
    <row r="548" spans="1:2" ht="13" customHeight="1">
      <c r="A548" s="16"/>
      <c r="B548" s="17"/>
    </row>
    <row r="549" spans="1:2" ht="13" customHeight="1">
      <c r="A549" s="16"/>
      <c r="B549" s="17"/>
    </row>
    <row r="550" spans="1:2" ht="13" customHeight="1">
      <c r="A550" s="16"/>
      <c r="B550" s="17"/>
    </row>
    <row r="551" spans="1:2" ht="13" customHeight="1">
      <c r="A551" s="16"/>
      <c r="B551" s="17"/>
    </row>
    <row r="552" spans="1:2" ht="13" customHeight="1">
      <c r="A552" s="16"/>
      <c r="B552" s="17"/>
    </row>
    <row r="553" spans="1:2" ht="13" customHeight="1">
      <c r="A553" s="16"/>
      <c r="B553" s="17"/>
    </row>
    <row r="554" spans="1:2" ht="13" customHeight="1">
      <c r="A554" s="16"/>
      <c r="B554" s="17"/>
    </row>
    <row r="555" spans="1:2" ht="13" customHeight="1">
      <c r="A555" s="16"/>
      <c r="B555" s="17"/>
    </row>
    <row r="556" spans="1:2" ht="13" customHeight="1">
      <c r="A556" s="16"/>
      <c r="B556" s="17"/>
    </row>
    <row r="557" spans="1:2" ht="13" customHeight="1">
      <c r="A557" s="16"/>
      <c r="B557" s="17"/>
    </row>
    <row r="558" spans="1:2" ht="13" customHeight="1">
      <c r="A558" s="16"/>
      <c r="B558" s="17"/>
    </row>
    <row r="559" spans="1:2" ht="13" customHeight="1">
      <c r="A559" s="16"/>
      <c r="B559" s="17"/>
    </row>
    <row r="560" spans="1:2" ht="13" customHeight="1">
      <c r="A560" s="16"/>
      <c r="B560" s="17"/>
    </row>
    <row r="561" spans="1:2" ht="13" customHeight="1">
      <c r="A561" s="16"/>
      <c r="B561" s="17"/>
    </row>
    <row r="562" spans="1:2" ht="13" customHeight="1">
      <c r="A562" s="16"/>
      <c r="B562" s="17"/>
    </row>
    <row r="563" spans="1:2" ht="13" customHeight="1">
      <c r="A563" s="16"/>
      <c r="B563" s="17"/>
    </row>
    <row r="564" spans="1:2" ht="13" customHeight="1">
      <c r="A564" s="16"/>
      <c r="B564" s="17"/>
    </row>
    <row r="565" spans="1:2" ht="13" customHeight="1">
      <c r="A565" s="16"/>
      <c r="B565" s="17"/>
    </row>
    <row r="566" spans="1:2" ht="13" customHeight="1">
      <c r="A566" s="16"/>
      <c r="B566" s="17"/>
    </row>
    <row r="567" spans="1:2" ht="13" customHeight="1">
      <c r="A567" s="16"/>
      <c r="B567" s="17"/>
    </row>
    <row r="568" spans="1:2" ht="13" customHeight="1">
      <c r="A568" s="16"/>
      <c r="B568" s="17"/>
    </row>
    <row r="569" spans="1:2" ht="13" customHeight="1">
      <c r="A569" s="16"/>
      <c r="B569" s="17"/>
    </row>
    <row r="570" spans="1:2" ht="13" customHeight="1">
      <c r="A570" s="16"/>
      <c r="B570" s="17"/>
    </row>
    <row r="571" spans="1:2" ht="13" customHeight="1">
      <c r="A571" s="16"/>
      <c r="B571" s="17"/>
    </row>
    <row r="572" spans="1:2" ht="13" customHeight="1">
      <c r="A572" s="16"/>
      <c r="B572" s="17"/>
    </row>
    <row r="573" spans="1:2" ht="13" customHeight="1">
      <c r="A573" s="16"/>
      <c r="B573" s="17"/>
    </row>
    <row r="574" spans="1:2" ht="13" customHeight="1">
      <c r="A574" s="16"/>
      <c r="B574" s="17"/>
    </row>
    <row r="575" spans="1:2" ht="13" customHeight="1">
      <c r="A575" s="16"/>
      <c r="B575" s="17"/>
    </row>
    <row r="576" spans="1:2" ht="13" customHeight="1">
      <c r="A576" s="16"/>
      <c r="B576" s="17"/>
    </row>
    <row r="577" spans="1:2" ht="13" customHeight="1">
      <c r="A577" s="16"/>
      <c r="B577" s="17"/>
    </row>
    <row r="578" spans="1:2" ht="13" customHeight="1">
      <c r="A578" s="16"/>
      <c r="B578" s="17"/>
    </row>
    <row r="579" spans="1:2" ht="13" customHeight="1">
      <c r="A579" s="16"/>
      <c r="B579" s="17"/>
    </row>
    <row r="580" spans="1:2" ht="13" customHeight="1">
      <c r="A580" s="16"/>
      <c r="B580" s="17"/>
    </row>
    <row r="581" spans="1:2" ht="13" customHeight="1">
      <c r="A581" s="16"/>
      <c r="B581" s="17"/>
    </row>
    <row r="582" spans="1:2" ht="13" customHeight="1">
      <c r="A582" s="16"/>
      <c r="B582" s="17"/>
    </row>
    <row r="583" spans="1:2" ht="13" customHeight="1">
      <c r="A583" s="16"/>
      <c r="B583" s="17"/>
    </row>
    <row r="584" spans="1:2" ht="13" customHeight="1">
      <c r="A584" s="16"/>
      <c r="B584" s="17"/>
    </row>
    <row r="585" spans="1:2" ht="13" customHeight="1">
      <c r="A585" s="16"/>
      <c r="B585" s="17"/>
    </row>
    <row r="586" spans="1:2" ht="13" customHeight="1">
      <c r="A586" s="16"/>
      <c r="B586" s="17"/>
    </row>
    <row r="587" spans="1:2" ht="13" customHeight="1">
      <c r="A587" s="16"/>
      <c r="B587" s="17"/>
    </row>
    <row r="588" spans="1:2" ht="13" customHeight="1">
      <c r="A588" s="16"/>
      <c r="B588" s="17"/>
    </row>
    <row r="589" spans="1:2" ht="13" customHeight="1">
      <c r="A589" s="16"/>
      <c r="B589" s="17"/>
    </row>
    <row r="590" spans="1:2" ht="13" customHeight="1">
      <c r="A590" s="16"/>
      <c r="B590" s="17"/>
    </row>
    <row r="591" spans="1:2" ht="13" customHeight="1">
      <c r="A591" s="16"/>
      <c r="B591" s="17"/>
    </row>
    <row r="592" spans="1:2" ht="13" customHeight="1">
      <c r="A592" s="16"/>
      <c r="B592" s="17"/>
    </row>
    <row r="593" spans="1:2" ht="13" customHeight="1">
      <c r="A593" s="16"/>
      <c r="B593" s="17"/>
    </row>
    <row r="594" spans="1:2" ht="13" customHeight="1">
      <c r="A594" s="16"/>
      <c r="B594" s="17"/>
    </row>
    <row r="595" spans="1:2" ht="13" customHeight="1">
      <c r="A595" s="16"/>
      <c r="B595" s="17"/>
    </row>
    <row r="596" spans="1:2" ht="13" customHeight="1">
      <c r="A596" s="16"/>
      <c r="B596" s="17"/>
    </row>
    <row r="597" spans="1:2" ht="13" customHeight="1">
      <c r="A597" s="16"/>
      <c r="B597" s="17"/>
    </row>
    <row r="598" spans="1:2" ht="13" customHeight="1">
      <c r="A598" s="16"/>
      <c r="B598" s="17"/>
    </row>
    <row r="599" spans="1:2" ht="13" customHeight="1">
      <c r="A599" s="16"/>
      <c r="B599" s="17"/>
    </row>
    <row r="600" spans="1:2" ht="13" customHeight="1">
      <c r="A600" s="16"/>
      <c r="B600" s="17"/>
    </row>
    <row r="601" spans="1:2" ht="13" customHeight="1">
      <c r="A601" s="16"/>
      <c r="B601" s="17"/>
    </row>
    <row r="602" spans="1:2" ht="13" customHeight="1">
      <c r="A602" s="16"/>
      <c r="B602" s="17"/>
    </row>
    <row r="603" spans="1:2" ht="13" customHeight="1">
      <c r="A603" s="16"/>
      <c r="B603" s="17"/>
    </row>
    <row r="604" spans="1:2" ht="13" customHeight="1">
      <c r="A604" s="16"/>
      <c r="B604" s="17"/>
    </row>
    <row r="605" spans="1:2" ht="13" customHeight="1">
      <c r="A605" s="16"/>
      <c r="B605" s="17"/>
    </row>
    <row r="606" spans="1:2" ht="13" customHeight="1">
      <c r="A606" s="16"/>
      <c r="B606" s="17"/>
    </row>
    <row r="607" spans="1:2" ht="13" customHeight="1">
      <c r="A607" s="16"/>
      <c r="B607" s="17"/>
    </row>
    <row r="608" spans="1:2" ht="13" customHeight="1">
      <c r="A608" s="16"/>
      <c r="B608" s="17"/>
    </row>
    <row r="609" spans="1:2" ht="13" customHeight="1">
      <c r="A609" s="16"/>
      <c r="B609" s="17"/>
    </row>
    <row r="610" spans="1:2" ht="13" customHeight="1">
      <c r="A610" s="16"/>
      <c r="B610" s="17"/>
    </row>
    <row r="611" spans="1:2" ht="13" customHeight="1">
      <c r="A611" s="16"/>
      <c r="B611" s="17"/>
    </row>
    <row r="612" spans="1:2" ht="13" customHeight="1">
      <c r="A612" s="16"/>
      <c r="B612" s="17"/>
    </row>
    <row r="613" spans="1:2" ht="13" customHeight="1">
      <c r="A613" s="16"/>
      <c r="B613" s="17"/>
    </row>
    <row r="614" spans="1:2" ht="13" customHeight="1">
      <c r="A614" s="16"/>
      <c r="B614" s="17"/>
    </row>
    <row r="615" spans="1:2" ht="13" customHeight="1">
      <c r="A615" s="16"/>
      <c r="B615" s="17"/>
    </row>
    <row r="616" spans="1:2" ht="13" customHeight="1">
      <c r="A616" s="16"/>
      <c r="B616" s="17"/>
    </row>
    <row r="617" spans="1:2" ht="13" customHeight="1">
      <c r="A617" s="16"/>
      <c r="B617" s="17"/>
    </row>
    <row r="618" spans="1:2" ht="13" customHeight="1">
      <c r="A618" s="16"/>
      <c r="B618" s="17"/>
    </row>
    <row r="619" spans="1:2" ht="13" customHeight="1">
      <c r="A619" s="16"/>
      <c r="B619" s="17"/>
    </row>
    <row r="620" spans="1:2" ht="13" customHeight="1">
      <c r="A620" s="16"/>
      <c r="B620" s="17"/>
    </row>
    <row r="621" spans="1:2" ht="13" customHeight="1">
      <c r="A621" s="16"/>
      <c r="B621" s="17"/>
    </row>
    <row r="622" spans="1:2" ht="13" customHeight="1">
      <c r="A622" s="16"/>
      <c r="B622" s="17"/>
    </row>
    <row r="623" spans="1:2" ht="13" customHeight="1">
      <c r="A623" s="16"/>
      <c r="B623" s="17"/>
    </row>
    <row r="624" spans="1:2" ht="13" customHeight="1">
      <c r="A624" s="16"/>
      <c r="B624" s="17"/>
    </row>
    <row r="625" spans="1:2" ht="13" customHeight="1">
      <c r="A625" s="16"/>
      <c r="B625" s="17"/>
    </row>
    <row r="626" spans="1:2" ht="13" customHeight="1">
      <c r="A626" s="16"/>
      <c r="B626" s="17"/>
    </row>
    <row r="627" spans="1:2" ht="13" customHeight="1">
      <c r="A627" s="16"/>
      <c r="B627" s="17"/>
    </row>
    <row r="628" spans="1:2" ht="13" customHeight="1">
      <c r="A628" s="16"/>
      <c r="B628" s="17"/>
    </row>
    <row r="629" spans="1:2" ht="13" customHeight="1">
      <c r="A629" s="16"/>
      <c r="B629" s="17"/>
    </row>
    <row r="630" spans="1:2" ht="13" customHeight="1">
      <c r="A630" s="16"/>
      <c r="B630" s="17"/>
    </row>
    <row r="631" spans="1:2" ht="13" customHeight="1">
      <c r="A631" s="16"/>
      <c r="B631" s="17"/>
    </row>
    <row r="632" spans="1:2" ht="13" customHeight="1">
      <c r="A632" s="16"/>
      <c r="B632" s="17"/>
    </row>
    <row r="633" spans="1:2" ht="13" customHeight="1">
      <c r="A633" s="16"/>
      <c r="B633" s="17"/>
    </row>
    <row r="634" spans="1:2" ht="13" customHeight="1">
      <c r="A634" s="16"/>
      <c r="B634" s="17"/>
    </row>
    <row r="635" spans="1:2" ht="13" customHeight="1">
      <c r="A635" s="16"/>
      <c r="B635" s="17"/>
    </row>
    <row r="636" spans="1:2" ht="13" customHeight="1">
      <c r="A636" s="16"/>
      <c r="B636" s="17"/>
    </row>
    <row r="637" spans="1:2" ht="13" customHeight="1">
      <c r="A637" s="16"/>
      <c r="B637" s="17"/>
    </row>
    <row r="638" spans="1:2" ht="13" customHeight="1">
      <c r="A638" s="16"/>
      <c r="B638" s="17"/>
    </row>
    <row r="639" spans="1:2" ht="13" customHeight="1">
      <c r="A639" s="16"/>
      <c r="B639" s="17"/>
    </row>
    <row r="640" spans="1:2" ht="13" customHeight="1">
      <c r="A640" s="16"/>
      <c r="B640" s="17"/>
    </row>
    <row r="641" spans="1:2" ht="13" customHeight="1">
      <c r="A641" s="16"/>
      <c r="B641" s="17"/>
    </row>
    <row r="642" spans="1:2" ht="13" customHeight="1">
      <c r="A642" s="16"/>
      <c r="B642" s="17"/>
    </row>
    <row r="643" spans="1:2" ht="13" customHeight="1">
      <c r="A643" s="16"/>
      <c r="B643" s="17"/>
    </row>
    <row r="644" spans="1:2" ht="13" customHeight="1">
      <c r="A644" s="16"/>
      <c r="B644" s="17"/>
    </row>
    <row r="645" spans="1:2" ht="13" customHeight="1">
      <c r="A645" s="16"/>
      <c r="B645" s="17"/>
    </row>
    <row r="646" spans="1:2" ht="13" customHeight="1">
      <c r="A646" s="16"/>
      <c r="B646" s="17"/>
    </row>
    <row r="647" spans="1:2" ht="13" customHeight="1">
      <c r="A647" s="16"/>
      <c r="B647" s="17"/>
    </row>
    <row r="648" spans="1:2" ht="13" customHeight="1">
      <c r="A648" s="16"/>
      <c r="B648" s="17"/>
    </row>
    <row r="649" spans="1:2" ht="13" customHeight="1">
      <c r="A649" s="16"/>
      <c r="B649" s="17"/>
    </row>
    <row r="650" spans="1:2" ht="13" customHeight="1">
      <c r="A650" s="16"/>
      <c r="B650" s="17"/>
    </row>
    <row r="651" spans="1:2" ht="13" customHeight="1">
      <c r="A651" s="16"/>
      <c r="B651" s="17"/>
    </row>
    <row r="652" spans="1:2" ht="13" customHeight="1">
      <c r="A652" s="16"/>
      <c r="B652" s="17"/>
    </row>
    <row r="653" spans="1:2" ht="13" customHeight="1">
      <c r="A653" s="16"/>
      <c r="B653" s="17"/>
    </row>
    <row r="654" spans="1:2" ht="13" customHeight="1">
      <c r="A654" s="16"/>
      <c r="B654" s="17"/>
    </row>
    <row r="655" spans="1:2" ht="13" customHeight="1">
      <c r="A655" s="16"/>
      <c r="B655" s="17"/>
    </row>
    <row r="656" spans="1:2" ht="13" customHeight="1">
      <c r="A656" s="16"/>
      <c r="B656" s="17"/>
    </row>
    <row r="657" spans="1:2" ht="13" customHeight="1">
      <c r="A657" s="16"/>
      <c r="B657" s="17"/>
    </row>
    <row r="658" spans="1:2" ht="13" customHeight="1">
      <c r="A658" s="16"/>
      <c r="B658" s="17"/>
    </row>
    <row r="659" spans="1:2" ht="13" customHeight="1">
      <c r="A659" s="16"/>
      <c r="B659" s="17"/>
    </row>
    <row r="660" spans="1:2" ht="13" customHeight="1">
      <c r="A660" s="16"/>
      <c r="B660" s="17"/>
    </row>
    <row r="661" spans="1:2" ht="13" customHeight="1">
      <c r="A661" s="16"/>
      <c r="B661" s="17"/>
    </row>
    <row r="662" spans="1:2" ht="13" customHeight="1">
      <c r="A662" s="16"/>
      <c r="B662" s="17"/>
    </row>
    <row r="663" spans="1:2" ht="13" customHeight="1">
      <c r="A663" s="16"/>
      <c r="B663" s="17"/>
    </row>
    <row r="664" spans="1:2" ht="13" customHeight="1">
      <c r="A664" s="16"/>
      <c r="B664" s="17"/>
    </row>
    <row r="665" spans="1:2" ht="13" customHeight="1">
      <c r="A665" s="16"/>
      <c r="B665" s="17"/>
    </row>
    <row r="666" spans="1:2" ht="13" customHeight="1">
      <c r="A666" s="16"/>
      <c r="B666" s="17"/>
    </row>
    <row r="667" spans="1:2" ht="13" customHeight="1">
      <c r="A667" s="16"/>
      <c r="B667" s="17"/>
    </row>
    <row r="668" spans="1:2" ht="13" customHeight="1">
      <c r="A668" s="16"/>
      <c r="B668" s="17"/>
    </row>
    <row r="669" spans="1:2" ht="13" customHeight="1">
      <c r="A669" s="16"/>
      <c r="B669" s="17"/>
    </row>
    <row r="670" spans="1:2" ht="13" customHeight="1">
      <c r="A670" s="16"/>
      <c r="B670" s="17"/>
    </row>
    <row r="671" spans="1:2" ht="13" customHeight="1">
      <c r="A671" s="16"/>
      <c r="B671" s="17"/>
    </row>
    <row r="672" spans="1:2" ht="13" customHeight="1">
      <c r="A672" s="16"/>
      <c r="B672" s="17"/>
    </row>
    <row r="673" spans="1:2" ht="13" customHeight="1">
      <c r="A673" s="16"/>
      <c r="B673" s="17"/>
    </row>
    <row r="674" spans="1:2" ht="13" customHeight="1">
      <c r="A674" s="16"/>
      <c r="B674" s="17"/>
    </row>
    <row r="675" spans="1:2" ht="13" customHeight="1">
      <c r="A675" s="16"/>
      <c r="B675" s="17"/>
    </row>
    <row r="676" spans="1:2" ht="13" customHeight="1">
      <c r="A676" s="16"/>
      <c r="B676" s="17"/>
    </row>
    <row r="677" spans="1:2" ht="13" customHeight="1">
      <c r="A677" s="16"/>
      <c r="B677" s="17"/>
    </row>
    <row r="678" spans="1:2" ht="13" customHeight="1">
      <c r="A678" s="16"/>
      <c r="B678" s="17"/>
    </row>
    <row r="679" spans="1:2" ht="13" customHeight="1">
      <c r="A679" s="16"/>
      <c r="B679" s="17"/>
    </row>
    <row r="680" spans="1:2" ht="13" customHeight="1">
      <c r="A680" s="16"/>
      <c r="B680" s="17"/>
    </row>
    <row r="681" spans="1:2" ht="13" customHeight="1">
      <c r="A681" s="16"/>
      <c r="B681" s="17"/>
    </row>
    <row r="682" spans="1:2" ht="13" customHeight="1">
      <c r="A682" s="16"/>
      <c r="B682" s="17"/>
    </row>
    <row r="683" spans="1:2" ht="13" customHeight="1">
      <c r="A683" s="16"/>
      <c r="B683" s="17"/>
    </row>
    <row r="684" spans="1:2" ht="13" customHeight="1">
      <c r="A684" s="16"/>
      <c r="B684" s="17"/>
    </row>
    <row r="685" spans="1:2" ht="13" customHeight="1">
      <c r="A685" s="16"/>
      <c r="B685" s="17"/>
    </row>
    <row r="686" spans="1:2" ht="13" customHeight="1">
      <c r="A686" s="16"/>
      <c r="B686" s="17"/>
    </row>
    <row r="687" spans="1:2" ht="13" customHeight="1">
      <c r="A687" s="16"/>
      <c r="B687" s="17"/>
    </row>
    <row r="688" spans="1:2" ht="13" customHeight="1">
      <c r="A688" s="16"/>
      <c r="B688" s="17"/>
    </row>
    <row r="689" spans="1:2" ht="13" customHeight="1">
      <c r="A689" s="16"/>
      <c r="B689" s="17"/>
    </row>
    <row r="690" spans="1:2" ht="13" customHeight="1">
      <c r="A690" s="16"/>
      <c r="B690" s="17"/>
    </row>
    <row r="691" spans="1:2" ht="13" customHeight="1">
      <c r="A691" s="16"/>
      <c r="B691" s="17"/>
    </row>
    <row r="692" spans="1:2" ht="13" customHeight="1">
      <c r="A692" s="16"/>
      <c r="B692" s="17"/>
    </row>
    <row r="693" spans="1:2" ht="13" customHeight="1">
      <c r="A693" s="16"/>
      <c r="B693" s="17"/>
    </row>
    <row r="694" spans="1:2" ht="13" customHeight="1">
      <c r="A694" s="16"/>
      <c r="B694" s="17"/>
    </row>
    <row r="695" spans="1:2" ht="13" customHeight="1">
      <c r="A695" s="16"/>
      <c r="B695" s="17"/>
    </row>
    <row r="696" spans="1:2" ht="13" customHeight="1">
      <c r="A696" s="16"/>
      <c r="B696" s="17"/>
    </row>
    <row r="697" spans="1:2" ht="13" customHeight="1">
      <c r="A697" s="16"/>
      <c r="B697" s="17"/>
    </row>
    <row r="698" spans="1:2" ht="13" customHeight="1">
      <c r="A698" s="16"/>
      <c r="B698" s="17"/>
    </row>
    <row r="699" spans="1:2" ht="13" customHeight="1">
      <c r="A699" s="16"/>
      <c r="B699" s="17"/>
    </row>
    <row r="700" spans="1:2" ht="13" customHeight="1">
      <c r="A700" s="16"/>
      <c r="B700" s="17"/>
    </row>
    <row r="701" spans="1:2" ht="13" customHeight="1">
      <c r="A701" s="16"/>
      <c r="B701" s="17"/>
    </row>
    <row r="702" spans="1:2" ht="13" customHeight="1">
      <c r="A702" s="16"/>
      <c r="B702" s="17"/>
    </row>
    <row r="703" spans="1:2" ht="13" customHeight="1">
      <c r="A703" s="16"/>
      <c r="B703" s="17"/>
    </row>
    <row r="704" spans="1:2" ht="13" customHeight="1">
      <c r="A704" s="16"/>
      <c r="B704" s="17"/>
    </row>
    <row r="705" spans="1:2" ht="13" customHeight="1">
      <c r="A705" s="16"/>
      <c r="B705" s="17"/>
    </row>
    <row r="706" spans="1:2" ht="13" customHeight="1">
      <c r="A706" s="16"/>
      <c r="B706" s="17"/>
    </row>
    <row r="707" spans="1:2" ht="13" customHeight="1">
      <c r="A707" s="16"/>
      <c r="B707" s="17"/>
    </row>
    <row r="708" spans="1:2" ht="13" customHeight="1">
      <c r="A708" s="16"/>
      <c r="B708" s="17"/>
    </row>
    <row r="709" spans="1:2" ht="13" customHeight="1">
      <c r="A709" s="16"/>
      <c r="B709" s="17"/>
    </row>
    <row r="710" spans="1:2" ht="13" customHeight="1">
      <c r="A710" s="16"/>
      <c r="B710" s="17"/>
    </row>
    <row r="711" spans="1:2" ht="13" customHeight="1">
      <c r="A711" s="16"/>
      <c r="B711" s="17"/>
    </row>
    <row r="712" spans="1:2" ht="13" customHeight="1">
      <c r="A712" s="16"/>
      <c r="B712" s="17"/>
    </row>
    <row r="713" spans="1:2" ht="13" customHeight="1">
      <c r="A713" s="16"/>
      <c r="B713" s="17"/>
    </row>
    <row r="714" spans="1:2" ht="13" customHeight="1">
      <c r="A714" s="16"/>
      <c r="B714" s="17"/>
    </row>
    <row r="715" spans="1:2" ht="13" customHeight="1">
      <c r="A715" s="16"/>
      <c r="B715" s="17"/>
    </row>
    <row r="716" spans="1:2" ht="13" customHeight="1">
      <c r="A716" s="16"/>
      <c r="B716" s="17"/>
    </row>
    <row r="717" spans="1:2" ht="13" customHeight="1">
      <c r="A717" s="16"/>
      <c r="B717" s="17"/>
    </row>
    <row r="718" spans="1:2" ht="13" customHeight="1">
      <c r="A718" s="16"/>
      <c r="B718" s="17"/>
    </row>
    <row r="719" spans="1:2" ht="13" customHeight="1">
      <c r="A719" s="16"/>
      <c r="B719" s="17"/>
    </row>
    <row r="720" spans="1:2" ht="13" customHeight="1">
      <c r="A720" s="16"/>
      <c r="B720" s="17"/>
    </row>
    <row r="721" spans="1:2" ht="13" customHeight="1">
      <c r="A721" s="16"/>
      <c r="B721" s="17"/>
    </row>
    <row r="722" spans="1:2" ht="13" customHeight="1">
      <c r="A722" s="16"/>
      <c r="B722" s="17"/>
    </row>
    <row r="723" spans="1:2" ht="13" customHeight="1">
      <c r="A723" s="16"/>
      <c r="B723" s="17"/>
    </row>
    <row r="724" spans="1:2" ht="13" customHeight="1">
      <c r="A724" s="16"/>
      <c r="B724" s="17"/>
    </row>
    <row r="725" spans="1:2" ht="13" customHeight="1">
      <c r="A725" s="16"/>
      <c r="B725" s="17"/>
    </row>
    <row r="726" spans="1:2" ht="13" customHeight="1">
      <c r="A726" s="16"/>
      <c r="B726" s="17"/>
    </row>
    <row r="727" spans="1:2" ht="13" customHeight="1">
      <c r="A727" s="16"/>
      <c r="B727" s="17"/>
    </row>
    <row r="728" spans="1:2" ht="13" customHeight="1">
      <c r="A728" s="16"/>
      <c r="B728" s="17"/>
    </row>
    <row r="729" spans="1:2" ht="13" customHeight="1">
      <c r="A729" s="16"/>
      <c r="B729" s="17"/>
    </row>
    <row r="730" spans="1:2" ht="13" customHeight="1">
      <c r="A730" s="16"/>
      <c r="B730" s="17"/>
    </row>
    <row r="731" spans="1:2" ht="13" customHeight="1">
      <c r="A731" s="16"/>
      <c r="B731" s="17"/>
    </row>
    <row r="732" spans="1:2" ht="13" customHeight="1">
      <c r="A732" s="16"/>
      <c r="B732" s="17"/>
    </row>
    <row r="733" spans="1:2" ht="13" customHeight="1">
      <c r="A733" s="16"/>
      <c r="B733" s="17"/>
    </row>
    <row r="734" spans="1:2" ht="13" customHeight="1">
      <c r="A734" s="16"/>
      <c r="B734" s="17"/>
    </row>
    <row r="735" spans="1:2" ht="13" customHeight="1">
      <c r="A735" s="16"/>
      <c r="B735" s="17"/>
    </row>
    <row r="736" spans="1:2" ht="13" customHeight="1">
      <c r="A736" s="16"/>
      <c r="B736" s="17"/>
    </row>
    <row r="737" spans="1:2" ht="13" customHeight="1">
      <c r="A737" s="16"/>
      <c r="B737" s="17"/>
    </row>
    <row r="738" spans="1:2" ht="13" customHeight="1">
      <c r="A738" s="16"/>
      <c r="B738" s="17"/>
    </row>
    <row r="739" spans="1:2" ht="13" customHeight="1">
      <c r="A739" s="16"/>
      <c r="B739" s="17"/>
    </row>
    <row r="740" spans="1:2" ht="13" customHeight="1">
      <c r="A740" s="16"/>
      <c r="B740" s="17"/>
    </row>
    <row r="741" spans="1:2" ht="13" customHeight="1">
      <c r="A741" s="16"/>
      <c r="B741" s="17"/>
    </row>
    <row r="742" spans="1:2" ht="13" customHeight="1">
      <c r="A742" s="16"/>
      <c r="B742" s="17"/>
    </row>
    <row r="743" spans="1:2" ht="13" customHeight="1">
      <c r="A743" s="16"/>
      <c r="B743" s="17"/>
    </row>
    <row r="744" spans="1:2" ht="13" customHeight="1">
      <c r="A744" s="16"/>
      <c r="B744" s="17"/>
    </row>
    <row r="745" spans="1:2" ht="13" customHeight="1">
      <c r="A745" s="16"/>
      <c r="B745" s="17"/>
    </row>
    <row r="746" spans="1:2" ht="13" customHeight="1">
      <c r="A746" s="16"/>
      <c r="B746" s="17"/>
    </row>
    <row r="747" spans="1:2" ht="13" customHeight="1">
      <c r="A747" s="16"/>
      <c r="B747" s="17"/>
    </row>
    <row r="748" spans="1:2" ht="13" customHeight="1">
      <c r="A748" s="16"/>
      <c r="B748" s="17"/>
    </row>
    <row r="749" spans="1:2" ht="13" customHeight="1">
      <c r="A749" s="16"/>
      <c r="B749" s="17"/>
    </row>
    <row r="750" spans="1:2" ht="13" customHeight="1">
      <c r="A750" s="16"/>
      <c r="B750" s="17"/>
    </row>
    <row r="751" spans="1:2" ht="13" customHeight="1">
      <c r="A751" s="16"/>
      <c r="B751" s="17"/>
    </row>
    <row r="752" spans="1:2" ht="13" customHeight="1">
      <c r="A752" s="16"/>
      <c r="B752" s="17"/>
    </row>
    <row r="753" spans="1:2" ht="13" customHeight="1">
      <c r="A753" s="16"/>
      <c r="B753" s="17"/>
    </row>
    <row r="754" spans="1:2" ht="13" customHeight="1">
      <c r="A754" s="16"/>
      <c r="B754" s="17"/>
    </row>
    <row r="755" spans="1:2" ht="13" customHeight="1">
      <c r="A755" s="16"/>
      <c r="B755" s="17"/>
    </row>
    <row r="756" spans="1:2" ht="13" customHeight="1">
      <c r="A756" s="16"/>
      <c r="B756" s="17"/>
    </row>
    <row r="757" spans="1:2" ht="13" customHeight="1">
      <c r="A757" s="16"/>
      <c r="B757" s="17"/>
    </row>
    <row r="758" spans="1:2" ht="13" customHeight="1">
      <c r="A758" s="16"/>
      <c r="B758" s="17"/>
    </row>
    <row r="759" spans="1:2" ht="13" customHeight="1">
      <c r="A759" s="16"/>
      <c r="B759" s="17"/>
    </row>
    <row r="760" spans="1:2" ht="13" customHeight="1">
      <c r="A760" s="16"/>
      <c r="B760" s="17"/>
    </row>
    <row r="761" spans="1:2" ht="13" customHeight="1">
      <c r="A761" s="16"/>
      <c r="B761" s="17"/>
    </row>
    <row r="762" spans="1:2" ht="13" customHeight="1">
      <c r="A762" s="16"/>
      <c r="B762" s="17"/>
    </row>
    <row r="763" spans="1:2" ht="13" customHeight="1">
      <c r="A763" s="16"/>
      <c r="B763" s="17"/>
    </row>
    <row r="764" spans="1:2" ht="13" customHeight="1">
      <c r="A764" s="16"/>
      <c r="B764" s="17"/>
    </row>
    <row r="765" spans="1:2" ht="13" customHeight="1">
      <c r="A765" s="16"/>
      <c r="B765" s="17"/>
    </row>
    <row r="766" spans="1:2" ht="13" customHeight="1">
      <c r="A766" s="16"/>
      <c r="B766" s="17"/>
    </row>
    <row r="767" spans="1:2" ht="13" customHeight="1">
      <c r="A767" s="16"/>
      <c r="B767" s="17"/>
    </row>
    <row r="768" spans="1:2" ht="13" customHeight="1">
      <c r="A768" s="16"/>
      <c r="B768" s="17"/>
    </row>
    <row r="769" spans="1:2" ht="13" customHeight="1">
      <c r="A769" s="16"/>
      <c r="B769" s="17"/>
    </row>
    <row r="770" spans="1:2" ht="13" customHeight="1">
      <c r="A770" s="16"/>
      <c r="B770" s="17"/>
    </row>
    <row r="771" spans="1:2" ht="13" customHeight="1">
      <c r="A771" s="16"/>
      <c r="B771" s="17"/>
    </row>
    <row r="772" spans="1:2" ht="13" customHeight="1">
      <c r="A772" s="16"/>
      <c r="B772" s="17"/>
    </row>
    <row r="773" spans="1:2" ht="13" customHeight="1">
      <c r="A773" s="16"/>
      <c r="B773" s="17"/>
    </row>
    <row r="774" spans="1:2" ht="13" customHeight="1">
      <c r="A774" s="16"/>
      <c r="B774" s="17"/>
    </row>
    <row r="775" spans="1:2" ht="13" customHeight="1">
      <c r="A775" s="16"/>
      <c r="B775" s="17"/>
    </row>
    <row r="776" spans="1:2" ht="13" customHeight="1">
      <c r="A776" s="16"/>
      <c r="B776" s="17"/>
    </row>
    <row r="777" spans="1:2" ht="13" customHeight="1">
      <c r="A777" s="16"/>
      <c r="B777" s="17"/>
    </row>
    <row r="778" spans="1:2" ht="13" customHeight="1">
      <c r="A778" s="16"/>
      <c r="B778" s="17"/>
    </row>
    <row r="779" spans="1:2" ht="13" customHeight="1">
      <c r="A779" s="16"/>
      <c r="B779" s="17"/>
    </row>
    <row r="780" spans="1:2" ht="13" customHeight="1">
      <c r="A780" s="16"/>
      <c r="B780" s="17"/>
    </row>
    <row r="781" spans="1:2" ht="13" customHeight="1">
      <c r="A781" s="16"/>
      <c r="B781" s="17"/>
    </row>
    <row r="782" spans="1:2" ht="13" customHeight="1">
      <c r="A782" s="16"/>
      <c r="B782" s="17"/>
    </row>
    <row r="783" spans="1:2" ht="13" customHeight="1">
      <c r="A783" s="16"/>
      <c r="B783" s="17"/>
    </row>
    <row r="784" spans="1:2" ht="13" customHeight="1">
      <c r="A784" s="16"/>
      <c r="B784" s="17"/>
    </row>
    <row r="785" spans="1:2" ht="13" customHeight="1">
      <c r="A785" s="16"/>
      <c r="B785" s="17"/>
    </row>
    <row r="786" spans="1:2" ht="13" customHeight="1">
      <c r="A786" s="16"/>
      <c r="B786" s="17"/>
    </row>
    <row r="787" spans="1:2" ht="13" customHeight="1">
      <c r="A787" s="16"/>
      <c r="B787" s="17"/>
    </row>
    <row r="788" spans="1:2" ht="13" customHeight="1">
      <c r="A788" s="16"/>
      <c r="B788" s="17"/>
    </row>
    <row r="789" spans="1:2" ht="13" customHeight="1">
      <c r="A789" s="16"/>
      <c r="B789" s="17"/>
    </row>
    <row r="790" spans="1:2" ht="13" customHeight="1">
      <c r="A790" s="16"/>
      <c r="B790" s="17"/>
    </row>
    <row r="791" spans="1:2" ht="13" customHeight="1">
      <c r="A791" s="16"/>
      <c r="B791" s="17"/>
    </row>
    <row r="792" spans="1:2" ht="13" customHeight="1">
      <c r="A792" s="16"/>
      <c r="B792" s="17"/>
    </row>
    <row r="793" spans="1:2" ht="13" customHeight="1">
      <c r="A793" s="16"/>
      <c r="B793" s="17"/>
    </row>
    <row r="794" spans="1:2" ht="13" customHeight="1">
      <c r="A794" s="16"/>
      <c r="B794" s="17"/>
    </row>
    <row r="795" spans="1:2" ht="13" customHeight="1">
      <c r="A795" s="16"/>
      <c r="B795" s="17"/>
    </row>
    <row r="796" spans="1:2" ht="13" customHeight="1">
      <c r="A796" s="16"/>
      <c r="B796" s="17"/>
    </row>
    <row r="797" spans="1:2" ht="13" customHeight="1">
      <c r="A797" s="16"/>
      <c r="B797" s="17"/>
    </row>
    <row r="798" spans="1:2" ht="13" customHeight="1">
      <c r="A798" s="16"/>
      <c r="B798" s="17"/>
    </row>
    <row r="799" spans="1:2" ht="13" customHeight="1">
      <c r="A799" s="16"/>
      <c r="B799" s="17"/>
    </row>
    <row r="800" spans="1:2" ht="13" customHeight="1">
      <c r="A800" s="16"/>
      <c r="B800" s="17"/>
    </row>
    <row r="801" spans="1:2" ht="13" customHeight="1">
      <c r="A801" s="16"/>
      <c r="B801" s="17"/>
    </row>
    <row r="802" spans="1:2" ht="13" customHeight="1">
      <c r="A802" s="16"/>
      <c r="B802" s="17"/>
    </row>
    <row r="803" spans="1:2" ht="13" customHeight="1">
      <c r="A803" s="16"/>
      <c r="B803" s="17"/>
    </row>
    <row r="804" spans="1:2" ht="13" customHeight="1">
      <c r="A804" s="16"/>
      <c r="B804" s="17"/>
    </row>
    <row r="805" spans="1:2" ht="13" customHeight="1">
      <c r="A805" s="16"/>
      <c r="B805" s="17"/>
    </row>
    <row r="806" spans="1:2" ht="13" customHeight="1">
      <c r="A806" s="16"/>
      <c r="B806" s="17"/>
    </row>
    <row r="807" spans="1:2" ht="13" customHeight="1">
      <c r="A807" s="16"/>
      <c r="B807" s="17"/>
    </row>
    <row r="808" spans="1:2" ht="13" customHeight="1">
      <c r="A808" s="16"/>
      <c r="B808" s="17"/>
    </row>
    <row r="809" spans="1:2" ht="13" customHeight="1">
      <c r="A809" s="16"/>
      <c r="B809" s="17"/>
    </row>
    <row r="810" spans="1:2" ht="13" customHeight="1">
      <c r="A810" s="16"/>
      <c r="B810" s="17"/>
    </row>
    <row r="811" spans="1:2" ht="13" customHeight="1">
      <c r="A811" s="16"/>
      <c r="B811" s="17"/>
    </row>
    <row r="812" spans="1:2" ht="13" customHeight="1">
      <c r="A812" s="16"/>
      <c r="B812" s="17"/>
    </row>
    <row r="813" spans="1:2" ht="13" customHeight="1">
      <c r="A813" s="16"/>
      <c r="B813" s="17"/>
    </row>
    <row r="814" spans="1:2" ht="13" customHeight="1">
      <c r="A814" s="16"/>
      <c r="B814" s="17"/>
    </row>
    <row r="815" spans="1:2" ht="13" customHeight="1">
      <c r="A815" s="16"/>
      <c r="B815" s="17"/>
    </row>
    <row r="816" spans="1:2" ht="13" customHeight="1">
      <c r="A816" s="16"/>
      <c r="B816" s="17"/>
    </row>
    <row r="817" spans="1:2" ht="13" customHeight="1">
      <c r="A817" s="16"/>
      <c r="B817" s="17"/>
    </row>
    <row r="818" spans="1:2" ht="13" customHeight="1">
      <c r="A818" s="16"/>
      <c r="B818" s="17"/>
    </row>
    <row r="819" spans="1:2" ht="13" customHeight="1">
      <c r="A819" s="16"/>
      <c r="B819" s="17"/>
    </row>
    <row r="820" spans="1:2" ht="13" customHeight="1">
      <c r="A820" s="16"/>
      <c r="B820" s="17"/>
    </row>
    <row r="821" spans="1:2" ht="13" customHeight="1">
      <c r="A821" s="16"/>
      <c r="B821" s="17"/>
    </row>
    <row r="822" spans="1:2" ht="13" customHeight="1">
      <c r="A822" s="16"/>
      <c r="B822" s="17"/>
    </row>
    <row r="823" spans="1:2" ht="13" customHeight="1">
      <c r="A823" s="16"/>
      <c r="B823" s="17"/>
    </row>
    <row r="824" spans="1:2" ht="13" customHeight="1">
      <c r="A824" s="16"/>
      <c r="B824" s="17"/>
    </row>
    <row r="825" spans="1:2" ht="13" customHeight="1">
      <c r="A825" s="16"/>
      <c r="B825" s="17"/>
    </row>
    <row r="826" spans="1:2" ht="13" customHeight="1">
      <c r="A826" s="16"/>
      <c r="B826" s="17"/>
    </row>
    <row r="827" spans="1:2" ht="13" customHeight="1">
      <c r="A827" s="16"/>
      <c r="B827" s="17"/>
    </row>
    <row r="828" spans="1:2" ht="13" customHeight="1">
      <c r="A828" s="16"/>
      <c r="B828" s="17"/>
    </row>
    <row r="829" spans="1:2" ht="13" customHeight="1">
      <c r="A829" s="16"/>
      <c r="B829" s="17"/>
    </row>
    <row r="830" spans="1:2" ht="13" customHeight="1">
      <c r="A830" s="16"/>
      <c r="B830" s="17"/>
    </row>
    <row r="831" spans="1:2" ht="13" customHeight="1">
      <c r="A831" s="16"/>
      <c r="B831" s="17"/>
    </row>
    <row r="832" spans="1:2" ht="13" customHeight="1">
      <c r="A832" s="16"/>
      <c r="B832" s="17"/>
    </row>
    <row r="833" spans="1:2" ht="13" customHeight="1">
      <c r="A833" s="16"/>
      <c r="B833" s="17"/>
    </row>
    <row r="834" spans="1:2" ht="13" customHeight="1">
      <c r="A834" s="16"/>
      <c r="B834" s="17"/>
    </row>
    <row r="835" spans="1:2" ht="13" customHeight="1">
      <c r="A835" s="16"/>
      <c r="B835" s="17"/>
    </row>
    <row r="836" spans="1:2" ht="13" customHeight="1">
      <c r="A836" s="16"/>
      <c r="B836" s="17"/>
    </row>
    <row r="837" spans="1:2" ht="13" customHeight="1">
      <c r="A837" s="16"/>
      <c r="B837" s="17"/>
    </row>
    <row r="838" spans="1:2" ht="13" customHeight="1">
      <c r="A838" s="16"/>
      <c r="B838" s="17"/>
    </row>
    <row r="839" spans="1:2" ht="13" customHeight="1">
      <c r="A839" s="16"/>
      <c r="B839" s="17"/>
    </row>
    <row r="840" spans="1:2" ht="13" customHeight="1">
      <c r="A840" s="16"/>
      <c r="B840" s="17"/>
    </row>
    <row r="841" spans="1:2" ht="13" customHeight="1">
      <c r="A841" s="16"/>
      <c r="B841" s="17"/>
    </row>
    <row r="842" spans="1:2" ht="13" customHeight="1">
      <c r="A842" s="16"/>
      <c r="B842" s="17"/>
    </row>
    <row r="843" spans="1:2" ht="13" customHeight="1">
      <c r="A843" s="16"/>
      <c r="B843" s="17"/>
    </row>
    <row r="844" spans="1:2" ht="13" customHeight="1">
      <c r="A844" s="16"/>
      <c r="B844" s="17"/>
    </row>
    <row r="845" spans="1:2" ht="13" customHeight="1">
      <c r="A845" s="16"/>
      <c r="B845" s="17"/>
    </row>
    <row r="846" spans="1:2" ht="13" customHeight="1">
      <c r="A846" s="16"/>
      <c r="B846" s="17"/>
    </row>
    <row r="847" spans="1:2" ht="13" customHeight="1">
      <c r="A847" s="16"/>
      <c r="B847" s="17"/>
    </row>
    <row r="848" spans="1:2" ht="13" customHeight="1">
      <c r="A848" s="16"/>
      <c r="B848" s="17"/>
    </row>
    <row r="849" spans="1:2" ht="13" customHeight="1">
      <c r="A849" s="16"/>
      <c r="B849" s="17"/>
    </row>
    <row r="850" spans="1:2" ht="13" customHeight="1">
      <c r="A850" s="16"/>
      <c r="B850" s="17"/>
    </row>
    <row r="851" spans="1:2" ht="13" customHeight="1">
      <c r="A851" s="16"/>
      <c r="B851" s="17"/>
    </row>
    <row r="852" spans="1:2" ht="13" customHeight="1">
      <c r="A852" s="16"/>
      <c r="B852" s="17"/>
    </row>
    <row r="853" spans="1:2" ht="13" customHeight="1">
      <c r="A853" s="16"/>
      <c r="B853" s="17"/>
    </row>
    <row r="854" spans="1:2" ht="13" customHeight="1">
      <c r="A854" s="16"/>
      <c r="B854" s="17"/>
    </row>
    <row r="855" spans="1:2" ht="13" customHeight="1">
      <c r="A855" s="16"/>
      <c r="B855" s="17"/>
    </row>
    <row r="856" spans="1:2" ht="13" customHeight="1">
      <c r="A856" s="16"/>
      <c r="B856" s="17"/>
    </row>
    <row r="857" spans="1:2" ht="13" customHeight="1">
      <c r="A857" s="16"/>
      <c r="B857" s="17"/>
    </row>
    <row r="858" spans="1:2" ht="13" customHeight="1">
      <c r="A858" s="16"/>
      <c r="B858" s="17"/>
    </row>
    <row r="859" spans="1:2" ht="13" customHeight="1">
      <c r="A859" s="16"/>
      <c r="B859" s="17"/>
    </row>
    <row r="860" spans="1:2" ht="13" customHeight="1">
      <c r="A860" s="16"/>
      <c r="B860" s="17"/>
    </row>
    <row r="861" spans="1:2" ht="13" customHeight="1">
      <c r="A861" s="16"/>
      <c r="B861" s="17"/>
    </row>
    <row r="862" spans="1:2" ht="13" customHeight="1">
      <c r="A862" s="16"/>
      <c r="B862" s="17"/>
    </row>
    <row r="863" spans="1:2" ht="13" customHeight="1">
      <c r="A863" s="16"/>
      <c r="B863" s="17"/>
    </row>
    <row r="864" spans="1:2" ht="13" customHeight="1">
      <c r="A864" s="16"/>
      <c r="B864" s="17"/>
    </row>
    <row r="865" spans="1:2" ht="13" customHeight="1">
      <c r="A865" s="16"/>
      <c r="B865" s="17"/>
    </row>
    <row r="866" spans="1:2" ht="13" customHeight="1">
      <c r="A866" s="16"/>
      <c r="B866" s="17"/>
    </row>
    <row r="867" spans="1:2" ht="13" customHeight="1">
      <c r="A867" s="16"/>
      <c r="B867" s="17"/>
    </row>
    <row r="868" spans="1:2" ht="13" customHeight="1">
      <c r="A868" s="16"/>
      <c r="B868" s="17"/>
    </row>
    <row r="869" spans="1:2" ht="13" customHeight="1">
      <c r="A869" s="16"/>
      <c r="B869" s="17"/>
    </row>
    <row r="870" spans="1:2" ht="13" customHeight="1">
      <c r="A870" s="16"/>
      <c r="B870" s="17"/>
    </row>
    <row r="871" spans="1:2" ht="13" customHeight="1">
      <c r="A871" s="16"/>
      <c r="B871" s="17"/>
    </row>
    <row r="872" spans="1:2" ht="13" customHeight="1">
      <c r="A872" s="16"/>
      <c r="B872" s="17"/>
    </row>
    <row r="873" spans="1:2" ht="13" customHeight="1">
      <c r="A873" s="16"/>
      <c r="B873" s="17"/>
    </row>
    <row r="874" spans="1:2" ht="13" customHeight="1">
      <c r="A874" s="16"/>
      <c r="B874" s="17"/>
    </row>
    <row r="875" spans="1:2" ht="13" customHeight="1">
      <c r="A875" s="16"/>
      <c r="B875" s="17"/>
    </row>
    <row r="876" spans="1:2" ht="13" customHeight="1">
      <c r="A876" s="16"/>
      <c r="B876" s="17"/>
    </row>
    <row r="877" spans="1:2" ht="13" customHeight="1">
      <c r="A877" s="16"/>
      <c r="B877" s="17"/>
    </row>
    <row r="878" spans="1:2" ht="13" customHeight="1">
      <c r="A878" s="16"/>
      <c r="B878" s="17"/>
    </row>
    <row r="879" spans="1:2" ht="13" customHeight="1">
      <c r="A879" s="16"/>
      <c r="B879" s="17"/>
    </row>
    <row r="880" spans="1:2" ht="13" customHeight="1">
      <c r="A880" s="16"/>
      <c r="B880" s="17"/>
    </row>
    <row r="881" spans="1:2" ht="13" customHeight="1">
      <c r="A881" s="16"/>
      <c r="B881" s="17"/>
    </row>
    <row r="882" spans="1:2" ht="13" customHeight="1">
      <c r="A882" s="16"/>
      <c r="B882" s="17"/>
    </row>
    <row r="883" spans="1:2" ht="13" customHeight="1">
      <c r="A883" s="16"/>
      <c r="B883" s="17"/>
    </row>
    <row r="884" spans="1:2" ht="13" customHeight="1">
      <c r="A884" s="16"/>
      <c r="B884" s="17"/>
    </row>
    <row r="885" spans="1:2" ht="13" customHeight="1">
      <c r="A885" s="16"/>
      <c r="B885" s="17"/>
    </row>
    <row r="886" spans="1:2" ht="13" customHeight="1">
      <c r="A886" s="16"/>
      <c r="B886" s="17"/>
    </row>
    <row r="887" spans="1:2" ht="13" customHeight="1">
      <c r="A887" s="16"/>
      <c r="B887" s="17"/>
    </row>
    <row r="888" spans="1:2" ht="13" customHeight="1">
      <c r="A888" s="16"/>
      <c r="B888" s="17"/>
    </row>
    <row r="889" spans="1:2" ht="13" customHeight="1">
      <c r="A889" s="16"/>
      <c r="B889" s="17"/>
    </row>
    <row r="890" spans="1:2" ht="13" customHeight="1">
      <c r="A890" s="16"/>
      <c r="B890" s="17"/>
    </row>
    <row r="891" spans="1:2" ht="13" customHeight="1">
      <c r="A891" s="16"/>
      <c r="B891" s="17"/>
    </row>
    <row r="892" spans="1:2" ht="13" customHeight="1">
      <c r="A892" s="16"/>
      <c r="B892" s="17"/>
    </row>
    <row r="893" spans="1:2" ht="13" customHeight="1">
      <c r="A893" s="16"/>
      <c r="B893" s="17"/>
    </row>
    <row r="894" spans="1:2" ht="13" customHeight="1">
      <c r="A894" s="16"/>
      <c r="B894" s="17"/>
    </row>
    <row r="895" spans="1:2" ht="13" customHeight="1">
      <c r="A895" s="16"/>
      <c r="B895" s="17"/>
    </row>
    <row r="896" spans="1:2" ht="13" customHeight="1">
      <c r="A896" s="16"/>
      <c r="B896" s="17"/>
    </row>
    <row r="897" spans="1:2" ht="13" customHeight="1">
      <c r="A897" s="16"/>
      <c r="B897" s="17"/>
    </row>
    <row r="898" spans="1:2" ht="13" customHeight="1">
      <c r="A898" s="16"/>
      <c r="B898" s="17"/>
    </row>
    <row r="899" spans="1:2" ht="13" customHeight="1">
      <c r="A899" s="16"/>
      <c r="B899" s="17"/>
    </row>
    <row r="900" spans="1:2" ht="13" customHeight="1">
      <c r="A900" s="16"/>
      <c r="B900" s="17"/>
    </row>
    <row r="901" spans="1:2" ht="13" customHeight="1">
      <c r="A901" s="16"/>
      <c r="B901" s="17"/>
    </row>
    <row r="902" spans="1:2" ht="13" customHeight="1">
      <c r="A902" s="16"/>
      <c r="B902" s="17"/>
    </row>
    <row r="903" spans="1:2" ht="13" customHeight="1">
      <c r="A903" s="16"/>
      <c r="B903" s="17"/>
    </row>
    <row r="904" spans="1:2" ht="13" customHeight="1">
      <c r="A904" s="16"/>
      <c r="B904" s="17"/>
    </row>
    <row r="905" spans="1:2" ht="13" customHeight="1">
      <c r="A905" s="16"/>
      <c r="B905" s="17"/>
    </row>
    <row r="906" spans="1:2" ht="13" customHeight="1">
      <c r="A906" s="16"/>
      <c r="B906" s="17"/>
    </row>
    <row r="907" spans="1:2" ht="13" customHeight="1">
      <c r="A907" s="16"/>
      <c r="B907" s="17"/>
    </row>
    <row r="908" spans="1:2" ht="13" customHeight="1">
      <c r="A908" s="16"/>
      <c r="B908" s="17"/>
    </row>
    <row r="909" spans="1:2" ht="13" customHeight="1">
      <c r="A909" s="16"/>
      <c r="B909" s="17"/>
    </row>
    <row r="910" spans="1:2" ht="13" customHeight="1">
      <c r="A910" s="16"/>
      <c r="B910" s="17"/>
    </row>
    <row r="911" spans="1:2" ht="13" customHeight="1">
      <c r="A911" s="16"/>
      <c r="B911" s="17"/>
    </row>
    <row r="912" spans="1:2" ht="13" customHeight="1">
      <c r="A912" s="16"/>
      <c r="B912" s="17"/>
    </row>
    <row r="913" spans="1:2" ht="13" customHeight="1">
      <c r="A913" s="16"/>
      <c r="B913" s="17"/>
    </row>
    <row r="914" spans="1:2" ht="13" customHeight="1">
      <c r="A914" s="16"/>
      <c r="B914" s="17"/>
    </row>
    <row r="915" spans="1:2" ht="13" customHeight="1">
      <c r="A915" s="16"/>
      <c r="B915" s="17"/>
    </row>
    <row r="916" spans="1:2" ht="13" customHeight="1">
      <c r="A916" s="16"/>
      <c r="B916" s="17"/>
    </row>
    <row r="917" spans="1:2" ht="13" customHeight="1">
      <c r="A917" s="16"/>
      <c r="B917" s="17"/>
    </row>
    <row r="918" spans="1:2" ht="13" customHeight="1">
      <c r="A918" s="16"/>
      <c r="B918" s="17"/>
    </row>
    <row r="919" spans="1:2" ht="13" customHeight="1">
      <c r="A919" s="16"/>
      <c r="B919" s="17"/>
    </row>
    <row r="920" spans="1:2" ht="13" customHeight="1">
      <c r="A920" s="16"/>
      <c r="B920" s="17"/>
    </row>
    <row r="921" spans="1:2" ht="13" customHeight="1">
      <c r="A921" s="16"/>
      <c r="B921" s="17"/>
    </row>
    <row r="922" spans="1:2" ht="13" customHeight="1">
      <c r="A922" s="16"/>
      <c r="B922" s="17"/>
    </row>
    <row r="923" spans="1:2" ht="13" customHeight="1">
      <c r="A923" s="16"/>
      <c r="B923" s="17"/>
    </row>
    <row r="924" spans="1:2" ht="13" customHeight="1">
      <c r="A924" s="16"/>
      <c r="B924" s="17"/>
    </row>
    <row r="925" spans="1:2" ht="13" customHeight="1">
      <c r="A925" s="16"/>
      <c r="B925" s="17"/>
    </row>
    <row r="926" spans="1:2" ht="13" customHeight="1">
      <c r="A926" s="16"/>
      <c r="B926" s="17"/>
    </row>
    <row r="927" spans="1:2" ht="13" customHeight="1">
      <c r="A927" s="16"/>
      <c r="B927" s="17"/>
    </row>
    <row r="928" spans="1:2" ht="13" customHeight="1">
      <c r="A928" s="16"/>
      <c r="B928" s="17"/>
    </row>
    <row r="929" spans="1:2" ht="13" customHeight="1">
      <c r="A929" s="16"/>
      <c r="B929" s="17"/>
    </row>
    <row r="930" spans="1:2" ht="13" customHeight="1">
      <c r="A930" s="16"/>
      <c r="B930" s="17"/>
    </row>
    <row r="931" spans="1:2" ht="13" customHeight="1">
      <c r="A931" s="16"/>
      <c r="B931" s="17"/>
    </row>
    <row r="932" spans="1:2" ht="13" customHeight="1">
      <c r="A932" s="16"/>
      <c r="B932" s="17"/>
    </row>
    <row r="933" spans="1:2" ht="13" customHeight="1">
      <c r="A933" s="16"/>
      <c r="B933" s="17"/>
    </row>
    <row r="934" spans="1:2" ht="13" customHeight="1">
      <c r="A934" s="16"/>
      <c r="B934" s="17"/>
    </row>
    <row r="935" spans="1:2" ht="13" customHeight="1">
      <c r="A935" s="16"/>
      <c r="B935" s="17"/>
    </row>
    <row r="936" spans="1:2" ht="13" customHeight="1">
      <c r="A936" s="16"/>
      <c r="B936" s="17"/>
    </row>
    <row r="937" spans="1:2" ht="13" customHeight="1">
      <c r="A937" s="16"/>
      <c r="B937" s="17"/>
    </row>
    <row r="938" spans="1:2" ht="13" customHeight="1">
      <c r="A938" s="16"/>
      <c r="B938" s="17"/>
    </row>
    <row r="939" spans="1:2" ht="13" customHeight="1">
      <c r="A939" s="16"/>
      <c r="B939" s="17"/>
    </row>
    <row r="940" spans="1:2" ht="13" customHeight="1">
      <c r="A940" s="16"/>
      <c r="B940" s="17"/>
    </row>
    <row r="941" spans="1:2" ht="13" customHeight="1">
      <c r="A941" s="16"/>
      <c r="B941" s="17"/>
    </row>
    <row r="942" spans="1:2" ht="13" customHeight="1">
      <c r="A942" s="16"/>
      <c r="B942" s="17"/>
    </row>
    <row r="943" spans="1:2" ht="13" customHeight="1">
      <c r="A943" s="16"/>
      <c r="B943" s="17"/>
    </row>
    <row r="944" spans="1:2" ht="13" customHeight="1">
      <c r="A944" s="16"/>
      <c r="B944" s="17"/>
    </row>
    <row r="945" spans="1:2" ht="13" customHeight="1">
      <c r="A945" s="16"/>
      <c r="B945" s="17"/>
    </row>
    <row r="946" spans="1:2" ht="13" customHeight="1">
      <c r="A946" s="16"/>
      <c r="B946" s="17"/>
    </row>
    <row r="947" spans="1:2" ht="13" customHeight="1">
      <c r="A947" s="16"/>
      <c r="B947" s="17"/>
    </row>
    <row r="948" spans="1:2" ht="13" customHeight="1">
      <c r="A948" s="16"/>
      <c r="B948" s="17"/>
    </row>
    <row r="949" spans="1:2" ht="13" customHeight="1">
      <c r="A949" s="16"/>
      <c r="B949" s="17"/>
    </row>
    <row r="950" spans="1:2" ht="13" customHeight="1">
      <c r="A950" s="16"/>
      <c r="B950" s="17"/>
    </row>
    <row r="951" spans="1:2" ht="13" customHeight="1">
      <c r="A951" s="16"/>
      <c r="B951" s="17"/>
    </row>
    <row r="952" spans="1:2" ht="13" customHeight="1">
      <c r="A952" s="16"/>
      <c r="B952" s="17"/>
    </row>
    <row r="953" spans="1:2" ht="13" customHeight="1">
      <c r="A953" s="16"/>
      <c r="B953" s="17"/>
    </row>
    <row r="954" spans="1:2" ht="13" customHeight="1">
      <c r="A954" s="16"/>
      <c r="B954" s="17"/>
    </row>
    <row r="955" spans="1:2" ht="13" customHeight="1">
      <c r="A955" s="16"/>
      <c r="B955" s="17"/>
    </row>
    <row r="956" spans="1:2" ht="13" customHeight="1">
      <c r="A956" s="16"/>
      <c r="B956" s="17"/>
    </row>
    <row r="957" spans="1:2" ht="13" customHeight="1">
      <c r="A957" s="16"/>
      <c r="B957" s="17"/>
    </row>
    <row r="958" spans="1:2" ht="13" customHeight="1">
      <c r="A958" s="16"/>
      <c r="B958" s="17"/>
    </row>
    <row r="959" spans="1:2" ht="13" customHeight="1">
      <c r="A959" s="16"/>
      <c r="B959" s="17"/>
    </row>
    <row r="960" spans="1:2" ht="13" customHeight="1">
      <c r="A960" s="16"/>
      <c r="B960" s="17"/>
    </row>
    <row r="961" spans="1:2" ht="13" customHeight="1">
      <c r="A961" s="16"/>
      <c r="B961" s="17"/>
    </row>
    <row r="962" spans="1:2" ht="13" customHeight="1">
      <c r="A962" s="16"/>
      <c r="B962" s="17"/>
    </row>
    <row r="963" spans="1:2" ht="13" customHeight="1">
      <c r="A963" s="16"/>
      <c r="B963" s="17"/>
    </row>
    <row r="964" spans="1:2" ht="13" customHeight="1">
      <c r="A964" s="16"/>
      <c r="B964" s="17"/>
    </row>
    <row r="965" spans="1:2" ht="13" customHeight="1">
      <c r="A965" s="16"/>
      <c r="B965" s="17"/>
    </row>
    <row r="966" spans="1:2" ht="13" customHeight="1">
      <c r="A966" s="16"/>
      <c r="B966" s="17"/>
    </row>
    <row r="967" spans="1:2" ht="13" customHeight="1">
      <c r="A967" s="16"/>
      <c r="B967" s="17"/>
    </row>
    <row r="968" spans="1:2" ht="13" customHeight="1">
      <c r="A968" s="16"/>
      <c r="B968" s="17"/>
    </row>
    <row r="969" spans="1:2" ht="13" customHeight="1">
      <c r="A969" s="16"/>
      <c r="B969" s="17"/>
    </row>
    <row r="970" spans="1:2" ht="13" customHeight="1">
      <c r="A970" s="16"/>
      <c r="B970" s="17"/>
    </row>
    <row r="971" spans="1:2" ht="13" customHeight="1">
      <c r="A971" s="16"/>
      <c r="B971" s="17"/>
    </row>
    <row r="972" spans="1:2" ht="13" customHeight="1">
      <c r="A972" s="16"/>
      <c r="B972" s="17"/>
    </row>
    <row r="973" spans="1:2" ht="13" customHeight="1">
      <c r="A973" s="16"/>
      <c r="B973" s="17"/>
    </row>
    <row r="974" spans="1:2" ht="13" customHeight="1">
      <c r="A974" s="16"/>
      <c r="B974" s="17"/>
    </row>
    <row r="975" spans="1:2" ht="13" customHeight="1">
      <c r="A975" s="16"/>
      <c r="B975" s="17"/>
    </row>
    <row r="976" spans="1:2" ht="13" customHeight="1">
      <c r="A976" s="16"/>
      <c r="B976" s="17"/>
    </row>
    <row r="977" spans="1:2" ht="13" customHeight="1">
      <c r="A977" s="16"/>
      <c r="B977" s="17"/>
    </row>
    <row r="978" spans="1:2" ht="13" customHeight="1">
      <c r="A978" s="16"/>
      <c r="B978" s="17"/>
    </row>
    <row r="979" spans="1:2" ht="13" customHeight="1">
      <c r="A979" s="16"/>
      <c r="B979" s="17"/>
    </row>
    <row r="980" spans="1:2" ht="13" customHeight="1">
      <c r="A980" s="16"/>
      <c r="B980" s="17"/>
    </row>
    <row r="981" spans="1:2" ht="13" customHeight="1">
      <c r="A981" s="16"/>
      <c r="B981" s="17"/>
    </row>
    <row r="982" spans="1:2" ht="13" customHeight="1">
      <c r="A982" s="16"/>
      <c r="B982" s="17"/>
    </row>
    <row r="983" spans="1:2" ht="13" customHeight="1">
      <c r="A983" s="16"/>
      <c r="B983" s="17"/>
    </row>
    <row r="984" spans="1:2" ht="13" customHeight="1">
      <c r="A984" s="16"/>
      <c r="B984" s="17"/>
    </row>
    <row r="985" spans="1:2" ht="13" customHeight="1">
      <c r="A985" s="16"/>
      <c r="B985" s="17"/>
    </row>
    <row r="986" spans="1:2" ht="13" customHeight="1">
      <c r="A986" s="16"/>
      <c r="B986" s="17"/>
    </row>
    <row r="987" spans="1:2" ht="13" customHeight="1">
      <c r="A987" s="16"/>
      <c r="B987" s="17"/>
    </row>
    <row r="988" spans="1:2" ht="13" customHeight="1">
      <c r="A988" s="16"/>
      <c r="B988" s="17"/>
    </row>
    <row r="989" spans="1:2" ht="13" customHeight="1">
      <c r="A989" s="16"/>
      <c r="B989" s="17"/>
    </row>
    <row r="990" spans="1:2" ht="13" customHeight="1">
      <c r="A990" s="16"/>
      <c r="B990" s="17"/>
    </row>
    <row r="991" spans="1:2" ht="13" customHeight="1">
      <c r="A991" s="16"/>
      <c r="B991" s="17"/>
    </row>
    <row r="992" spans="1:2" ht="13" customHeight="1">
      <c r="A992" s="16"/>
      <c r="B992" s="17"/>
    </row>
    <row r="993" spans="1:2" ht="13" customHeight="1">
      <c r="A993" s="16"/>
      <c r="B993" s="17"/>
    </row>
    <row r="994" spans="1:2" ht="13" customHeight="1">
      <c r="A994" s="16"/>
      <c r="B994" s="17"/>
    </row>
    <row r="995" spans="1:2" ht="13" customHeight="1">
      <c r="A995" s="16"/>
      <c r="B995" s="17"/>
    </row>
    <row r="996" spans="1:2" ht="13" customHeight="1">
      <c r="A996" s="16"/>
      <c r="B996" s="17"/>
    </row>
    <row r="997" spans="1:2" ht="13" customHeight="1">
      <c r="A997" s="16"/>
      <c r="B997" s="17"/>
    </row>
    <row r="998" spans="1:2" ht="13" customHeight="1">
      <c r="A998" s="16"/>
      <c r="B998" s="17"/>
    </row>
    <row r="999" spans="1:2" ht="13" customHeight="1">
      <c r="A999" s="16"/>
      <c r="B999" s="17"/>
    </row>
    <row r="1000" spans="1:2" ht="13" customHeight="1">
      <c r="A1000" s="16"/>
      <c r="B1000" s="17"/>
    </row>
    <row r="1001" spans="1:2" ht="13" customHeight="1">
      <c r="A1001" s="16"/>
      <c r="B1001" s="17"/>
    </row>
    <row r="1002" spans="1:2" ht="13" customHeight="1">
      <c r="A1002" s="16"/>
      <c r="B1002" s="17"/>
    </row>
    <row r="1003" spans="1:2" ht="13" customHeight="1">
      <c r="A1003" s="16"/>
      <c r="B1003" s="17"/>
    </row>
    <row r="1004" spans="1:2" ht="13" customHeight="1">
      <c r="A1004" s="16"/>
      <c r="B1004" s="17"/>
    </row>
    <row r="1005" spans="1:2" ht="13" customHeight="1">
      <c r="A1005" s="16"/>
      <c r="B1005" s="17"/>
    </row>
  </sheetData>
  <hyperlinks>
    <hyperlink ref="C10" r:id="rId1" xr:uid="{00000000-0004-0000-0100-000000000000}"/>
    <hyperlink ref="C22" r:id="rId2" xr:uid="{00000000-0004-0000-0100-000001000000}"/>
    <hyperlink ref="C23" r:id="rId3" xr:uid="{00000000-0004-0000-0100-000002000000}"/>
    <hyperlink ref="C24" r:id="rId4" location="odezhda" xr:uid="{00000000-0004-0000-0100-000003000000}"/>
    <hyperlink ref="C25" r:id="rId5" xr:uid="{00000000-0004-0000-0100-000004000000}"/>
    <hyperlink ref="C27" r:id="rId6" xr:uid="{00000000-0004-0000-0100-000005000000}"/>
    <hyperlink ref="C28" r:id="rId7" xr:uid="{00000000-0004-0000-0100-000006000000}"/>
    <hyperlink ref="C29" r:id="rId8" xr:uid="{00000000-0004-0000-0100-000007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989"/>
  <sheetViews>
    <sheetView zoomScale="64" workbookViewId="0">
      <selection activeCell="A4" sqref="A4"/>
    </sheetView>
  </sheetViews>
  <sheetFormatPr baseColWidth="10" defaultColWidth="12.6640625" defaultRowHeight="15.75" customHeight="1"/>
  <cols>
    <col min="1" max="1" width="45" customWidth="1"/>
    <col min="2" max="2" width="25" customWidth="1"/>
    <col min="3" max="12" width="8" customWidth="1"/>
    <col min="13" max="13" width="55" customWidth="1"/>
    <col min="14" max="14" width="45" customWidth="1"/>
    <col min="15" max="15" width="50" customWidth="1"/>
    <col min="16" max="16" width="30" customWidth="1"/>
  </cols>
  <sheetData>
    <row r="1" spans="1:26" ht="16" customHeight="1">
      <c r="A1" s="115" t="s">
        <v>181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spans="1:26" ht="15.75" customHeight="1">
      <c r="A2" s="116" t="s">
        <v>182</v>
      </c>
      <c r="B2" s="116" t="s">
        <v>183</v>
      </c>
      <c r="C2" s="116" t="s">
        <v>184</v>
      </c>
      <c r="H2" s="116" t="s">
        <v>185</v>
      </c>
      <c r="M2" s="116" t="s">
        <v>186</v>
      </c>
      <c r="N2" s="116" t="s">
        <v>187</v>
      </c>
      <c r="O2" s="116" t="s">
        <v>188</v>
      </c>
      <c r="P2" s="114" t="s">
        <v>189</v>
      </c>
      <c r="Q2" s="34"/>
      <c r="R2" s="34"/>
      <c r="S2" s="34"/>
      <c r="T2" s="34"/>
      <c r="U2" s="34"/>
      <c r="V2" s="34"/>
      <c r="W2" s="34"/>
      <c r="X2" s="34"/>
      <c r="Y2" s="34"/>
      <c r="Z2" s="34"/>
    </row>
    <row r="3" spans="1:26" ht="16" customHeight="1">
      <c r="C3" s="35">
        <v>2026</v>
      </c>
      <c r="D3" s="35">
        <v>2027</v>
      </c>
      <c r="E3" s="35">
        <v>2028</v>
      </c>
      <c r="F3" s="35">
        <v>2029</v>
      </c>
      <c r="G3" s="35">
        <v>2030</v>
      </c>
      <c r="H3" s="35">
        <v>2026</v>
      </c>
      <c r="I3" s="35">
        <v>2027</v>
      </c>
      <c r="J3" s="35">
        <v>2028</v>
      </c>
      <c r="K3" s="35">
        <v>2029</v>
      </c>
      <c r="L3" s="35">
        <v>2030</v>
      </c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spans="1:26" ht="409.5" customHeight="1">
      <c r="A4" s="128" t="s">
        <v>190</v>
      </c>
      <c r="B4" s="117" t="s">
        <v>191</v>
      </c>
      <c r="C4" s="36">
        <v>0.15</v>
      </c>
      <c r="D4" s="36">
        <v>0.15</v>
      </c>
      <c r="E4" s="36">
        <v>0.15</v>
      </c>
      <c r="F4" s="37">
        <f>0.15*(1-Assumptions!B51)</f>
        <v>0.13500000000000001</v>
      </c>
      <c r="G4" s="36">
        <f>0.15*(1-Assumptions!B51)^2</f>
        <v>0.1215</v>
      </c>
      <c r="H4" s="38">
        <v>0.1</v>
      </c>
      <c r="I4" s="38">
        <v>0.5</v>
      </c>
      <c r="J4" s="38">
        <v>1</v>
      </c>
      <c r="K4" s="38">
        <v>1</v>
      </c>
      <c r="L4" s="38">
        <v>1</v>
      </c>
      <c r="M4" s="39" t="s">
        <v>192</v>
      </c>
      <c r="N4" s="39" t="s">
        <v>193</v>
      </c>
      <c r="O4" s="39" t="s">
        <v>194</v>
      </c>
      <c r="P4" s="118" t="s">
        <v>195</v>
      </c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 ht="371" customHeight="1">
      <c r="A5" s="39" t="s">
        <v>196</v>
      </c>
      <c r="B5" s="117" t="s">
        <v>197</v>
      </c>
      <c r="C5" s="37">
        <f>Assumptions!$B$58</f>
        <v>0.15</v>
      </c>
      <c r="D5" s="37">
        <f>Assumptions!$B$58</f>
        <v>0.15</v>
      </c>
      <c r="E5" s="37">
        <f>Assumptions!$B$58</f>
        <v>0.15</v>
      </c>
      <c r="F5" s="37">
        <f>Assumptions!$B$59</f>
        <v>0.13500000000000001</v>
      </c>
      <c r="G5" s="37">
        <f>Assumptions!$B$60</f>
        <v>0.1215</v>
      </c>
      <c r="H5" s="38">
        <v>0.15</v>
      </c>
      <c r="I5" s="38">
        <v>0.6</v>
      </c>
      <c r="J5" s="38">
        <v>1</v>
      </c>
      <c r="K5" s="38">
        <v>1</v>
      </c>
      <c r="L5" s="38">
        <v>1</v>
      </c>
      <c r="M5" s="39" t="s">
        <v>198</v>
      </c>
      <c r="N5" s="39" t="s">
        <v>199</v>
      </c>
      <c r="O5" s="39" t="s">
        <v>200</v>
      </c>
      <c r="P5" s="118" t="s">
        <v>201</v>
      </c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15.75" customHeight="1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spans="1:26" ht="15.75" customHeight="1">
      <c r="A7" s="114" t="s">
        <v>202</v>
      </c>
      <c r="B7" s="118" t="s">
        <v>203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spans="1:26" ht="15.75" customHeight="1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spans="1:26" ht="15.75" customHeight="1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spans="1:26" ht="15.75" customHeight="1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spans="1:26" ht="15.75" customHeight="1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spans="1:26" ht="15.75" customHeight="1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spans="1:26" ht="15.75" customHeight="1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spans="1:26" ht="15.75" customHeight="1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spans="1:26" ht="15.75" customHeight="1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26" ht="15.75" customHeight="1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spans="1:26" ht="15.75" customHeight="1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spans="1:26" ht="15.75" customHeight="1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spans="1:26" ht="15.75" customHeight="1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spans="1:26" ht="15.75" customHeight="1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spans="1:26" ht="15.75" customHeight="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spans="1:26" ht="15.75" customHeight="1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spans="1:26" ht="15.75" customHeight="1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spans="1:26" ht="15.75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spans="1:26" ht="15.75" customHeight="1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spans="1:26" ht="15.75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spans="1:26" ht="15.75" customHeight="1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spans="1:26" ht="15.75" customHeight="1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spans="1:26" ht="15.7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spans="1:26" ht="15.75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spans="1:26" ht="15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spans="1:26" ht="15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spans="1:26" ht="15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spans="1:26" ht="15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spans="1:26" ht="15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spans="1:26" ht="15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spans="1:26" ht="15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spans="1:26" ht="15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spans="1:26" ht="15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spans="1:26" ht="15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spans="1:26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spans="1:26" ht="15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spans="1:26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spans="1:26" ht="15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spans="1:26" ht="15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spans="1:26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spans="1:26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spans="1:26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spans="1:26" ht="15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spans="1:26" ht="13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spans="1:26" ht="13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spans="1:26" ht="13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spans="1:26" ht="13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spans="1:26" ht="13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spans="1:26" ht="13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spans="1:26" ht="13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spans="1:26" ht="13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spans="1:26" ht="13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spans="1:26" ht="13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spans="1:26" ht="13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spans="1:26" ht="13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spans="1:26" ht="13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spans="1:26" ht="13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spans="1:26" ht="13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spans="1:26" ht="13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spans="1:26" ht="13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spans="1:26" ht="13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spans="1:26" ht="13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spans="1:26" ht="13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spans="1:26" ht="13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spans="1:26" ht="13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spans="1:26" ht="13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1:26" ht="13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1:26" ht="13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spans="1:26" ht="13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spans="1:26" ht="13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spans="1:26" ht="13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spans="1:26" ht="13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spans="1:26" ht="13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spans="1:26" ht="13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spans="1:26" ht="13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spans="1:26" ht="13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spans="1:26" ht="13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spans="1:26" ht="13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spans="1:26" ht="13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spans="1:26" ht="13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spans="1:26" ht="13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spans="1:26" ht="13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spans="1:26" ht="13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spans="1:26" ht="13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spans="1:26" ht="13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spans="1:26" ht="13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spans="1:26" ht="13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spans="1:26" ht="13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spans="1:26" ht="13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spans="1:26" ht="13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spans="1:26" ht="13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spans="1:26" ht="13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spans="1:26" ht="13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spans="1:26" ht="13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spans="1:26" ht="13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spans="1:26" ht="13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spans="1:26" ht="13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spans="1:26" ht="13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spans="1:26" ht="13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spans="1:26" ht="13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spans="1:26" ht="13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spans="1:26" ht="13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spans="1:26" ht="13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spans="1:26" ht="13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spans="1:26" ht="13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spans="1:26" ht="13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spans="1:26" ht="13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spans="1:26" ht="13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spans="1:26" ht="13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spans="1:26" ht="13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spans="1:26" ht="13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spans="1:26" ht="13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spans="1:26" ht="13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spans="1:26" ht="13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spans="1:26" ht="13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spans="1:26" ht="13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spans="1:26" ht="13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spans="1:26" ht="13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spans="1:26" ht="13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spans="1:26" ht="13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spans="1:26" ht="13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spans="1:26" ht="13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spans="1:26" ht="13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spans="1:26" ht="13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spans="1:26" ht="13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spans="1:26" ht="13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spans="1:26" ht="13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spans="1:26" ht="13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spans="1:26" ht="13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spans="1:26" ht="13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spans="1:26" ht="13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spans="1:26" ht="13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spans="1:26" ht="13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spans="1:26" ht="13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spans="1:26" ht="13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spans="1:26" ht="13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spans="1:26" ht="13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spans="1:26" ht="13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spans="1:26" ht="13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spans="1:26" ht="13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spans="1:26" ht="13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spans="1:26" ht="13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spans="1:26" ht="13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spans="1:26" ht="13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spans="1:26" ht="13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spans="1:26" ht="13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spans="1:26" ht="13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spans="1:26" ht="13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spans="1:26" ht="13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spans="1:26" ht="13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spans="1:26" ht="13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spans="1:26" ht="13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spans="1:26" ht="13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spans="1:26" ht="13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spans="1:26" ht="13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spans="1:26" ht="13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spans="1:26" ht="13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spans="1:26" ht="13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spans="1:26" ht="13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spans="1:26" ht="13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spans="1:26" ht="13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spans="1:26" ht="13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spans="1:26" ht="13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spans="1:26" ht="13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spans="1:26" ht="13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spans="1:26" ht="13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spans="1:26" ht="13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spans="1:26" ht="13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spans="1:26" ht="13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spans="1:26" ht="13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spans="1:26" ht="13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spans="1:26" ht="13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spans="1:26" ht="13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spans="1:26" ht="13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spans="1:26" ht="13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spans="1:26" ht="13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spans="1:26" ht="13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spans="1:26" ht="13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spans="1:26" ht="13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spans="1:26" ht="13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spans="1:26" ht="13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spans="1:26" ht="13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spans="1:26" ht="13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spans="1:26" ht="13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spans="1:26" ht="13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spans="1:26" ht="13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spans="1:26" ht="13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spans="1:26" ht="13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spans="1:26" ht="13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spans="1:26" ht="13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spans="1:26" ht="13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spans="1:26" ht="13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spans="1:26" ht="13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spans="1:26" ht="13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spans="1:26" ht="13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spans="1:26" ht="13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spans="1:26" ht="13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spans="1:26" ht="13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spans="1:26" ht="13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spans="1:26" ht="13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spans="1:26" ht="13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spans="1:26" ht="13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spans="1:26" ht="13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spans="1:26" ht="13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spans="1:26" ht="13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spans="1:26" ht="13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spans="1:26" ht="13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spans="1:26" ht="13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spans="1:26" ht="13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spans="1:26" ht="13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spans="1:26" ht="13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spans="1:26" ht="13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spans="1:26" ht="13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spans="1:26" ht="13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spans="1:26" ht="13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spans="1:26" ht="13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spans="1:26" ht="13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spans="1:26" ht="13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spans="1:26" ht="13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spans="1:26" ht="13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spans="1:26" ht="13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spans="1:26" ht="13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spans="1:26" ht="13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spans="1:26" ht="13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spans="1:26" ht="13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spans="1:26" ht="13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spans="1:26" ht="13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spans="1:26" ht="13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spans="1:26" ht="13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spans="1:26" ht="13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spans="1:26" ht="13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spans="1:26" ht="13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spans="1:26" ht="13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spans="1:26" ht="13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spans="1:26" ht="13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spans="1:26" ht="13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spans="1:26" ht="13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spans="1:26" ht="13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spans="1:26" ht="13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spans="1:26" ht="13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spans="1:26" ht="13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spans="1:26" ht="13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spans="1:26" ht="13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spans="1:26" ht="13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spans="1:26" ht="13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spans="1:26" ht="13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spans="1:26" ht="13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spans="1:26" ht="13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spans="1:26" ht="13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spans="1:26" ht="13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spans="1:26" ht="13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spans="1:26" ht="13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spans="1:26" ht="13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spans="1:26" ht="13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spans="1:26" ht="13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spans="1:26" ht="13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spans="1:26" ht="13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spans="1:26" ht="13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spans="1:26" ht="13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spans="1:26" ht="13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spans="1:26" ht="13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spans="1:26" ht="13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spans="1:26" ht="13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spans="1:26" ht="13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spans="1:26" ht="13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spans="1:26" ht="13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spans="1:26" ht="13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spans="1:26" ht="13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spans="1:26" ht="13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spans="1:26" ht="13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spans="1:26" ht="13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spans="1:26" ht="13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spans="1:26" ht="13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spans="1:26" ht="13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spans="1:26" ht="13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spans="1:26" ht="13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spans="1:26" ht="13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spans="1:26" ht="13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spans="1:26" ht="13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spans="1:26" ht="13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spans="1:26" ht="13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spans="1:26" ht="13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spans="1:26" ht="13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spans="1:26" ht="13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spans="1:26" ht="13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spans="1:26" ht="13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spans="1:26" ht="13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spans="1:26" ht="13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spans="1:26" ht="13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spans="1:26" ht="13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spans="1:26" ht="13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spans="1:26" ht="13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spans="1:26" ht="13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spans="1:26" ht="13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spans="1:26" ht="13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spans="1:26" ht="13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spans="1:26" ht="13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spans="1:26" ht="13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spans="1:26" ht="13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spans="1:26" ht="13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spans="1:26" ht="13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spans="1:26" ht="13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spans="1:26" ht="13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spans="1:26" ht="13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spans="1:26" ht="13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spans="1:26" ht="13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spans="1:26" ht="13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spans="1:26" ht="13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spans="1:26" ht="13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spans="1:26" ht="13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spans="1:26" ht="13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spans="1:26" ht="13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spans="1:26" ht="13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spans="1:26" ht="13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spans="1:26" ht="13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spans="1:26" ht="13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spans="1:26" ht="13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spans="1:26" ht="13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spans="1:26" ht="13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spans="1:26" ht="13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spans="1:26" ht="13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spans="1:26" ht="13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spans="1:26" ht="13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spans="1:26" ht="13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spans="1:26" ht="13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spans="1:26" ht="13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spans="1:26" ht="13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spans="1:26" ht="13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spans="1:26" ht="13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spans="1:26" ht="13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spans="1:26" ht="13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spans="1:26" ht="13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spans="1:26" ht="13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spans="1:26" ht="13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spans="1:26" ht="13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spans="1:26" ht="13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spans="1:26" ht="13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spans="1:26" ht="13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spans="1:26" ht="13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spans="1:26" ht="13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spans="1:26" ht="13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spans="1:26" ht="13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spans="1:26" ht="13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spans="1:26" ht="13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spans="1:26" ht="13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spans="1:26" ht="13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spans="1:26" ht="13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spans="1:26" ht="13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spans="1:26" ht="13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spans="1:26" ht="13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spans="1:26" ht="13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spans="1:26" ht="13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spans="1:26" ht="13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spans="1:26" ht="13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spans="1:26" ht="13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spans="1:26" ht="13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spans="1:26" ht="13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spans="1:26" ht="13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spans="1:26" ht="13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spans="1:26" ht="13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spans="1:26" ht="13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spans="1:26" ht="13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spans="1:26" ht="13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spans="1:26" ht="13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spans="1:26" ht="13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spans="1:26" ht="13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spans="1:26" ht="13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spans="1:26" ht="13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spans="1:26" ht="13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spans="1:26" ht="13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spans="1:26" ht="13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spans="1:26" ht="13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spans="1:26" ht="13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spans="1:26" ht="13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spans="1:26" ht="13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spans="1:26" ht="13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spans="1:26" ht="13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spans="1:26" ht="13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spans="1:26" ht="13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spans="1:26" ht="13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spans="1:26" ht="13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spans="1:26" ht="13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spans="1:26" ht="13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spans="1:26" ht="13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spans="1:26" ht="13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spans="1:26" ht="13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spans="1:26" ht="13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spans="1:26" ht="13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spans="1:26" ht="13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spans="1:26" ht="13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spans="1:26" ht="13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spans="1:26" ht="13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spans="1:26" ht="13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spans="1:26" ht="13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spans="1:26" ht="13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spans="1:26" ht="13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spans="1:26" ht="13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spans="1:26" ht="13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spans="1:26" ht="13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spans="1:26" ht="13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spans="1:26" ht="13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spans="1:26" ht="13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spans="1:26" ht="13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spans="1:26" ht="13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spans="1:26" ht="13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spans="1:26" ht="13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spans="1:26" ht="13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spans="1:26" ht="13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spans="1:26" ht="13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spans="1:26" ht="13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spans="1:26" ht="13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spans="1:26" ht="13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spans="1:26" ht="13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spans="1:26" ht="13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spans="1:26" ht="13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spans="1:26" ht="13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spans="1:26" ht="13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spans="1:26" ht="13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spans="1:26" ht="13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spans="1:26" ht="13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spans="1:26" ht="13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spans="1:26" ht="13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spans="1:26" ht="13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spans="1:26" ht="13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spans="1:26" ht="13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spans="1:26" ht="13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spans="1:26" ht="13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spans="1:26" ht="13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spans="1:26" ht="13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spans="1:26" ht="13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spans="1:26" ht="13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spans="1:26" ht="13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spans="1:26" ht="13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spans="1:26" ht="13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spans="1:26" ht="13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spans="1:26" ht="13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spans="1:26" ht="13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spans="1:26" ht="13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spans="1:26" ht="13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spans="1:26" ht="13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spans="1:26" ht="13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spans="1:26" ht="13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spans="1:26" ht="13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spans="1:26" ht="13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spans="1:26" ht="13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spans="1:26" ht="13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spans="1:26" ht="13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spans="1:26" ht="13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spans="1:26" ht="13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spans="1:26" ht="13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spans="1:26" ht="13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spans="1:26" ht="13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spans="1:26" ht="13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spans="1:26" ht="13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spans="1:26" ht="13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spans="1:26" ht="13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spans="1:26" ht="13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spans="1:26" ht="13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spans="1:26" ht="13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spans="1:26" ht="13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spans="1:26" ht="13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spans="1:26" ht="13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spans="1:26" ht="13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spans="1:26" ht="13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spans="1:26" ht="13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spans="1:26" ht="13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spans="1:26" ht="13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spans="1:26" ht="13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spans="1:26" ht="13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spans="1:26" ht="13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spans="1:26" ht="13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spans="1:26" ht="13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spans="1:26" ht="13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spans="1:26" ht="13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spans="1:26" ht="13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spans="1:26" ht="13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spans="1:26" ht="13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spans="1:26" ht="13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spans="1:26" ht="13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spans="1:26" ht="13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spans="1:26" ht="13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spans="1:26" ht="13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spans="1:26" ht="13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spans="1:26" ht="13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spans="1:26" ht="13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spans="1:26" ht="13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spans="1:26" ht="13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spans="1:26" ht="13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spans="1:26" ht="13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spans="1:26" ht="13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spans="1:26" ht="13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spans="1:26" ht="13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spans="1:26" ht="13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spans="1:26" ht="13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spans="1:26" ht="13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spans="1:26" ht="13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spans="1:26" ht="13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spans="1:26" ht="13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spans="1:26" ht="13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spans="1:26" ht="13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spans="1:26" ht="13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spans="1:26" ht="13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spans="1:26" ht="13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spans="1:26" ht="13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spans="1:26" ht="13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spans="1:26" ht="13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spans="1:26" ht="13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spans="1:26" ht="13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spans="1:26" ht="13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spans="1:26" ht="13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spans="1:26" ht="13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spans="1:26" ht="13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spans="1:26" ht="13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spans="1:26" ht="13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spans="1:26" ht="13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spans="1:26" ht="13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spans="1:26" ht="13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spans="1:26" ht="13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spans="1:26" ht="13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spans="1:26" ht="13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spans="1:26" ht="13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spans="1:26" ht="13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spans="1:26" ht="13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spans="1:26" ht="13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spans="1:26" ht="13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spans="1:26" ht="13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spans="1:26" ht="13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spans="1:26" ht="13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spans="1:26" ht="13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spans="1:26" ht="13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spans="1:26" ht="13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spans="1:26" ht="13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spans="1:26" ht="13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spans="1:26" ht="13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spans="1:26" ht="13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spans="1:26" ht="13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spans="1:26" ht="13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spans="1:26" ht="13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spans="1:26" ht="13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spans="1:26" ht="13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spans="1:26" ht="13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spans="1:26" ht="13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spans="1:26" ht="13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spans="1:26" ht="13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spans="1:26" ht="13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spans="1:26" ht="13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spans="1:26" ht="13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spans="1:26" ht="13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spans="1:26" ht="13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spans="1:26" ht="13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spans="1:26" ht="13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spans="1:26" ht="13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spans="1:26" ht="13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spans="1:26" ht="13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spans="1:26" ht="13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spans="1:26" ht="13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spans="1:26" ht="13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spans="1:26" ht="13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spans="1:26" ht="13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spans="1:26" ht="13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spans="1:26" ht="13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spans="1:26" ht="13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spans="1:26" ht="13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spans="1:26" ht="13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spans="1:26" ht="13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spans="1:26" ht="13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spans="1:26" ht="13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spans="1:26" ht="13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spans="1:26" ht="13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spans="1:26" ht="13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spans="1:26" ht="13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spans="1:26" ht="13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spans="1:26" ht="13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spans="1:26" ht="13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spans="1:26" ht="13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spans="1:26" ht="13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spans="1:26" ht="13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spans="1:26" ht="13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spans="1:26" ht="13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spans="1:26" ht="13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spans="1:26" ht="13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spans="1:26" ht="13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spans="1:26" ht="13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spans="1:26" ht="13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spans="1:26" ht="13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spans="1:26" ht="13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spans="1:26" ht="13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spans="1:26" ht="13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spans="1:26" ht="13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spans="1:26" ht="13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spans="1:26" ht="13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spans="1:26" ht="13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spans="1:26" ht="13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spans="1:26" ht="13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spans="1:26" ht="13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spans="1:26" ht="13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spans="1:26" ht="13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spans="1:26" ht="13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spans="1:26" ht="13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spans="1:26" ht="13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spans="1:26" ht="13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spans="1:26" ht="13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spans="1:26" ht="13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spans="1:26" ht="13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spans="1:26" ht="13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spans="1:26" ht="13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spans="1:26" ht="13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spans="1:26" ht="13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spans="1:26" ht="13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spans="1:26" ht="13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spans="1:26" ht="13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spans="1:26" ht="13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spans="1:26" ht="13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spans="1:26" ht="13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spans="1:26" ht="13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spans="1:26" ht="13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spans="1:26" ht="13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spans="1:26" ht="13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spans="1:26" ht="13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spans="1:26" ht="13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spans="1:26" ht="13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spans="1:26" ht="13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spans="1:26" ht="13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spans="1:26" ht="13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spans="1:26" ht="13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spans="1:26" ht="13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spans="1:26" ht="13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spans="1:26" ht="13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spans="1:26" ht="13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spans="1:26" ht="13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spans="1:26" ht="13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spans="1:26" ht="13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spans="1:26" ht="13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spans="1:26" ht="13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spans="1:26" ht="13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spans="1:26" ht="13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spans="1:26" ht="13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spans="1:26" ht="13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spans="1:26" ht="13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spans="1:26" ht="13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spans="1:26" ht="13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spans="1:26" ht="13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spans="1:26" ht="13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spans="1:26" ht="13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spans="1:26" ht="13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spans="1:26" ht="13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spans="1:26" ht="13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spans="1:26" ht="13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spans="1:26" ht="13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spans="1:26" ht="13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spans="1:26" ht="13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spans="1:26" ht="13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spans="1:26" ht="13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spans="1:26" ht="13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spans="1:26" ht="13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spans="1:26" ht="13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spans="1:26" ht="13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spans="1:26" ht="13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spans="1:26" ht="13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spans="1:26" ht="13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spans="1:26" ht="13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spans="1:26" ht="13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spans="1:26" ht="13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spans="1:26" ht="13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spans="1:26" ht="13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spans="1:26" ht="13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spans="1:26" ht="13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spans="1:26" ht="13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spans="1:26" ht="13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spans="1:26" ht="13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spans="1:26" ht="13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spans="1:26" ht="13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spans="1:26" ht="13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spans="1:26" ht="13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spans="1:26" ht="13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spans="1:26" ht="13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spans="1:26" ht="13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spans="1:26" ht="13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spans="1:26" ht="13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spans="1:26" ht="13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spans="1:26" ht="13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spans="1:26" ht="13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spans="1:26" ht="13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spans="1:26" ht="13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spans="1:26" ht="13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spans="1:26" ht="13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spans="1:26" ht="13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spans="1:26" ht="13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spans="1:26" ht="13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spans="1:26" ht="13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spans="1:26" ht="13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spans="1:26" ht="13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spans="1:26" ht="13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spans="1:26" ht="13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spans="1:26" ht="13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spans="1:26" ht="13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spans="1:26" ht="13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spans="1:26" ht="13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spans="1:26" ht="13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spans="1:26" ht="13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spans="1:26" ht="13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spans="1:26" ht="13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spans="1:26" ht="13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spans="1:26" ht="13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spans="1:26" ht="13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spans="1:26" ht="13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spans="1:26" ht="13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spans="1:26" ht="13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spans="1:26" ht="13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spans="1:26" ht="13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spans="1:26" ht="13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spans="1:26" ht="13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spans="1:26" ht="13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spans="1:26" ht="13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spans="1:26" ht="13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spans="1:26" ht="13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spans="1:26" ht="13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spans="1:26" ht="13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spans="1:26" ht="13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spans="1:26" ht="13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spans="1:26" ht="13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spans="1:26" ht="13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spans="1:26" ht="13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spans="1:26" ht="13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spans="1:26" ht="13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spans="1:26" ht="13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spans="1:26" ht="13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spans="1:26" ht="13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spans="1:26" ht="13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spans="1:26" ht="13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spans="1:26" ht="13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spans="1:26" ht="13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spans="1:26" ht="13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spans="1:26" ht="13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spans="1:26" ht="13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spans="1:26" ht="13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spans="1:26" ht="13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spans="1:26" ht="13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spans="1:26" ht="13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spans="1:26" ht="13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spans="1:26" ht="13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spans="1:26" ht="13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spans="1:26" ht="13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spans="1:26" ht="13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spans="1:26" ht="13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spans="1:26" ht="13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spans="1:26" ht="13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spans="1:26" ht="13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spans="1:26" ht="13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spans="1:26" ht="13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spans="1:26" ht="13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spans="1:26" ht="13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spans="1:26" ht="13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spans="1:26" ht="13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spans="1:26" ht="13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spans="1:26" ht="13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spans="1:26" ht="13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spans="1:26" ht="13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spans="1:26" ht="13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spans="1:26" ht="13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spans="1:26" ht="13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spans="1:26" ht="13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spans="1:26" ht="13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spans="1:26" ht="13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spans="1:26" ht="13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spans="1:26" ht="13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spans="1:26" ht="13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spans="1:26" ht="13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spans="1:26" ht="13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spans="1:26" ht="13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spans="1:26" ht="13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spans="1:26" ht="13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spans="1:26" ht="13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spans="1:26" ht="13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spans="1:26" ht="13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spans="1:26" ht="13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spans="1:26" ht="13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spans="1:26" ht="13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spans="1:26" ht="13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spans="1:26" ht="13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spans="1:26" ht="13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spans="1:26" ht="13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spans="1:26" ht="13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spans="1:26" ht="13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spans="1:26" ht="13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spans="1:26" ht="13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spans="1:26" ht="13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spans="1:26" ht="13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spans="1:26" ht="13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spans="1:26" ht="13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spans="1:26" ht="13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spans="1:26" ht="13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spans="1:26" ht="13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spans="1:26" ht="13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spans="1:26" ht="13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spans="1:26" ht="13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spans="1:26" ht="13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spans="1:26" ht="13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spans="1:26" ht="13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spans="1:26" ht="13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spans="1:26" ht="13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spans="1:26" ht="13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spans="1:26" ht="13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spans="1:26" ht="13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spans="1:26" ht="13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spans="1:26" ht="13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spans="1:26" ht="13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spans="1:26" ht="13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spans="1:26" ht="13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spans="1:26" ht="13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spans="1:26" ht="13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spans="1:26" ht="13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spans="1:26" ht="13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spans="1:26" ht="13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spans="1:26" ht="13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spans="1:26" ht="13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spans="1:26" ht="13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spans="1:26" ht="13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spans="1:26" ht="13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spans="1:26" ht="13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spans="1:26" ht="13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spans="1:26" ht="13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spans="1:26" ht="13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spans="1:26" ht="13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spans="1:26" ht="13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spans="1:26" ht="13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spans="1:26" ht="13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spans="1:26" ht="13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spans="1:26" ht="13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spans="1:26" ht="13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spans="1:26" ht="13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spans="1:26" ht="13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spans="1:26" ht="13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spans="1:26" ht="13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spans="1:26" ht="13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spans="1:26" ht="13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spans="1:26" ht="13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spans="1:26" ht="13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spans="1:26" ht="13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spans="1:26" ht="13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spans="1:26" ht="13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spans="1:26" ht="13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spans="1:26" ht="13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spans="1:26" ht="13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spans="1:26" ht="13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spans="1:26" ht="13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spans="1:26" ht="13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spans="1:26" ht="13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spans="1:26" ht="13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spans="1:26" ht="13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spans="1:26" ht="13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spans="1:26" ht="13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spans="1:26" ht="13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spans="1:26" ht="13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spans="1:26" ht="13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spans="1:26" ht="13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spans="1:26" ht="13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spans="1:26" ht="13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spans="1:26" ht="13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spans="1:26" ht="13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spans="1:26" ht="13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spans="1:26" ht="13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spans="1:26" ht="13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spans="1:26" ht="13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spans="1:26" ht="13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spans="1:26" ht="13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spans="1:26" ht="13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spans="1:26" ht="13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spans="1:26" ht="13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spans="1:26" ht="13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spans="1:26" ht="13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spans="1:26" ht="13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spans="1:26" ht="13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spans="1:26" ht="13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spans="1:26" ht="13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spans="1:26" ht="13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spans="1:26" ht="13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spans="1:26" ht="13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spans="1:26" ht="13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spans="1:26" ht="13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spans="1:26" ht="13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spans="1:26" ht="13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spans="1:26" ht="13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spans="1:26" ht="13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spans="1:26" ht="13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spans="1:26" ht="13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spans="1:26" ht="13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spans="1:26" ht="13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spans="1:26" ht="13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spans="1:26" ht="13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spans="1:26" ht="13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spans="1:26" ht="13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spans="1:26" ht="13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spans="1:26" ht="13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spans="1:26" ht="13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spans="1:26" ht="13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spans="1:26" ht="13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spans="1:26" ht="13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spans="1:26" ht="13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spans="1:26" ht="13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spans="1:26" ht="13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spans="1:26" ht="13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spans="1:26" ht="13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spans="1:26" ht="13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spans="1:26" ht="13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spans="1:26" ht="13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spans="1:26" ht="13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spans="1:26" ht="13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spans="1:26" ht="13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spans="1:26" ht="13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spans="1:26" ht="13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spans="1:26" ht="13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spans="1:26" ht="13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spans="1:26" ht="13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spans="1:26" ht="13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spans="1:26" ht="13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spans="1:26" ht="13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spans="1:26" ht="13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spans="1:26" ht="13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spans="1:26" ht="13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spans="1:26" ht="13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spans="1:26" ht="13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spans="1:26" ht="13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spans="1:26" ht="13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spans="1:26" ht="13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spans="1:26" ht="13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spans="1:26" ht="13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spans="1:26" ht="13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spans="1:26" ht="13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spans="1:26" ht="13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spans="1:26" ht="13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spans="1:26" ht="13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spans="1:26" ht="13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spans="1:26" ht="13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spans="1:26" ht="13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spans="1:26" ht="13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spans="1:26" ht="13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spans="1:26" ht="13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spans="1:26" ht="13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spans="1:26" ht="13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spans="1:26" ht="13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spans="1:26" ht="13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spans="1:26" ht="13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spans="1:26" ht="13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spans="1:26" ht="13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spans="1:26" ht="13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spans="1:26" ht="13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spans="1:26" ht="13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spans="1:26" ht="13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spans="1:26" ht="13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spans="1:26" ht="13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spans="1:26" ht="13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spans="1:26" ht="13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spans="1:26" ht="13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spans="1:26" ht="13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spans="1:26" ht="13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spans="1:26" ht="13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spans="1:26" ht="13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spans="1:26" ht="13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spans="1:26" ht="13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spans="1:26" ht="13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spans="1:26" ht="13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spans="1:26" ht="13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spans="1:26" ht="13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spans="1:26" ht="13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spans="1:26" ht="13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spans="1:26" ht="13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spans="1:26" ht="13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spans="1:26" ht="13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spans="1:26" ht="13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spans="1:26" ht="13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spans="1:26" ht="13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spans="1:26" ht="13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spans="1:26" ht="13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spans="1:26" ht="13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spans="1:26" ht="13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spans="1:26" ht="13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spans="1:26" ht="13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spans="1:26" ht="13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spans="1:26" ht="13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spans="1:26" ht="13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spans="1:26" ht="13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spans="1:26" ht="13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C466"/>
  <sheetViews>
    <sheetView workbookViewId="0">
      <pane xSplit="2" ySplit="5" topLeftCell="C52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baseColWidth="10" defaultColWidth="12.6640625" defaultRowHeight="15.75" customHeight="1"/>
  <cols>
    <col min="1" max="1" width="25.83203125" customWidth="1"/>
    <col min="2" max="2" width="10.83203125" customWidth="1"/>
    <col min="63" max="63" width="4.6640625" customWidth="1"/>
    <col min="72" max="81" width="12.6640625" hidden="1" customWidth="1"/>
  </cols>
  <sheetData>
    <row r="1" spans="1:81" ht="16" customHeight="1">
      <c r="A1" s="40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 t="s">
        <v>204</v>
      </c>
      <c r="U1" s="42" t="s">
        <v>205</v>
      </c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  <c r="BO1" s="42"/>
      <c r="BP1" s="42"/>
      <c r="BQ1" s="42"/>
      <c r="BR1" s="42"/>
      <c r="BS1" s="42"/>
      <c r="BT1" s="42"/>
      <c r="BU1" s="42"/>
      <c r="BV1" s="42"/>
      <c r="BW1" s="42"/>
      <c r="BX1" s="42"/>
      <c r="BY1" s="42"/>
      <c r="BZ1" s="42"/>
      <c r="CA1" s="42"/>
      <c r="CB1" s="42"/>
      <c r="CC1" s="42"/>
    </row>
    <row r="2" spans="1:81" ht="16" customHeight="1">
      <c r="A2" s="43"/>
      <c r="C2" s="44">
        <v>2026</v>
      </c>
      <c r="D2" s="45">
        <f t="shared" ref="D2:N2" si="0">C2</f>
        <v>2026</v>
      </c>
      <c r="E2" s="45">
        <f t="shared" si="0"/>
        <v>2026</v>
      </c>
      <c r="F2" s="45">
        <f t="shared" si="0"/>
        <v>2026</v>
      </c>
      <c r="G2" s="45">
        <f t="shared" si="0"/>
        <v>2026</v>
      </c>
      <c r="H2" s="45">
        <f t="shared" si="0"/>
        <v>2026</v>
      </c>
      <c r="I2" s="45">
        <f t="shared" si="0"/>
        <v>2026</v>
      </c>
      <c r="J2" s="45">
        <f t="shared" si="0"/>
        <v>2026</v>
      </c>
      <c r="K2" s="45">
        <f t="shared" si="0"/>
        <v>2026</v>
      </c>
      <c r="L2" s="45">
        <f t="shared" si="0"/>
        <v>2026</v>
      </c>
      <c r="M2" s="45">
        <f t="shared" si="0"/>
        <v>2026</v>
      </c>
      <c r="N2" s="45">
        <f t="shared" si="0"/>
        <v>2026</v>
      </c>
      <c r="O2" s="44">
        <f>C2+1</f>
        <v>2027</v>
      </c>
      <c r="P2" s="45">
        <f t="shared" ref="P2:Z2" si="1">O2</f>
        <v>2027</v>
      </c>
      <c r="Q2" s="45">
        <f t="shared" si="1"/>
        <v>2027</v>
      </c>
      <c r="R2" s="45">
        <f t="shared" si="1"/>
        <v>2027</v>
      </c>
      <c r="S2" s="45">
        <f t="shared" si="1"/>
        <v>2027</v>
      </c>
      <c r="T2" s="45">
        <f t="shared" si="1"/>
        <v>2027</v>
      </c>
      <c r="U2" s="45">
        <f t="shared" si="1"/>
        <v>2027</v>
      </c>
      <c r="V2" s="45">
        <f t="shared" si="1"/>
        <v>2027</v>
      </c>
      <c r="W2" s="45">
        <f t="shared" si="1"/>
        <v>2027</v>
      </c>
      <c r="X2" s="45">
        <f t="shared" si="1"/>
        <v>2027</v>
      </c>
      <c r="Y2" s="45">
        <f t="shared" si="1"/>
        <v>2027</v>
      </c>
      <c r="Z2" s="45">
        <f t="shared" si="1"/>
        <v>2027</v>
      </c>
      <c r="AA2" s="44">
        <f>O2+1</f>
        <v>2028</v>
      </c>
      <c r="AB2" s="45">
        <f t="shared" ref="AB2:AL2" si="2">AA2</f>
        <v>2028</v>
      </c>
      <c r="AC2" s="45">
        <f t="shared" si="2"/>
        <v>2028</v>
      </c>
      <c r="AD2" s="45">
        <f t="shared" si="2"/>
        <v>2028</v>
      </c>
      <c r="AE2" s="45">
        <f t="shared" si="2"/>
        <v>2028</v>
      </c>
      <c r="AF2" s="45">
        <f t="shared" si="2"/>
        <v>2028</v>
      </c>
      <c r="AG2" s="45">
        <f t="shared" si="2"/>
        <v>2028</v>
      </c>
      <c r="AH2" s="45">
        <f t="shared" si="2"/>
        <v>2028</v>
      </c>
      <c r="AI2" s="45">
        <f t="shared" si="2"/>
        <v>2028</v>
      </c>
      <c r="AJ2" s="45">
        <f t="shared" si="2"/>
        <v>2028</v>
      </c>
      <c r="AK2" s="45">
        <f t="shared" si="2"/>
        <v>2028</v>
      </c>
      <c r="AL2" s="45">
        <f t="shared" si="2"/>
        <v>2028</v>
      </c>
      <c r="AM2" s="44">
        <f>AA2+1</f>
        <v>2029</v>
      </c>
      <c r="AN2" s="45">
        <f t="shared" ref="AN2:AX2" si="3">AM2</f>
        <v>2029</v>
      </c>
      <c r="AO2" s="45">
        <f t="shared" si="3"/>
        <v>2029</v>
      </c>
      <c r="AP2" s="45">
        <f t="shared" si="3"/>
        <v>2029</v>
      </c>
      <c r="AQ2" s="45">
        <f t="shared" si="3"/>
        <v>2029</v>
      </c>
      <c r="AR2" s="45">
        <f t="shared" si="3"/>
        <v>2029</v>
      </c>
      <c r="AS2" s="45">
        <f t="shared" si="3"/>
        <v>2029</v>
      </c>
      <c r="AT2" s="45">
        <f t="shared" si="3"/>
        <v>2029</v>
      </c>
      <c r="AU2" s="45">
        <f t="shared" si="3"/>
        <v>2029</v>
      </c>
      <c r="AV2" s="45">
        <f t="shared" si="3"/>
        <v>2029</v>
      </c>
      <c r="AW2" s="45">
        <f t="shared" si="3"/>
        <v>2029</v>
      </c>
      <c r="AX2" s="45">
        <f t="shared" si="3"/>
        <v>2029</v>
      </c>
      <c r="AY2" s="44">
        <f>AM2+1</f>
        <v>2030</v>
      </c>
      <c r="AZ2" s="45">
        <f t="shared" ref="AZ2:BJ2" si="4">AY2</f>
        <v>2030</v>
      </c>
      <c r="BA2" s="45">
        <f t="shared" si="4"/>
        <v>2030</v>
      </c>
      <c r="BB2" s="45">
        <f t="shared" si="4"/>
        <v>2030</v>
      </c>
      <c r="BC2" s="45">
        <f t="shared" si="4"/>
        <v>2030</v>
      </c>
      <c r="BD2" s="45">
        <f t="shared" si="4"/>
        <v>2030</v>
      </c>
      <c r="BE2" s="45">
        <f t="shared" si="4"/>
        <v>2030</v>
      </c>
      <c r="BF2" s="45">
        <f t="shared" si="4"/>
        <v>2030</v>
      </c>
      <c r="BG2" s="45">
        <f t="shared" si="4"/>
        <v>2030</v>
      </c>
      <c r="BH2" s="45">
        <f t="shared" si="4"/>
        <v>2030</v>
      </c>
      <c r="BI2" s="45">
        <f t="shared" si="4"/>
        <v>2030</v>
      </c>
      <c r="BJ2" s="45">
        <f t="shared" si="4"/>
        <v>2030</v>
      </c>
      <c r="BK2" s="42"/>
      <c r="BL2" s="45">
        <v>2026</v>
      </c>
      <c r="BM2" s="45">
        <v>2027</v>
      </c>
      <c r="BN2" s="45">
        <v>2028</v>
      </c>
      <c r="BO2" s="45">
        <v>2029</v>
      </c>
      <c r="BP2" s="45">
        <v>2030</v>
      </c>
      <c r="BQ2" s="45" t="s">
        <v>206</v>
      </c>
      <c r="BR2" s="46"/>
      <c r="BS2" s="46"/>
      <c r="BT2" s="46"/>
      <c r="BU2" s="46"/>
      <c r="BV2" s="42"/>
      <c r="BW2" s="46"/>
      <c r="BX2" s="46"/>
      <c r="BY2" s="46"/>
      <c r="BZ2" s="46"/>
      <c r="CA2" s="46"/>
      <c r="CB2" s="46"/>
      <c r="CC2" s="46"/>
    </row>
    <row r="3" spans="1:81" ht="16" customHeight="1">
      <c r="A3" s="43" t="s">
        <v>207</v>
      </c>
      <c r="B3" s="47" t="s">
        <v>208</v>
      </c>
      <c r="C3" s="44">
        <v>31</v>
      </c>
      <c r="D3" s="45">
        <v>28</v>
      </c>
      <c r="E3" s="45">
        <v>31</v>
      </c>
      <c r="F3" s="45">
        <v>30</v>
      </c>
      <c r="G3" s="45">
        <v>31</v>
      </c>
      <c r="H3" s="45">
        <v>30</v>
      </c>
      <c r="I3" s="45">
        <v>31</v>
      </c>
      <c r="J3" s="45">
        <v>31</v>
      </c>
      <c r="K3" s="45">
        <v>30</v>
      </c>
      <c r="L3" s="45">
        <v>31</v>
      </c>
      <c r="M3" s="45">
        <v>30</v>
      </c>
      <c r="N3" s="48">
        <v>31</v>
      </c>
      <c r="O3" s="45">
        <v>31</v>
      </c>
      <c r="P3" s="45">
        <v>28</v>
      </c>
      <c r="Q3" s="45">
        <v>31</v>
      </c>
      <c r="R3" s="45">
        <v>30</v>
      </c>
      <c r="S3" s="45">
        <v>31</v>
      </c>
      <c r="T3" s="45">
        <v>30</v>
      </c>
      <c r="U3" s="45">
        <v>31</v>
      </c>
      <c r="V3" s="45">
        <v>31</v>
      </c>
      <c r="W3" s="45">
        <v>30</v>
      </c>
      <c r="X3" s="45">
        <v>31</v>
      </c>
      <c r="Y3" s="45">
        <v>30</v>
      </c>
      <c r="Z3" s="48">
        <v>31</v>
      </c>
      <c r="AA3" s="45">
        <v>31</v>
      </c>
      <c r="AB3" s="45">
        <v>28</v>
      </c>
      <c r="AC3" s="45">
        <v>31</v>
      </c>
      <c r="AD3" s="45">
        <v>30</v>
      </c>
      <c r="AE3" s="45">
        <v>31</v>
      </c>
      <c r="AF3" s="45">
        <v>30</v>
      </c>
      <c r="AG3" s="45">
        <v>31</v>
      </c>
      <c r="AH3" s="45">
        <v>31</v>
      </c>
      <c r="AI3" s="45">
        <v>30</v>
      </c>
      <c r="AJ3" s="45">
        <v>31</v>
      </c>
      <c r="AK3" s="45">
        <v>30</v>
      </c>
      <c r="AL3" s="48">
        <v>31</v>
      </c>
      <c r="AM3" s="45">
        <v>31</v>
      </c>
      <c r="AN3" s="45">
        <v>28</v>
      </c>
      <c r="AO3" s="45">
        <v>31</v>
      </c>
      <c r="AP3" s="45">
        <v>30</v>
      </c>
      <c r="AQ3" s="45">
        <v>31</v>
      </c>
      <c r="AR3" s="45">
        <v>30</v>
      </c>
      <c r="AS3" s="45">
        <v>31</v>
      </c>
      <c r="AT3" s="45">
        <v>31</v>
      </c>
      <c r="AU3" s="45">
        <v>30</v>
      </c>
      <c r="AV3" s="45">
        <v>31</v>
      </c>
      <c r="AW3" s="45">
        <v>30</v>
      </c>
      <c r="AX3" s="48">
        <v>31</v>
      </c>
      <c r="AY3" s="45">
        <v>31</v>
      </c>
      <c r="AZ3" s="45">
        <v>29</v>
      </c>
      <c r="BA3" s="45">
        <v>31</v>
      </c>
      <c r="BB3" s="45">
        <v>30</v>
      </c>
      <c r="BC3" s="45">
        <v>31</v>
      </c>
      <c r="BD3" s="45">
        <v>30</v>
      </c>
      <c r="BE3" s="45">
        <v>31</v>
      </c>
      <c r="BF3" s="45">
        <v>31</v>
      </c>
      <c r="BG3" s="45">
        <v>30</v>
      </c>
      <c r="BH3" s="45">
        <v>31</v>
      </c>
      <c r="BI3" s="45">
        <v>30</v>
      </c>
      <c r="BJ3" s="48">
        <v>31</v>
      </c>
      <c r="BK3" s="42"/>
      <c r="BL3" s="45"/>
      <c r="BM3" s="45"/>
      <c r="BN3" s="45"/>
      <c r="BO3" s="45"/>
      <c r="BP3" s="45"/>
      <c r="BQ3" s="45"/>
      <c r="BR3" s="46"/>
      <c r="BS3" s="46"/>
      <c r="BT3" s="46"/>
      <c r="BU3" s="46"/>
      <c r="BV3" s="42"/>
      <c r="BW3" s="46"/>
      <c r="BX3" s="46"/>
      <c r="BY3" s="46"/>
      <c r="BZ3" s="46"/>
      <c r="CA3" s="46"/>
      <c r="CB3" s="46"/>
      <c r="CC3" s="46"/>
    </row>
    <row r="4" spans="1:81" ht="16" customHeight="1">
      <c r="A4" s="43"/>
      <c r="C4" s="44" t="s">
        <v>209</v>
      </c>
      <c r="D4" s="45" t="s">
        <v>210</v>
      </c>
      <c r="E4" s="45" t="s">
        <v>211</v>
      </c>
      <c r="F4" s="45" t="s">
        <v>212</v>
      </c>
      <c r="G4" s="45" t="s">
        <v>213</v>
      </c>
      <c r="H4" s="45" t="s">
        <v>214</v>
      </c>
      <c r="I4" s="45" t="s">
        <v>215</v>
      </c>
      <c r="J4" s="45" t="s">
        <v>216</v>
      </c>
      <c r="K4" s="45" t="s">
        <v>217</v>
      </c>
      <c r="L4" s="45" t="s">
        <v>218</v>
      </c>
      <c r="M4" s="45" t="s">
        <v>219</v>
      </c>
      <c r="N4" s="48" t="s">
        <v>220</v>
      </c>
      <c r="O4" s="45" t="s">
        <v>209</v>
      </c>
      <c r="P4" s="45" t="s">
        <v>210</v>
      </c>
      <c r="Q4" s="45" t="s">
        <v>211</v>
      </c>
      <c r="R4" s="45" t="s">
        <v>212</v>
      </c>
      <c r="S4" s="45" t="s">
        <v>213</v>
      </c>
      <c r="T4" s="45" t="s">
        <v>214</v>
      </c>
      <c r="U4" s="45" t="s">
        <v>215</v>
      </c>
      <c r="V4" s="45" t="s">
        <v>216</v>
      </c>
      <c r="W4" s="45" t="s">
        <v>217</v>
      </c>
      <c r="X4" s="45" t="s">
        <v>218</v>
      </c>
      <c r="Y4" s="45" t="s">
        <v>219</v>
      </c>
      <c r="Z4" s="48" t="s">
        <v>220</v>
      </c>
      <c r="AA4" s="45" t="s">
        <v>209</v>
      </c>
      <c r="AB4" s="45" t="s">
        <v>210</v>
      </c>
      <c r="AC4" s="45" t="s">
        <v>211</v>
      </c>
      <c r="AD4" s="45" t="s">
        <v>212</v>
      </c>
      <c r="AE4" s="45" t="s">
        <v>213</v>
      </c>
      <c r="AF4" s="45" t="s">
        <v>214</v>
      </c>
      <c r="AG4" s="45" t="s">
        <v>215</v>
      </c>
      <c r="AH4" s="45" t="s">
        <v>216</v>
      </c>
      <c r="AI4" s="45" t="s">
        <v>217</v>
      </c>
      <c r="AJ4" s="45" t="s">
        <v>218</v>
      </c>
      <c r="AK4" s="45" t="s">
        <v>219</v>
      </c>
      <c r="AL4" s="48" t="s">
        <v>220</v>
      </c>
      <c r="AM4" s="45" t="s">
        <v>209</v>
      </c>
      <c r="AN4" s="45" t="s">
        <v>210</v>
      </c>
      <c r="AO4" s="45" t="s">
        <v>211</v>
      </c>
      <c r="AP4" s="45" t="s">
        <v>212</v>
      </c>
      <c r="AQ4" s="45" t="s">
        <v>213</v>
      </c>
      <c r="AR4" s="45" t="s">
        <v>214</v>
      </c>
      <c r="AS4" s="45" t="s">
        <v>215</v>
      </c>
      <c r="AT4" s="45" t="s">
        <v>216</v>
      </c>
      <c r="AU4" s="45" t="s">
        <v>217</v>
      </c>
      <c r="AV4" s="45" t="s">
        <v>218</v>
      </c>
      <c r="AW4" s="45" t="s">
        <v>219</v>
      </c>
      <c r="AX4" s="48" t="s">
        <v>220</v>
      </c>
      <c r="AY4" s="45" t="s">
        <v>209</v>
      </c>
      <c r="AZ4" s="45" t="s">
        <v>210</v>
      </c>
      <c r="BA4" s="45" t="s">
        <v>211</v>
      </c>
      <c r="BB4" s="45" t="s">
        <v>212</v>
      </c>
      <c r="BC4" s="45" t="s">
        <v>213</v>
      </c>
      <c r="BD4" s="45" t="s">
        <v>214</v>
      </c>
      <c r="BE4" s="45" t="s">
        <v>215</v>
      </c>
      <c r="BF4" s="45" t="s">
        <v>216</v>
      </c>
      <c r="BG4" s="45" t="s">
        <v>217</v>
      </c>
      <c r="BH4" s="45" t="s">
        <v>218</v>
      </c>
      <c r="BI4" s="45" t="s">
        <v>219</v>
      </c>
      <c r="BJ4" s="48" t="s">
        <v>220</v>
      </c>
      <c r="BK4" s="42"/>
      <c r="BL4" s="45"/>
      <c r="BM4" s="45"/>
      <c r="BN4" s="45"/>
      <c r="BO4" s="45"/>
      <c r="BP4" s="45"/>
      <c r="BQ4" s="45"/>
      <c r="BR4" s="46"/>
      <c r="BS4" s="46"/>
      <c r="BT4" s="46"/>
      <c r="BU4" s="46"/>
      <c r="BV4" s="42"/>
      <c r="BW4" s="46"/>
      <c r="BX4" s="46"/>
      <c r="BY4" s="46"/>
      <c r="BZ4" s="46"/>
      <c r="CA4" s="46"/>
      <c r="CB4" s="46"/>
      <c r="CC4" s="46"/>
    </row>
    <row r="5" spans="1:81" ht="16" customHeight="1">
      <c r="A5" s="49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2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2"/>
      <c r="BW5" s="46"/>
      <c r="BX5" s="46"/>
      <c r="BY5" s="46"/>
      <c r="BZ5" s="46"/>
      <c r="CA5" s="46"/>
      <c r="CB5" s="46"/>
      <c r="CC5" s="46"/>
    </row>
    <row r="6" spans="1:81" ht="16" customHeight="1">
      <c r="A6" s="50" t="s">
        <v>221</v>
      </c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42"/>
      <c r="BL6" s="51"/>
      <c r="BM6" s="51"/>
      <c r="BN6" s="51"/>
      <c r="BO6" s="51"/>
      <c r="BP6" s="51"/>
      <c r="BQ6" s="51"/>
      <c r="BR6" s="46"/>
      <c r="BS6" s="46"/>
      <c r="BT6" s="46"/>
      <c r="BU6" s="46"/>
      <c r="BV6" s="42"/>
      <c r="BW6" s="46"/>
      <c r="BX6" s="46"/>
      <c r="BY6" s="46"/>
      <c r="BZ6" s="46"/>
      <c r="CA6" s="46"/>
      <c r="CB6" s="46"/>
      <c r="CC6" s="46"/>
    </row>
    <row r="7" spans="1:81" ht="16" customHeight="1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2"/>
      <c r="BI7" s="42"/>
      <c r="BJ7" s="42"/>
      <c r="BK7" s="42"/>
      <c r="BL7" s="42"/>
      <c r="BM7" s="42"/>
      <c r="BN7" s="42"/>
      <c r="BO7" s="42"/>
      <c r="BP7" s="42"/>
      <c r="BQ7" s="42"/>
      <c r="BR7" s="42"/>
      <c r="BS7" s="42"/>
      <c r="BT7" s="42"/>
      <c r="BU7" s="42"/>
      <c r="BV7" s="42"/>
      <c r="BW7" s="42"/>
      <c r="BX7" s="42"/>
      <c r="BY7" s="42"/>
      <c r="BZ7" s="42"/>
      <c r="CA7" s="42"/>
      <c r="CB7" s="42"/>
      <c r="CC7" s="42"/>
    </row>
    <row r="8" spans="1:81" ht="16" customHeight="1">
      <c r="A8" s="52" t="s">
        <v>222</v>
      </c>
      <c r="B8" s="53" t="s">
        <v>223</v>
      </c>
      <c r="C8" s="54">
        <f>Assumptions!B6*C13</f>
        <v>6075</v>
      </c>
      <c r="D8" s="55">
        <f t="shared" ref="D8:AI8" si="5">C8/C13*D13</f>
        <v>6075</v>
      </c>
      <c r="E8" s="55">
        <f t="shared" si="5"/>
        <v>7087.5</v>
      </c>
      <c r="F8" s="55">
        <f t="shared" si="5"/>
        <v>7425.0000000000009</v>
      </c>
      <c r="G8" s="55">
        <f t="shared" si="5"/>
        <v>5400</v>
      </c>
      <c r="H8" s="55">
        <f t="shared" si="5"/>
        <v>6750</v>
      </c>
      <c r="I8" s="55">
        <f t="shared" si="5"/>
        <v>6075</v>
      </c>
      <c r="J8" s="55">
        <f t="shared" si="5"/>
        <v>6075</v>
      </c>
      <c r="K8" s="55">
        <f t="shared" si="5"/>
        <v>7762.4999999999991</v>
      </c>
      <c r="L8" s="55">
        <f t="shared" si="5"/>
        <v>6750</v>
      </c>
      <c r="M8" s="55">
        <f t="shared" si="5"/>
        <v>7425.0000000000009</v>
      </c>
      <c r="N8" s="55">
        <f t="shared" si="5"/>
        <v>8100</v>
      </c>
      <c r="O8" s="55">
        <f t="shared" si="5"/>
        <v>6075</v>
      </c>
      <c r="P8" s="55">
        <f t="shared" si="5"/>
        <v>6075</v>
      </c>
      <c r="Q8" s="55">
        <f t="shared" si="5"/>
        <v>7087.5</v>
      </c>
      <c r="R8" s="55">
        <f t="shared" si="5"/>
        <v>7425.0000000000009</v>
      </c>
      <c r="S8" s="55">
        <f t="shared" si="5"/>
        <v>5400</v>
      </c>
      <c r="T8" s="55">
        <f t="shared" si="5"/>
        <v>6750</v>
      </c>
      <c r="U8" s="55">
        <f t="shared" si="5"/>
        <v>6075</v>
      </c>
      <c r="V8" s="55">
        <f t="shared" si="5"/>
        <v>6075</v>
      </c>
      <c r="W8" s="55">
        <f t="shared" si="5"/>
        <v>7762.4999999999991</v>
      </c>
      <c r="X8" s="55">
        <f t="shared" si="5"/>
        <v>6750</v>
      </c>
      <c r="Y8" s="55">
        <f t="shared" si="5"/>
        <v>7425.0000000000009</v>
      </c>
      <c r="Z8" s="55">
        <f t="shared" si="5"/>
        <v>8100</v>
      </c>
      <c r="AA8" s="55">
        <f t="shared" si="5"/>
        <v>6075</v>
      </c>
      <c r="AB8" s="55">
        <f t="shared" si="5"/>
        <v>6075</v>
      </c>
      <c r="AC8" s="55">
        <f t="shared" si="5"/>
        <v>7087.5</v>
      </c>
      <c r="AD8" s="55">
        <f t="shared" si="5"/>
        <v>7425.0000000000009</v>
      </c>
      <c r="AE8" s="55">
        <f t="shared" si="5"/>
        <v>5400</v>
      </c>
      <c r="AF8" s="55">
        <f t="shared" si="5"/>
        <v>6750</v>
      </c>
      <c r="AG8" s="55">
        <f t="shared" si="5"/>
        <v>6075</v>
      </c>
      <c r="AH8" s="55">
        <f t="shared" si="5"/>
        <v>6075</v>
      </c>
      <c r="AI8" s="55">
        <f t="shared" si="5"/>
        <v>7762.4999999999991</v>
      </c>
      <c r="AJ8" s="55">
        <f t="shared" ref="AJ8:BJ8" si="6">AI8/AI13*AJ13</f>
        <v>6750</v>
      </c>
      <c r="AK8" s="55">
        <f t="shared" si="6"/>
        <v>7425.0000000000009</v>
      </c>
      <c r="AL8" s="55">
        <f t="shared" si="6"/>
        <v>8100</v>
      </c>
      <c r="AM8" s="55">
        <f t="shared" si="6"/>
        <v>6075</v>
      </c>
      <c r="AN8" s="55">
        <f t="shared" si="6"/>
        <v>6075</v>
      </c>
      <c r="AO8" s="55">
        <f t="shared" si="6"/>
        <v>7087.5</v>
      </c>
      <c r="AP8" s="55">
        <f t="shared" si="6"/>
        <v>7425.0000000000009</v>
      </c>
      <c r="AQ8" s="55">
        <f t="shared" si="6"/>
        <v>5400</v>
      </c>
      <c r="AR8" s="55">
        <f t="shared" si="6"/>
        <v>6750</v>
      </c>
      <c r="AS8" s="55">
        <f t="shared" si="6"/>
        <v>6075</v>
      </c>
      <c r="AT8" s="55">
        <f t="shared" si="6"/>
        <v>6075</v>
      </c>
      <c r="AU8" s="55">
        <f t="shared" si="6"/>
        <v>7762.4999999999991</v>
      </c>
      <c r="AV8" s="55">
        <f t="shared" si="6"/>
        <v>6750</v>
      </c>
      <c r="AW8" s="55">
        <f t="shared" si="6"/>
        <v>7425.0000000000009</v>
      </c>
      <c r="AX8" s="55">
        <f t="shared" si="6"/>
        <v>8100</v>
      </c>
      <c r="AY8" s="55">
        <f t="shared" si="6"/>
        <v>6075</v>
      </c>
      <c r="AZ8" s="55">
        <f t="shared" si="6"/>
        <v>6075</v>
      </c>
      <c r="BA8" s="55">
        <f t="shared" si="6"/>
        <v>7087.5</v>
      </c>
      <c r="BB8" s="55">
        <f t="shared" si="6"/>
        <v>7425.0000000000009</v>
      </c>
      <c r="BC8" s="55">
        <f t="shared" si="6"/>
        <v>5400</v>
      </c>
      <c r="BD8" s="55">
        <f t="shared" si="6"/>
        <v>6750</v>
      </c>
      <c r="BE8" s="55">
        <f t="shared" si="6"/>
        <v>6075</v>
      </c>
      <c r="BF8" s="55">
        <f t="shared" si="6"/>
        <v>6075</v>
      </c>
      <c r="BG8" s="55">
        <f t="shared" si="6"/>
        <v>7762.4999999999991</v>
      </c>
      <c r="BH8" s="55">
        <f t="shared" si="6"/>
        <v>6750</v>
      </c>
      <c r="BI8" s="55">
        <f t="shared" si="6"/>
        <v>7425.0000000000009</v>
      </c>
      <c r="BJ8" s="55">
        <f t="shared" si="6"/>
        <v>8100</v>
      </c>
      <c r="BK8" s="42"/>
      <c r="BL8" s="56">
        <f>SUMIF($C$2:$BJ$2,BL$2,$C8:$BJ8)</f>
        <v>81000</v>
      </c>
      <c r="BM8" s="56">
        <f>SUMIF($C$2:$BJ$2,BM2,$C8:$BJ8)</f>
        <v>81000</v>
      </c>
      <c r="BN8" s="56">
        <f>SUMIF($C$2:$BJ$2,BN2,$C8:$BJ8)</f>
        <v>81000</v>
      </c>
      <c r="BO8" s="56">
        <f>SUMIF($C$2:$BJ$2,BO2,$C8:$BJ8)</f>
        <v>81000</v>
      </c>
      <c r="BP8" s="56">
        <f>SUMIF($C$2:$BJ$2,BP2,$C8:$BJ8)</f>
        <v>81000</v>
      </c>
      <c r="BQ8" s="56">
        <f>BL8+BM8+BN8+BO8+BP8</f>
        <v>405000</v>
      </c>
      <c r="BR8" s="46"/>
      <c r="BS8" s="46"/>
      <c r="BT8" s="46"/>
      <c r="BU8" s="46"/>
      <c r="BV8" s="42"/>
      <c r="BW8" s="46"/>
      <c r="BX8" s="46"/>
      <c r="BY8" s="46"/>
      <c r="BZ8" s="46"/>
      <c r="CA8" s="46"/>
      <c r="CB8" s="46"/>
      <c r="CC8" s="46"/>
    </row>
    <row r="9" spans="1:81" ht="16" customHeight="1">
      <c r="A9" s="57" t="s">
        <v>224</v>
      </c>
      <c r="B9" s="58" t="s">
        <v>87</v>
      </c>
      <c r="C9" s="59"/>
      <c r="D9" s="60"/>
      <c r="E9" s="60"/>
      <c r="F9" s="60"/>
      <c r="G9" s="60"/>
      <c r="H9" s="60"/>
      <c r="I9" s="60"/>
      <c r="J9" s="60"/>
      <c r="K9" s="60"/>
      <c r="L9" s="60"/>
      <c r="M9" s="60"/>
      <c r="N9" s="61"/>
      <c r="O9" s="59"/>
      <c r="P9" s="60"/>
      <c r="Q9" s="60"/>
      <c r="R9" s="60"/>
      <c r="S9" s="60"/>
      <c r="T9" s="60"/>
      <c r="U9" s="60"/>
      <c r="V9" s="60"/>
      <c r="W9" s="60"/>
      <c r="X9" s="60"/>
      <c r="Y9" s="60"/>
      <c r="Z9" s="61"/>
      <c r="AA9" s="59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1"/>
      <c r="AM9" s="59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1"/>
      <c r="AY9" s="59"/>
      <c r="AZ9" s="60"/>
      <c r="BA9" s="60"/>
      <c r="BB9" s="60"/>
      <c r="BC9" s="60"/>
      <c r="BD9" s="60"/>
      <c r="BE9" s="60"/>
      <c r="BF9" s="60"/>
      <c r="BG9" s="60"/>
      <c r="BH9" s="60"/>
      <c r="BI9" s="60"/>
      <c r="BJ9" s="61"/>
      <c r="BK9" s="42"/>
      <c r="BL9" s="62"/>
      <c r="BM9" s="62"/>
      <c r="BN9" s="62"/>
      <c r="BO9" s="62"/>
      <c r="BP9" s="62"/>
      <c r="BQ9" s="63"/>
      <c r="BR9" s="46"/>
      <c r="BS9" s="46"/>
      <c r="BT9" s="46"/>
      <c r="BU9" s="46"/>
      <c r="BV9" s="42"/>
      <c r="BW9" s="46"/>
      <c r="BX9" s="46"/>
      <c r="BY9" s="46"/>
      <c r="BZ9" s="46"/>
      <c r="CA9" s="46"/>
      <c r="CB9" s="46"/>
      <c r="CC9" s="46"/>
    </row>
    <row r="10" spans="1:81" ht="16" customHeight="1">
      <c r="A10" s="64" t="s">
        <v>225</v>
      </c>
      <c r="B10" s="58" t="s">
        <v>223</v>
      </c>
      <c r="C10" s="42">
        <f>Assumptions!B9*C13</f>
        <v>1822.5</v>
      </c>
      <c r="D10" s="42">
        <f t="shared" ref="D10:AI10" si="7">C10/C13*D13</f>
        <v>1822.5</v>
      </c>
      <c r="E10" s="42">
        <f t="shared" si="7"/>
        <v>2126.25</v>
      </c>
      <c r="F10" s="42">
        <f t="shared" si="7"/>
        <v>2227.5</v>
      </c>
      <c r="G10" s="42">
        <f t="shared" si="7"/>
        <v>1620</v>
      </c>
      <c r="H10" s="42">
        <f t="shared" si="7"/>
        <v>2025</v>
      </c>
      <c r="I10" s="42">
        <f t="shared" si="7"/>
        <v>1822.5</v>
      </c>
      <c r="J10" s="42">
        <f t="shared" si="7"/>
        <v>1822.5</v>
      </c>
      <c r="K10" s="42">
        <f t="shared" si="7"/>
        <v>2328.75</v>
      </c>
      <c r="L10" s="42">
        <f t="shared" si="7"/>
        <v>2025.0000000000002</v>
      </c>
      <c r="M10" s="42">
        <f t="shared" si="7"/>
        <v>2227.5000000000005</v>
      </c>
      <c r="N10" s="42">
        <f t="shared" si="7"/>
        <v>2430</v>
      </c>
      <c r="O10" s="42">
        <f t="shared" si="7"/>
        <v>1822.5</v>
      </c>
      <c r="P10" s="42">
        <f t="shared" si="7"/>
        <v>1822.5</v>
      </c>
      <c r="Q10" s="42">
        <f t="shared" si="7"/>
        <v>2126.25</v>
      </c>
      <c r="R10" s="42">
        <f t="shared" si="7"/>
        <v>2227.5</v>
      </c>
      <c r="S10" s="42">
        <f t="shared" si="7"/>
        <v>1620</v>
      </c>
      <c r="T10" s="42">
        <f t="shared" si="7"/>
        <v>2025</v>
      </c>
      <c r="U10" s="42">
        <f t="shared" si="7"/>
        <v>1822.5</v>
      </c>
      <c r="V10" s="42">
        <f t="shared" si="7"/>
        <v>1822.5</v>
      </c>
      <c r="W10" s="42">
        <f t="shared" si="7"/>
        <v>2328.75</v>
      </c>
      <c r="X10" s="42">
        <f t="shared" si="7"/>
        <v>2025.0000000000002</v>
      </c>
      <c r="Y10" s="42">
        <f t="shared" si="7"/>
        <v>2227.5000000000005</v>
      </c>
      <c r="Z10" s="42">
        <f t="shared" si="7"/>
        <v>2430</v>
      </c>
      <c r="AA10" s="42">
        <f t="shared" si="7"/>
        <v>1822.5</v>
      </c>
      <c r="AB10" s="42">
        <f t="shared" si="7"/>
        <v>1822.5</v>
      </c>
      <c r="AC10" s="42">
        <f t="shared" si="7"/>
        <v>2126.25</v>
      </c>
      <c r="AD10" s="42">
        <f t="shared" si="7"/>
        <v>2227.5</v>
      </c>
      <c r="AE10" s="42">
        <f t="shared" si="7"/>
        <v>1620</v>
      </c>
      <c r="AF10" s="42">
        <f t="shared" si="7"/>
        <v>2025</v>
      </c>
      <c r="AG10" s="42">
        <f t="shared" si="7"/>
        <v>1822.5</v>
      </c>
      <c r="AH10" s="42">
        <f t="shared" si="7"/>
        <v>1822.5</v>
      </c>
      <c r="AI10" s="42">
        <f t="shared" si="7"/>
        <v>2328.75</v>
      </c>
      <c r="AJ10" s="42">
        <f t="shared" ref="AJ10:BJ10" si="8">AI10/AI13*AJ13</f>
        <v>2025.0000000000002</v>
      </c>
      <c r="AK10" s="42">
        <f t="shared" si="8"/>
        <v>2227.5000000000005</v>
      </c>
      <c r="AL10" s="42">
        <f t="shared" si="8"/>
        <v>2430</v>
      </c>
      <c r="AM10" s="42">
        <f t="shared" si="8"/>
        <v>1822.5</v>
      </c>
      <c r="AN10" s="42">
        <f t="shared" si="8"/>
        <v>1822.5</v>
      </c>
      <c r="AO10" s="42">
        <f t="shared" si="8"/>
        <v>2126.25</v>
      </c>
      <c r="AP10" s="42">
        <f t="shared" si="8"/>
        <v>2227.5</v>
      </c>
      <c r="AQ10" s="42">
        <f t="shared" si="8"/>
        <v>1620</v>
      </c>
      <c r="AR10" s="42">
        <f t="shared" si="8"/>
        <v>2025</v>
      </c>
      <c r="AS10" s="42">
        <f t="shared" si="8"/>
        <v>1822.5</v>
      </c>
      <c r="AT10" s="42">
        <f t="shared" si="8"/>
        <v>1822.5</v>
      </c>
      <c r="AU10" s="42">
        <f t="shared" si="8"/>
        <v>2328.75</v>
      </c>
      <c r="AV10" s="42">
        <f t="shared" si="8"/>
        <v>2025.0000000000002</v>
      </c>
      <c r="AW10" s="42">
        <f t="shared" si="8"/>
        <v>2227.5000000000005</v>
      </c>
      <c r="AX10" s="42">
        <f t="shared" si="8"/>
        <v>2430</v>
      </c>
      <c r="AY10" s="42">
        <f t="shared" si="8"/>
        <v>1822.5</v>
      </c>
      <c r="AZ10" s="42">
        <f t="shared" si="8"/>
        <v>1822.5</v>
      </c>
      <c r="BA10" s="42">
        <f t="shared" si="8"/>
        <v>2126.25</v>
      </c>
      <c r="BB10" s="42">
        <f t="shared" si="8"/>
        <v>2227.5</v>
      </c>
      <c r="BC10" s="42">
        <f t="shared" si="8"/>
        <v>1620</v>
      </c>
      <c r="BD10" s="42">
        <f t="shared" si="8"/>
        <v>2025</v>
      </c>
      <c r="BE10" s="42">
        <f t="shared" si="8"/>
        <v>1822.5</v>
      </c>
      <c r="BF10" s="42">
        <f t="shared" si="8"/>
        <v>1822.5</v>
      </c>
      <c r="BG10" s="42">
        <f t="shared" si="8"/>
        <v>2328.75</v>
      </c>
      <c r="BH10" s="42">
        <f t="shared" si="8"/>
        <v>2025.0000000000002</v>
      </c>
      <c r="BI10" s="42">
        <f t="shared" si="8"/>
        <v>2227.5000000000005</v>
      </c>
      <c r="BJ10" s="42">
        <f t="shared" si="8"/>
        <v>2430</v>
      </c>
      <c r="BK10" s="42"/>
      <c r="BL10" s="65">
        <f>AVERAGEIFS($C10:$BJ10,$C$2:$BJ$2,BL$2)</f>
        <v>2025</v>
      </c>
      <c r="BM10" s="65">
        <f>AVERAGEIFS($C10:$BJ10,$C2:$BJ2,BM2)</f>
        <v>2025</v>
      </c>
      <c r="BN10" s="65">
        <f>AVERAGEIFS($C10:$BJ10,$C2:$BJ2,BN2)</f>
        <v>2025</v>
      </c>
      <c r="BO10" s="65">
        <f>AVERAGEIFS($C10:$BJ10,$C2:$BJ2,BO2)</f>
        <v>2025</v>
      </c>
      <c r="BP10" s="65">
        <f>AVERAGEIFS($C10:$BJ10,$C2:$BJ2,BP2)</f>
        <v>2025</v>
      </c>
      <c r="BQ10" s="66">
        <f>AVERAGE(BL10:BP10)</f>
        <v>2025</v>
      </c>
      <c r="BR10" s="42"/>
      <c r="BS10" s="67"/>
      <c r="BT10" s="67"/>
      <c r="BU10" s="67"/>
      <c r="BV10" s="67"/>
      <c r="BW10" s="67"/>
      <c r="BX10" s="67"/>
      <c r="BY10" s="42"/>
      <c r="BZ10" s="42"/>
      <c r="CA10" s="42"/>
      <c r="CB10" s="42"/>
      <c r="CC10" s="42"/>
    </row>
    <row r="11" spans="1:81" ht="16" customHeight="1">
      <c r="A11" s="68" t="s">
        <v>224</v>
      </c>
      <c r="B11" s="69" t="s">
        <v>87</v>
      </c>
      <c r="C11" s="70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69"/>
      <c r="O11" s="70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69"/>
      <c r="AA11" s="70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69"/>
      <c r="AM11" s="70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69"/>
      <c r="AY11" s="70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69"/>
      <c r="BK11" s="42"/>
      <c r="BL11" s="72"/>
      <c r="BM11" s="72"/>
      <c r="BN11" s="72"/>
      <c r="BO11" s="72"/>
      <c r="BP11" s="72"/>
      <c r="BQ11" s="73"/>
      <c r="BR11" s="42"/>
      <c r="BS11" s="67"/>
      <c r="BT11" s="67"/>
      <c r="BU11" s="67"/>
      <c r="BV11" s="67"/>
      <c r="BW11" s="67"/>
      <c r="BX11" s="67"/>
      <c r="BY11" s="42"/>
      <c r="BZ11" s="42"/>
      <c r="CA11" s="42"/>
      <c r="CB11" s="42"/>
      <c r="CC11" s="42"/>
    </row>
    <row r="12" spans="1:81" ht="16" customHeight="1">
      <c r="A12" s="74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2"/>
      <c r="BK12" s="42"/>
      <c r="BL12" s="75"/>
      <c r="BM12" s="76"/>
      <c r="BN12" s="76"/>
      <c r="BO12" s="76"/>
      <c r="BP12" s="76"/>
      <c r="BQ12" s="42"/>
      <c r="BR12" s="42"/>
      <c r="BS12" s="67"/>
      <c r="BT12" s="67"/>
      <c r="BU12" s="67"/>
      <c r="BV12" s="67"/>
      <c r="BW12" s="67"/>
      <c r="BX12" s="67"/>
      <c r="BY12" s="42"/>
      <c r="BZ12" s="42"/>
      <c r="CA12" s="42"/>
      <c r="CB12" s="42"/>
      <c r="CC12" s="42"/>
    </row>
    <row r="13" spans="1:81" ht="16" customHeight="1">
      <c r="A13" s="77" t="s">
        <v>226</v>
      </c>
      <c r="B13" s="78" t="s">
        <v>87</v>
      </c>
      <c r="C13" s="79">
        <f>Assumptions!$B$20</f>
        <v>0.9</v>
      </c>
      <c r="D13" s="79">
        <f>Assumptions!$B$21</f>
        <v>0.9</v>
      </c>
      <c r="E13" s="79">
        <f>Assumptions!$B$22</f>
        <v>1.05</v>
      </c>
      <c r="F13" s="79">
        <f>Assumptions!$B$23</f>
        <v>1.1000000000000001</v>
      </c>
      <c r="G13" s="79">
        <f>Assumptions!$B$24</f>
        <v>0.8</v>
      </c>
      <c r="H13" s="79">
        <f>Assumptions!$B$25</f>
        <v>1</v>
      </c>
      <c r="I13" s="79">
        <f>Assumptions!$B$26</f>
        <v>0.9</v>
      </c>
      <c r="J13" s="79">
        <f>Assumptions!$B$27</f>
        <v>0.9</v>
      </c>
      <c r="K13" s="79">
        <f>Assumptions!$B$28</f>
        <v>1.1499999999999999</v>
      </c>
      <c r="L13" s="79">
        <f>Assumptions!$B$29</f>
        <v>1</v>
      </c>
      <c r="M13" s="79">
        <f>Assumptions!$B$30</f>
        <v>1.1000000000000001</v>
      </c>
      <c r="N13" s="79">
        <f>Assumptions!$B$31</f>
        <v>1.2</v>
      </c>
      <c r="O13" s="79">
        <f>Assumptions!$B$20</f>
        <v>0.9</v>
      </c>
      <c r="P13" s="79">
        <f>Assumptions!$B$21</f>
        <v>0.9</v>
      </c>
      <c r="Q13" s="79">
        <f>Assumptions!$B$22</f>
        <v>1.05</v>
      </c>
      <c r="R13" s="79">
        <f>Assumptions!$B$23</f>
        <v>1.1000000000000001</v>
      </c>
      <c r="S13" s="79">
        <f>Assumptions!$B$24</f>
        <v>0.8</v>
      </c>
      <c r="T13" s="79">
        <f>Assumptions!$B$25</f>
        <v>1</v>
      </c>
      <c r="U13" s="79">
        <f>Assumptions!$B$26</f>
        <v>0.9</v>
      </c>
      <c r="V13" s="79">
        <f>Assumptions!$B$27</f>
        <v>0.9</v>
      </c>
      <c r="W13" s="79">
        <f>Assumptions!$B$28</f>
        <v>1.1499999999999999</v>
      </c>
      <c r="X13" s="79">
        <f>Assumptions!$B$29</f>
        <v>1</v>
      </c>
      <c r="Y13" s="79">
        <f>Assumptions!$B$30</f>
        <v>1.1000000000000001</v>
      </c>
      <c r="Z13" s="79">
        <f>Assumptions!$B$31</f>
        <v>1.2</v>
      </c>
      <c r="AA13" s="79">
        <f>Assumptions!$B$20</f>
        <v>0.9</v>
      </c>
      <c r="AB13" s="79">
        <f>Assumptions!$B$21</f>
        <v>0.9</v>
      </c>
      <c r="AC13" s="79">
        <f>Assumptions!$B$22</f>
        <v>1.05</v>
      </c>
      <c r="AD13" s="79">
        <f>Assumptions!$B$23</f>
        <v>1.1000000000000001</v>
      </c>
      <c r="AE13" s="79">
        <f>Assumptions!$B$24</f>
        <v>0.8</v>
      </c>
      <c r="AF13" s="79">
        <f>Assumptions!$B$25</f>
        <v>1</v>
      </c>
      <c r="AG13" s="79">
        <f>Assumptions!$B$26</f>
        <v>0.9</v>
      </c>
      <c r="AH13" s="79">
        <f>Assumptions!$B$27</f>
        <v>0.9</v>
      </c>
      <c r="AI13" s="79">
        <f>Assumptions!$B$28</f>
        <v>1.1499999999999999</v>
      </c>
      <c r="AJ13" s="79">
        <f>Assumptions!$B$29</f>
        <v>1</v>
      </c>
      <c r="AK13" s="79">
        <f>Assumptions!$B$30</f>
        <v>1.1000000000000001</v>
      </c>
      <c r="AL13" s="79">
        <f>Assumptions!$B$31</f>
        <v>1.2</v>
      </c>
      <c r="AM13" s="79">
        <f>Assumptions!$B$20</f>
        <v>0.9</v>
      </c>
      <c r="AN13" s="79">
        <f>Assumptions!$B$21</f>
        <v>0.9</v>
      </c>
      <c r="AO13" s="79">
        <f>Assumptions!$B$22</f>
        <v>1.05</v>
      </c>
      <c r="AP13" s="79">
        <f>Assumptions!$B$23</f>
        <v>1.1000000000000001</v>
      </c>
      <c r="AQ13" s="79">
        <f>Assumptions!$B$24</f>
        <v>0.8</v>
      </c>
      <c r="AR13" s="79">
        <f>Assumptions!$B$25</f>
        <v>1</v>
      </c>
      <c r="AS13" s="79">
        <f>Assumptions!$B$26</f>
        <v>0.9</v>
      </c>
      <c r="AT13" s="79">
        <f>Assumptions!$B$27</f>
        <v>0.9</v>
      </c>
      <c r="AU13" s="79">
        <f>Assumptions!$B$28</f>
        <v>1.1499999999999999</v>
      </c>
      <c r="AV13" s="79">
        <f>Assumptions!$B$29</f>
        <v>1</v>
      </c>
      <c r="AW13" s="79">
        <f>Assumptions!$B$30</f>
        <v>1.1000000000000001</v>
      </c>
      <c r="AX13" s="79">
        <f>Assumptions!$B$31</f>
        <v>1.2</v>
      </c>
      <c r="AY13" s="79">
        <f>Assumptions!$B$20</f>
        <v>0.9</v>
      </c>
      <c r="AZ13" s="79">
        <f>Assumptions!$B$21</f>
        <v>0.9</v>
      </c>
      <c r="BA13" s="79">
        <f>Assumptions!$B$22</f>
        <v>1.05</v>
      </c>
      <c r="BB13" s="79">
        <f>Assumptions!$B$23</f>
        <v>1.1000000000000001</v>
      </c>
      <c r="BC13" s="79">
        <f>Assumptions!$B$24</f>
        <v>0.8</v>
      </c>
      <c r="BD13" s="79">
        <f>Assumptions!$B$25</f>
        <v>1</v>
      </c>
      <c r="BE13" s="79">
        <f>Assumptions!$B$26</f>
        <v>0.9</v>
      </c>
      <c r="BF13" s="79">
        <f>Assumptions!$B$27</f>
        <v>0.9</v>
      </c>
      <c r="BG13" s="79">
        <f>Assumptions!$B$28</f>
        <v>1.1499999999999999</v>
      </c>
      <c r="BH13" s="79">
        <f>Assumptions!$B$29</f>
        <v>1</v>
      </c>
      <c r="BI13" s="79">
        <f>Assumptions!$B$30</f>
        <v>1.1000000000000001</v>
      </c>
      <c r="BJ13" s="79">
        <f>Assumptions!$B$31</f>
        <v>1.2</v>
      </c>
      <c r="BK13" s="42"/>
      <c r="BL13" s="75"/>
      <c r="BM13" s="76"/>
      <c r="BN13" s="76"/>
      <c r="BO13" s="76"/>
      <c r="BP13" s="76"/>
      <c r="BQ13" s="42"/>
      <c r="BR13" s="42"/>
      <c r="BS13" s="67"/>
      <c r="BT13" s="67"/>
      <c r="BU13" s="67"/>
      <c r="BV13" s="67"/>
      <c r="BW13" s="67"/>
      <c r="BX13" s="67"/>
      <c r="BY13" s="42"/>
      <c r="BZ13" s="42"/>
      <c r="CA13" s="42"/>
      <c r="CB13" s="42"/>
      <c r="CC13" s="42"/>
    </row>
    <row r="14" spans="1:81" ht="16" customHeight="1">
      <c r="A14" s="49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2"/>
      <c r="BS14" s="42"/>
      <c r="BT14" s="42"/>
      <c r="BU14" s="42"/>
      <c r="BV14" s="42"/>
      <c r="BW14" s="42"/>
      <c r="BX14" s="42"/>
      <c r="BY14" s="42"/>
      <c r="BZ14" s="42"/>
      <c r="CA14" s="42"/>
      <c r="CB14" s="42"/>
      <c r="CC14" s="42"/>
    </row>
    <row r="15" spans="1:81" ht="16" customHeight="1">
      <c r="A15" s="50" t="s">
        <v>227</v>
      </c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42"/>
      <c r="BL15" s="51"/>
      <c r="BM15" s="51"/>
      <c r="BN15" s="51"/>
      <c r="BO15" s="51"/>
      <c r="BP15" s="51"/>
      <c r="BQ15" s="51"/>
      <c r="BR15" s="42"/>
      <c r="BS15" s="42"/>
      <c r="BT15" s="42"/>
      <c r="BU15" s="42"/>
      <c r="BV15" s="42"/>
      <c r="BW15" s="42"/>
      <c r="BX15" s="42"/>
      <c r="BY15" s="42"/>
      <c r="BZ15" s="42"/>
      <c r="CA15" s="42"/>
      <c r="CB15" s="42"/>
      <c r="CC15" s="42"/>
    </row>
    <row r="16" spans="1:81" ht="16" customHeight="1">
      <c r="A16" s="80"/>
      <c r="B16" s="58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42"/>
      <c r="BL16" s="82"/>
      <c r="BM16" s="82"/>
      <c r="BN16" s="82"/>
      <c r="BO16" s="82"/>
      <c r="BP16" s="82"/>
      <c r="BQ16" s="82"/>
      <c r="BR16" s="42"/>
      <c r="BS16" s="42"/>
      <c r="BT16" s="42"/>
      <c r="BU16" s="42"/>
      <c r="BV16" s="42"/>
      <c r="BW16" s="42"/>
      <c r="BX16" s="42"/>
      <c r="BY16" s="42"/>
      <c r="BZ16" s="42"/>
      <c r="CA16" s="42"/>
      <c r="CB16" s="42"/>
      <c r="CC16" s="42"/>
    </row>
    <row r="17" spans="1:81" ht="16" customHeight="1">
      <c r="A17" s="64" t="s">
        <v>228</v>
      </c>
      <c r="B17" s="58" t="s">
        <v>229</v>
      </c>
      <c r="C17" s="54">
        <f>Assumptions!$B$12*C13</f>
        <v>8.1</v>
      </c>
      <c r="D17" s="83">
        <f>C17/C13*(Assumptions!$B$14+1)*D13</f>
        <v>8.1330004026475535</v>
      </c>
      <c r="E17" s="83">
        <f>D17/D13*(Assumptions!$B$14+1)*E13</f>
        <v>9.5271577951904689</v>
      </c>
      <c r="F17" s="83">
        <f>E17/E13*(Assumptions!$B$14+1)*F13</f>
        <v>10.021495120847494</v>
      </c>
      <c r="G17" s="83">
        <f>F17/F13*(Assumptions!$B$14+1)*G13</f>
        <v>7.3180537690669487</v>
      </c>
      <c r="H17" s="83">
        <f>G17/G13*(Assumptions!$B$14+1)*H13</f>
        <v>9.1848355324719009</v>
      </c>
      <c r="I17" s="83">
        <f>H17/H13*(Assumptions!$B$14+1)*I13</f>
        <v>8.3000301204272784</v>
      </c>
      <c r="J17" s="83">
        <f>I17/I13*(Assumptions!$B$14+1)*J13</f>
        <v>8.3338454705459082</v>
      </c>
      <c r="K17" s="83">
        <f>J17/J13*(Assumptions!$B$14+1)*K13</f>
        <v>10.69218708541635</v>
      </c>
      <c r="L17" s="83">
        <f>K17/K13*(Assumptions!$B$14+1)*L13</f>
        <v>9.3354333731480548</v>
      </c>
      <c r="M17" s="83">
        <f>L17/L13*(Assumptions!$B$14+1)*M13</f>
        <v>10.310813792712688</v>
      </c>
      <c r="N17" s="83">
        <f>M17/M13*(Assumptions!$B$14+1)*N13</f>
        <v>11.293986899361105</v>
      </c>
      <c r="O17" s="83">
        <f>N17/N13*(Assumptions!$B$14+1)*O13</f>
        <v>8.5050000000000043</v>
      </c>
      <c r="P17" s="83">
        <f>O17/O13*(Assumptions!$B$14+1)*P13</f>
        <v>8.5396504227799337</v>
      </c>
      <c r="Q17" s="83">
        <f>P17/P13*(Assumptions!$B$14+1)*Q13</f>
        <v>10.003515684949994</v>
      </c>
      <c r="R17" s="83">
        <f>Q17/Q13*(Assumptions!$B$14+1)*R13</f>
        <v>10.522569876889872</v>
      </c>
      <c r="S17" s="83">
        <f>R17/R13*(Assumptions!$B$14+1)*S13</f>
        <v>7.6839564575202974</v>
      </c>
      <c r="T17" s="83">
        <f>S17/S13*(Assumptions!$B$14+1)*T13</f>
        <v>9.6440773090954988</v>
      </c>
      <c r="U17" s="83">
        <f>T17/T13*(Assumptions!$B$14+1)*U13</f>
        <v>8.7150316264486456</v>
      </c>
      <c r="V17" s="83">
        <f>U17/U13*(Assumptions!$B$14+1)*V13</f>
        <v>8.7505377440732079</v>
      </c>
      <c r="W17" s="83">
        <f>V17/V13*(Assumptions!$B$14+1)*W13</f>
        <v>11.226796439687172</v>
      </c>
      <c r="X17" s="83">
        <f>W17/W13*(Assumptions!$B$14+1)*X13</f>
        <v>9.8022050418054629</v>
      </c>
      <c r="Y17" s="83">
        <f>X17/X13*(Assumptions!$B$14+1)*Y13</f>
        <v>10.82635448234833</v>
      </c>
      <c r="Z17" s="83">
        <f>Y17/Y13*(Assumptions!$B$14+1)*Z13</f>
        <v>11.858686244329169</v>
      </c>
      <c r="AA17" s="83">
        <f>Z17/Z13*(Assumptions!$B$14+1)*AA13</f>
        <v>8.9302500000000116</v>
      </c>
      <c r="AB17" s="83">
        <f>AA17/AA13*(Assumptions!$B$14+1)*AB13</f>
        <v>8.9666329439189365</v>
      </c>
      <c r="AC17" s="83">
        <f>AB17/AB13*(Assumptions!$B$14+1)*AC13</f>
        <v>10.503691469197504</v>
      </c>
      <c r="AD17" s="83">
        <f>AC17/AC13*(Assumptions!$B$14+1)*AD13</f>
        <v>11.048698370734375</v>
      </c>
      <c r="AE17" s="83">
        <f>AD17/AD13*(Assumptions!$B$14+1)*AE13</f>
        <v>8.0681542803963193</v>
      </c>
      <c r="AF17" s="83">
        <f>AE17/AE13*(Assumptions!$B$14+1)*AF13</f>
        <v>10.126281174550282</v>
      </c>
      <c r="AG17" s="83">
        <f>AF17/AF13*(Assumptions!$B$14+1)*AG13</f>
        <v>9.1507832077710862</v>
      </c>
      <c r="AH17" s="83">
        <f>AG17/AG13*(Assumptions!$B$14+1)*AH13</f>
        <v>9.188064631276875</v>
      </c>
      <c r="AI17" s="83">
        <f>AH17/AH13*(Assumptions!$B$14+1)*AI13</f>
        <v>11.788136261671539</v>
      </c>
      <c r="AJ17" s="83">
        <f>AI17/AI13*(Assumptions!$B$14+1)*AJ13</f>
        <v>10.292315293895744</v>
      </c>
      <c r="AK17" s="83">
        <f>AJ17/AJ13*(Assumptions!$B$14+1)*AK13</f>
        <v>11.367672206465755</v>
      </c>
      <c r="AL17" s="83">
        <f>AK17/AK13*(Assumptions!$B$14+1)*AL13</f>
        <v>12.451620556545636</v>
      </c>
      <c r="AM17" s="83">
        <f>AL17/AL13*(Assumptions!$B$14+1)*AM13</f>
        <v>9.3767625000000177</v>
      </c>
      <c r="AN17" s="83">
        <f>AM17/AM13*(Assumptions!$B$14+1)*AN13</f>
        <v>9.4149645911148916</v>
      </c>
      <c r="AO17" s="83">
        <f>AN17/AN13*(Assumptions!$B$14+1)*AO13</f>
        <v>11.028876042657387</v>
      </c>
      <c r="AP17" s="83">
        <f>AO17/AO13*(Assumptions!$B$14+1)*AP13</f>
        <v>11.601133289271102</v>
      </c>
      <c r="AQ17" s="83">
        <f>AP17/AP13*(Assumptions!$B$14+1)*AQ13</f>
        <v>8.4715619944161418</v>
      </c>
      <c r="AR17" s="83">
        <f>AQ17/AQ13*(Assumptions!$B$14+1)*AR13</f>
        <v>10.632595233277804</v>
      </c>
      <c r="AS17" s="83">
        <f>AR17/AR13*(Assumptions!$B$14+1)*AS13</f>
        <v>9.6083223681596479</v>
      </c>
      <c r="AT17" s="83">
        <f>AS17/AS13*(Assumptions!$B$14+1)*AT13</f>
        <v>9.6474678628407275</v>
      </c>
      <c r="AU17" s="83">
        <f>AT17/AT13*(Assumptions!$B$14+1)*AU13</f>
        <v>12.377543074755128</v>
      </c>
      <c r="AV17" s="83">
        <f>AU17/AU13*(Assumptions!$B$14+1)*AV13</f>
        <v>10.806931058590539</v>
      </c>
      <c r="AW17" s="83">
        <f>AV17/AV13*(Assumptions!$B$14+1)*AW13</f>
        <v>11.936055816789052</v>
      </c>
      <c r="AX17" s="83">
        <f>AW17/AW13*(Assumptions!$B$14+1)*AX13</f>
        <v>13.074201584372929</v>
      </c>
      <c r="AY17" s="83">
        <f>AX17/AX13*(Assumptions!$B$14+1)*AY13</f>
        <v>9.8456006250000261</v>
      </c>
      <c r="AZ17" s="83">
        <f>AY17/AY13*(Assumptions!$B$14+1)*AZ13</f>
        <v>9.8857128206706424</v>
      </c>
      <c r="BA17" s="83">
        <f>AZ17/AZ13*(Assumptions!$B$14+1)*BA13</f>
        <v>11.580319844790264</v>
      </c>
      <c r="BB17" s="83">
        <f>BA17/BA13*(Assumptions!$B$14+1)*BB13</f>
        <v>12.181189953734664</v>
      </c>
      <c r="BC17" s="83">
        <f>BB17/BB13*(Assumptions!$B$14+1)*BC13</f>
        <v>8.8951400941369556</v>
      </c>
      <c r="BD17" s="83">
        <f>BC17/BC13*(Assumptions!$B$14+1)*BD13</f>
        <v>11.164224994941703</v>
      </c>
      <c r="BE17" s="83">
        <f>BD17/BD13*(Assumptions!$B$14+1)*BE13</f>
        <v>10.088738486567637</v>
      </c>
      <c r="BF17" s="83">
        <f>BE17/BE13*(Assumptions!$B$14+1)*BF13</f>
        <v>10.12984125598277</v>
      </c>
      <c r="BG17" s="83">
        <f>BF17/BF13*(Assumptions!$B$14+1)*BG13</f>
        <v>12.996420228492893</v>
      </c>
      <c r="BH17" s="83">
        <f>BG17/BG13*(Assumptions!$B$14+1)*BH13</f>
        <v>11.347277611520074</v>
      </c>
      <c r="BI17" s="83">
        <f>BH17/BH13*(Assumptions!$B$14+1)*BI13</f>
        <v>12.532858607628512</v>
      </c>
      <c r="BJ17" s="83">
        <f>BI17/BI13*(Assumptions!$B$14+1)*BJ13</f>
        <v>13.727911663591584</v>
      </c>
      <c r="BK17" s="42"/>
      <c r="BL17" s="84">
        <f>AVERAGEIFS($C17:$BJ17,$C$2:$BJ$2,BL$2)</f>
        <v>9.2125699468196451</v>
      </c>
      <c r="BM17" s="84">
        <f>AVERAGEIFS($C17:$BJ17,$C$2:$BJ$2,BM$2)</f>
        <v>9.6731984441606329</v>
      </c>
      <c r="BN17" s="84">
        <f>AVERAGEIFS($C17:$BJ17,$C$2:$BJ$2,BN$2)</f>
        <v>10.156858366368672</v>
      </c>
      <c r="BO17" s="84">
        <f>AVERAGEIFS($C17:$BJ17,$C$2:$BJ$2,BO$2)</f>
        <v>10.664701284687114</v>
      </c>
      <c r="BP17" s="84">
        <f>AVERAGEIFS($C17:$BJ17,$C$2:$BJ$2,BP$2)</f>
        <v>11.197936348921479</v>
      </c>
      <c r="BQ17" s="84">
        <f>AVERAGE(BL17:BP17)</f>
        <v>10.181052878191508</v>
      </c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</row>
    <row r="18" spans="1:81" ht="16" customHeight="1">
      <c r="A18" s="64"/>
      <c r="B18" s="58"/>
      <c r="C18" s="85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58"/>
      <c r="O18" s="85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58"/>
      <c r="AA18" s="85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58"/>
      <c r="AM18" s="85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58"/>
      <c r="AY18" s="85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58"/>
      <c r="BK18" s="42"/>
      <c r="BL18" s="66"/>
      <c r="BM18" s="66"/>
      <c r="BN18" s="66"/>
      <c r="BO18" s="66"/>
      <c r="BP18" s="66"/>
      <c r="BQ18" s="66"/>
      <c r="BR18" s="42"/>
      <c r="BS18" s="42"/>
      <c r="BT18" s="42"/>
      <c r="BU18" s="42"/>
      <c r="BV18" s="42"/>
      <c r="BW18" s="42"/>
      <c r="BX18" s="42"/>
      <c r="BY18" s="42"/>
      <c r="BZ18" s="42"/>
      <c r="CA18" s="42"/>
      <c r="CB18" s="42"/>
      <c r="CC18" s="42"/>
    </row>
    <row r="19" spans="1:81" ht="16" customHeight="1">
      <c r="A19" s="64" t="s">
        <v>25</v>
      </c>
      <c r="B19" s="58" t="s">
        <v>230</v>
      </c>
      <c r="C19" s="86">
        <f>Assumptions!$B$18</f>
        <v>2500</v>
      </c>
      <c r="D19" s="87">
        <f>C19*(Assumptions!$B$11+1)</f>
        <v>2529.2872922996335</v>
      </c>
      <c r="E19" s="87">
        <f>D19*(Assumptions!$B$11+1)</f>
        <v>2558.9176827953647</v>
      </c>
      <c r="F19" s="87">
        <f>E19*(Assumptions!$B$11+1)</f>
        <v>2588.8951908540562</v>
      </c>
      <c r="G19" s="87">
        <f>F19*(Assumptions!$B$11+1)</f>
        <v>2619.2238829291196</v>
      </c>
      <c r="H19" s="87">
        <f>G19*(Assumptions!$B$11+1)</f>
        <v>2649.9078731121299</v>
      </c>
      <c r="I19" s="87">
        <f>H19*(Assumptions!$B$11+1)</f>
        <v>2680.9513236909038</v>
      </c>
      <c r="J19" s="87">
        <f>I19*(Assumptions!$B$11+1)</f>
        <v>2712.3584457141137</v>
      </c>
      <c r="K19" s="87">
        <f>J19*(Assumptions!$B$11+1)</f>
        <v>2744.133499562517</v>
      </c>
      <c r="L19" s="87">
        <f>K19*(Assumptions!$B$11+1)</f>
        <v>2776.2807955268786</v>
      </c>
      <c r="M19" s="87">
        <f>L19*(Assumptions!$B$11+1)</f>
        <v>2808.8046943926606</v>
      </c>
      <c r="N19" s="88">
        <f>M19*(Assumptions!$B$11+1)</f>
        <v>2841.7096080315646</v>
      </c>
      <c r="O19" s="87">
        <f>N19*(Assumptions!$B$11+1)</f>
        <v>2875.0000000000036</v>
      </c>
      <c r="P19" s="87">
        <f>O19*(Assumptions!$B$11+1)</f>
        <v>2908.6803861445824</v>
      </c>
      <c r="Q19" s="87">
        <f>P19*(Assumptions!$B$11+1)</f>
        <v>2942.7553352146733</v>
      </c>
      <c r="R19" s="87">
        <f>Q19*(Assumptions!$B$11+1)</f>
        <v>2977.2294694821685</v>
      </c>
      <c r="S19" s="87">
        <f>R19*(Assumptions!$B$11+1)</f>
        <v>3012.1074653684914</v>
      </c>
      <c r="T19" s="87">
        <f>S19*(Assumptions!$B$11+1)</f>
        <v>3047.3940540789536</v>
      </c>
      <c r="U19" s="87">
        <f>T19*(Assumptions!$B$11+1)</f>
        <v>3083.0940222445438</v>
      </c>
      <c r="V19" s="87">
        <f>U19*(Assumptions!$B$11+1)</f>
        <v>3119.2122125712353</v>
      </c>
      <c r="W19" s="87">
        <f>V19*(Assumptions!$B$11+1)</f>
        <v>3155.7535244968994</v>
      </c>
      <c r="X19" s="87">
        <f>W19*(Assumptions!$B$11+1)</f>
        <v>3192.722914855915</v>
      </c>
      <c r="Y19" s="87">
        <f>X19*(Assumptions!$B$11+1)</f>
        <v>3230.1253985515641</v>
      </c>
      <c r="Z19" s="88">
        <f>Y19*(Assumptions!$B$11+1)</f>
        <v>3267.9660492363041</v>
      </c>
      <c r="AA19" s="87">
        <f>Z19*(Assumptions!$B$11+1)</f>
        <v>3306.2500000000091</v>
      </c>
      <c r="AB19" s="87">
        <f>AA19*(Assumptions!$B$11+1)</f>
        <v>3344.9824440662746</v>
      </c>
      <c r="AC19" s="87">
        <f>AB19*(Assumptions!$B$11+1)</f>
        <v>3384.1686354968792</v>
      </c>
      <c r="AD19" s="87">
        <f>AC19*(Assumptions!$B$11+1)</f>
        <v>3423.8138899044989</v>
      </c>
      <c r="AE19" s="87">
        <f>AD19*(Assumptions!$B$11+1)</f>
        <v>3463.9235851737699</v>
      </c>
      <c r="AF19" s="87">
        <f>AE19*(Assumptions!$B$11+1)</f>
        <v>3504.503162190801</v>
      </c>
      <c r="AG19" s="87">
        <f>AF19*(Assumptions!$B$11+1)</f>
        <v>3545.5581255812299</v>
      </c>
      <c r="AH19" s="87">
        <f>AG19*(Assumptions!$B$11+1)</f>
        <v>3587.0940444569251</v>
      </c>
      <c r="AI19" s="87">
        <f>AH19*(Assumptions!$B$11+1)</f>
        <v>3629.1165531714387</v>
      </c>
      <c r="AJ19" s="87">
        <f>AI19*(Assumptions!$B$11+1)</f>
        <v>3671.6313520843069</v>
      </c>
      <c r="AK19" s="87">
        <f>AJ19*(Assumptions!$B$11+1)</f>
        <v>3714.6442083343036</v>
      </c>
      <c r="AL19" s="88">
        <f>AK19*(Assumptions!$B$11+1)</f>
        <v>3758.1609566217544</v>
      </c>
      <c r="AM19" s="87">
        <f>AL19*(Assumptions!$B$11+1)</f>
        <v>3802.187500000015</v>
      </c>
      <c r="AN19" s="87">
        <f>AM19*(Assumptions!$B$11+1)</f>
        <v>3846.72981067622</v>
      </c>
      <c r="AO19" s="87">
        <f>AN19*(Assumptions!$B$11+1)</f>
        <v>3891.7939308214154</v>
      </c>
      <c r="AP19" s="87">
        <f>AO19*(Assumptions!$B$11+1)</f>
        <v>3937.3859733901777</v>
      </c>
      <c r="AQ19" s="87">
        <f>AP19*(Assumptions!$B$11+1)</f>
        <v>3983.5121229498395</v>
      </c>
      <c r="AR19" s="87">
        <f>AQ19*(Assumptions!$B$11+1)</f>
        <v>4030.1786365194257</v>
      </c>
      <c r="AS19" s="87">
        <f>AR19*(Assumptions!$B$11+1)</f>
        <v>4077.3918444184187</v>
      </c>
      <c r="AT19" s="87">
        <f>AS19*(Assumptions!$B$11+1)</f>
        <v>4125.1581511254681</v>
      </c>
      <c r="AU19" s="87">
        <f>AT19*(Assumptions!$B$11+1)</f>
        <v>4173.4840361471588</v>
      </c>
      <c r="AV19" s="87">
        <f>AU19*(Assumptions!$B$11+1)</f>
        <v>4222.3760548969567</v>
      </c>
      <c r="AW19" s="87">
        <f>AV19*(Assumptions!$B$11+1)</f>
        <v>4271.8408395844526</v>
      </c>
      <c r="AX19" s="88">
        <f>AW19*(Assumptions!$B$11+1)</f>
        <v>4321.8851001150215</v>
      </c>
      <c r="AY19" s="87">
        <f>AX19*(Assumptions!$B$11+1)</f>
        <v>4372.5156250000209</v>
      </c>
      <c r="AZ19" s="87">
        <f>AY19*(Assumptions!$B$11+1)</f>
        <v>4423.7392822776574</v>
      </c>
      <c r="BA19" s="87">
        <f>AZ19*(Assumptions!$B$11+1)</f>
        <v>4475.5630204446315</v>
      </c>
      <c r="BB19" s="87">
        <f>BA19*(Assumptions!$B$11+1)</f>
        <v>4527.9938693987087</v>
      </c>
      <c r="BC19" s="87">
        <f>BB19*(Assumptions!$B$11+1)</f>
        <v>4581.0389413923203</v>
      </c>
      <c r="BD19" s="87">
        <f>BC19*(Assumptions!$B$11+1)</f>
        <v>4634.705431997344</v>
      </c>
      <c r="BE19" s="87">
        <f>BD19*(Assumptions!$B$11+1)</f>
        <v>4689.0006210811862</v>
      </c>
      <c r="BF19" s="87">
        <f>BE19*(Assumptions!$B$11+1)</f>
        <v>4743.9318737942931</v>
      </c>
      <c r="BG19" s="87">
        <f>BF19*(Assumptions!$B$11+1)</f>
        <v>4799.5066415692372</v>
      </c>
      <c r="BH19" s="87">
        <f>BG19*(Assumptions!$B$11+1)</f>
        <v>4855.732463131505</v>
      </c>
      <c r="BI19" s="87">
        <f>BH19*(Assumptions!$B$11+1)</f>
        <v>4912.6169655221256</v>
      </c>
      <c r="BJ19" s="88">
        <f>BI19*(Assumptions!$B$11+1)</f>
        <v>4970.1678651322791</v>
      </c>
      <c r="BK19" s="42"/>
      <c r="BL19" s="66">
        <f>AVERAGEIFS($C19:$BJ19,$C$2:$BJ$2,BL$2)</f>
        <v>2667.5391907424123</v>
      </c>
      <c r="BM19" s="66">
        <f>AVERAGEIFS($C19:$BJ19,$C$2:$BJ$2,BM$2)</f>
        <v>3067.6700693537782</v>
      </c>
      <c r="BN19" s="66">
        <f>AVERAGEIFS($C19:$BJ19,$C$2:$BJ$2,BN$2)</f>
        <v>3527.8205797568494</v>
      </c>
      <c r="BO19" s="66">
        <f>AVERAGEIFS($C19:$BJ19,$C$2:$BJ$2,BO$2)</f>
        <v>4056.9936667203815</v>
      </c>
      <c r="BP19" s="66">
        <f>AVERAGEIFS($C19:$BJ19,$C$2:$BJ$2,BP$2)</f>
        <v>4665.5427167284424</v>
      </c>
      <c r="BQ19" s="66">
        <f>AVERAGE(BL19,BM19,BN19,BO19,BP19)</f>
        <v>3597.1132446603724</v>
      </c>
      <c r="BR19" s="42"/>
      <c r="BS19" s="42"/>
      <c r="BT19" s="42"/>
      <c r="BU19" s="42"/>
      <c r="BV19" s="42"/>
      <c r="BW19" s="42"/>
      <c r="BX19" s="42"/>
      <c r="BY19" s="42"/>
      <c r="BZ19" s="42"/>
      <c r="CA19" s="42"/>
      <c r="CB19" s="42"/>
      <c r="CC19" s="42"/>
    </row>
    <row r="20" spans="1:81" ht="16" customHeight="1">
      <c r="A20" s="64"/>
      <c r="B20" s="58"/>
      <c r="C20" s="85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58"/>
      <c r="O20" s="85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58"/>
      <c r="AA20" s="85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58"/>
      <c r="AM20" s="85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58"/>
      <c r="AY20" s="85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58"/>
      <c r="BK20" s="42"/>
      <c r="BL20" s="66"/>
      <c r="BM20" s="66"/>
      <c r="BN20" s="66"/>
      <c r="BO20" s="66"/>
      <c r="BP20" s="66"/>
      <c r="BQ20" s="66"/>
      <c r="BR20" s="42"/>
      <c r="BS20" s="42"/>
      <c r="BT20" s="42"/>
      <c r="BU20" s="42"/>
      <c r="BV20" s="42"/>
      <c r="BW20" s="42"/>
      <c r="BX20" s="42"/>
      <c r="BY20" s="42"/>
      <c r="BZ20" s="42"/>
      <c r="CA20" s="42"/>
      <c r="CB20" s="42"/>
      <c r="CC20" s="42"/>
    </row>
    <row r="21" spans="1:81" ht="16" customHeight="1">
      <c r="A21" s="89" t="s">
        <v>231</v>
      </c>
      <c r="B21" s="58" t="s">
        <v>87</v>
      </c>
      <c r="C21" s="90">
        <f>Assumptions!$B$15</f>
        <v>0.03</v>
      </c>
      <c r="D21" s="90">
        <f t="shared" ref="D21:AI21" si="9">C21</f>
        <v>0.03</v>
      </c>
      <c r="E21" s="90">
        <f t="shared" si="9"/>
        <v>0.03</v>
      </c>
      <c r="F21" s="90">
        <f t="shared" si="9"/>
        <v>0.03</v>
      </c>
      <c r="G21" s="90">
        <f t="shared" si="9"/>
        <v>0.03</v>
      </c>
      <c r="H21" s="90">
        <f t="shared" si="9"/>
        <v>0.03</v>
      </c>
      <c r="I21" s="90">
        <f t="shared" si="9"/>
        <v>0.03</v>
      </c>
      <c r="J21" s="90">
        <f t="shared" si="9"/>
        <v>0.03</v>
      </c>
      <c r="K21" s="90">
        <f t="shared" si="9"/>
        <v>0.03</v>
      </c>
      <c r="L21" s="90">
        <f t="shared" si="9"/>
        <v>0.03</v>
      </c>
      <c r="M21" s="90">
        <f t="shared" si="9"/>
        <v>0.03</v>
      </c>
      <c r="N21" s="91">
        <f t="shared" si="9"/>
        <v>0.03</v>
      </c>
      <c r="O21" s="90">
        <f t="shared" si="9"/>
        <v>0.03</v>
      </c>
      <c r="P21" s="90">
        <f t="shared" si="9"/>
        <v>0.03</v>
      </c>
      <c r="Q21" s="90">
        <f t="shared" si="9"/>
        <v>0.03</v>
      </c>
      <c r="R21" s="90">
        <f t="shared" si="9"/>
        <v>0.03</v>
      </c>
      <c r="S21" s="90">
        <f t="shared" si="9"/>
        <v>0.03</v>
      </c>
      <c r="T21" s="90">
        <f t="shared" si="9"/>
        <v>0.03</v>
      </c>
      <c r="U21" s="90">
        <f t="shared" si="9"/>
        <v>0.03</v>
      </c>
      <c r="V21" s="90">
        <f t="shared" si="9"/>
        <v>0.03</v>
      </c>
      <c r="W21" s="90">
        <f t="shared" si="9"/>
        <v>0.03</v>
      </c>
      <c r="X21" s="90">
        <f t="shared" si="9"/>
        <v>0.03</v>
      </c>
      <c r="Y21" s="90">
        <f t="shared" si="9"/>
        <v>0.03</v>
      </c>
      <c r="Z21" s="91">
        <f t="shared" si="9"/>
        <v>0.03</v>
      </c>
      <c r="AA21" s="90">
        <f t="shared" si="9"/>
        <v>0.03</v>
      </c>
      <c r="AB21" s="90">
        <f t="shared" si="9"/>
        <v>0.03</v>
      </c>
      <c r="AC21" s="90">
        <f t="shared" si="9"/>
        <v>0.03</v>
      </c>
      <c r="AD21" s="90">
        <f t="shared" si="9"/>
        <v>0.03</v>
      </c>
      <c r="AE21" s="90">
        <f t="shared" si="9"/>
        <v>0.03</v>
      </c>
      <c r="AF21" s="90">
        <f t="shared" si="9"/>
        <v>0.03</v>
      </c>
      <c r="AG21" s="90">
        <f t="shared" si="9"/>
        <v>0.03</v>
      </c>
      <c r="AH21" s="90">
        <f t="shared" si="9"/>
        <v>0.03</v>
      </c>
      <c r="AI21" s="90">
        <f t="shared" si="9"/>
        <v>0.03</v>
      </c>
      <c r="AJ21" s="90">
        <f t="shared" ref="AJ21:BJ21" si="10">AI21</f>
        <v>0.03</v>
      </c>
      <c r="AK21" s="90">
        <f t="shared" si="10"/>
        <v>0.03</v>
      </c>
      <c r="AL21" s="91">
        <f t="shared" si="10"/>
        <v>0.03</v>
      </c>
      <c r="AM21" s="90">
        <f t="shared" si="10"/>
        <v>0.03</v>
      </c>
      <c r="AN21" s="90">
        <f t="shared" si="10"/>
        <v>0.03</v>
      </c>
      <c r="AO21" s="90">
        <f t="shared" si="10"/>
        <v>0.03</v>
      </c>
      <c r="AP21" s="90">
        <f t="shared" si="10"/>
        <v>0.03</v>
      </c>
      <c r="AQ21" s="90">
        <f t="shared" si="10"/>
        <v>0.03</v>
      </c>
      <c r="AR21" s="90">
        <f t="shared" si="10"/>
        <v>0.03</v>
      </c>
      <c r="AS21" s="90">
        <f t="shared" si="10"/>
        <v>0.03</v>
      </c>
      <c r="AT21" s="90">
        <f t="shared" si="10"/>
        <v>0.03</v>
      </c>
      <c r="AU21" s="90">
        <f t="shared" si="10"/>
        <v>0.03</v>
      </c>
      <c r="AV21" s="90">
        <f t="shared" si="10"/>
        <v>0.03</v>
      </c>
      <c r="AW21" s="90">
        <f t="shared" si="10"/>
        <v>0.03</v>
      </c>
      <c r="AX21" s="91">
        <f t="shared" si="10"/>
        <v>0.03</v>
      </c>
      <c r="AY21" s="90">
        <f t="shared" si="10"/>
        <v>0.03</v>
      </c>
      <c r="AZ21" s="90">
        <f t="shared" si="10"/>
        <v>0.03</v>
      </c>
      <c r="BA21" s="90">
        <f t="shared" si="10"/>
        <v>0.03</v>
      </c>
      <c r="BB21" s="90">
        <f t="shared" si="10"/>
        <v>0.03</v>
      </c>
      <c r="BC21" s="90">
        <f t="shared" si="10"/>
        <v>0.03</v>
      </c>
      <c r="BD21" s="90">
        <f t="shared" si="10"/>
        <v>0.03</v>
      </c>
      <c r="BE21" s="90">
        <f t="shared" si="10"/>
        <v>0.03</v>
      </c>
      <c r="BF21" s="90">
        <f t="shared" si="10"/>
        <v>0.03</v>
      </c>
      <c r="BG21" s="90">
        <f t="shared" si="10"/>
        <v>0.03</v>
      </c>
      <c r="BH21" s="90">
        <f t="shared" si="10"/>
        <v>0.03</v>
      </c>
      <c r="BI21" s="90">
        <f t="shared" si="10"/>
        <v>0.03</v>
      </c>
      <c r="BJ21" s="91">
        <f t="shared" si="10"/>
        <v>0.03</v>
      </c>
      <c r="BK21" s="42"/>
      <c r="BL21" s="92">
        <f>AVERAGEIFS($C21:$BJ21,$C$2:$BJ$2,BL$2)</f>
        <v>3.0000000000000009E-2</v>
      </c>
      <c r="BM21" s="92">
        <f>AVERAGEIFS($C21:$BJ21,$C$2:$BJ$2,BM$2)</f>
        <v>3.0000000000000009E-2</v>
      </c>
      <c r="BN21" s="92">
        <f>AVERAGEIFS($C21:$BJ21,$C$2:$BJ$2,BN$2)</f>
        <v>3.0000000000000009E-2</v>
      </c>
      <c r="BO21" s="92">
        <f>AVERAGEIFS($C21:$BJ21,$C$2:$BJ$2,BO$2)</f>
        <v>3.0000000000000009E-2</v>
      </c>
      <c r="BP21" s="92">
        <f>AVERAGEIFS($C21:$BJ21,$C$2:$BJ$2,BP$2)</f>
        <v>3.0000000000000009E-2</v>
      </c>
      <c r="BQ21" s="92">
        <f>AVERAGE(BL21:BP21)</f>
        <v>3.0000000000000009E-2</v>
      </c>
      <c r="BR21" s="42"/>
      <c r="BS21" s="42"/>
      <c r="BT21" s="42"/>
      <c r="BU21" s="42"/>
      <c r="BV21" s="42"/>
      <c r="BW21" s="42"/>
      <c r="BX21" s="42"/>
      <c r="BY21" s="42"/>
      <c r="BZ21" s="42"/>
      <c r="CA21" s="42"/>
      <c r="CB21" s="42"/>
      <c r="CC21" s="42"/>
    </row>
    <row r="22" spans="1:81" ht="16" customHeight="1">
      <c r="A22" s="85"/>
      <c r="B22" s="58"/>
      <c r="C22" s="85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58"/>
      <c r="O22" s="85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58"/>
      <c r="AA22" s="85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58"/>
      <c r="AM22" s="85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58"/>
      <c r="AY22" s="85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58"/>
      <c r="BK22" s="42"/>
      <c r="BL22" s="66"/>
      <c r="BM22" s="66"/>
      <c r="BN22" s="66"/>
      <c r="BO22" s="66"/>
      <c r="BP22" s="66"/>
      <c r="BQ22" s="66"/>
      <c r="BR22" s="42"/>
      <c r="BS22" s="42"/>
      <c r="BT22" s="42"/>
      <c r="BU22" s="42"/>
      <c r="BV22" s="42"/>
      <c r="BW22" s="42"/>
      <c r="BX22" s="42"/>
      <c r="BY22" s="42"/>
      <c r="BZ22" s="42"/>
      <c r="CA22" s="42"/>
      <c r="CB22" s="42"/>
      <c r="CC22" s="42"/>
    </row>
    <row r="23" spans="1:81" ht="16" customHeight="1">
      <c r="A23" s="89" t="s">
        <v>232</v>
      </c>
      <c r="B23" s="58" t="s">
        <v>233</v>
      </c>
      <c r="C23" s="93">
        <f t="shared" ref="C23:AH23" si="11">C17*1000000*C21</f>
        <v>243000</v>
      </c>
      <c r="D23" s="93">
        <f t="shared" si="11"/>
        <v>243990.01207942661</v>
      </c>
      <c r="E23" s="93">
        <f t="shared" si="11"/>
        <v>285814.73385571403</v>
      </c>
      <c r="F23" s="93">
        <f t="shared" si="11"/>
        <v>300644.85362542479</v>
      </c>
      <c r="G23" s="93">
        <f t="shared" si="11"/>
        <v>219541.61307200845</v>
      </c>
      <c r="H23" s="93">
        <f t="shared" si="11"/>
        <v>275545.06597415701</v>
      </c>
      <c r="I23" s="93">
        <f t="shared" si="11"/>
        <v>249000.90361281837</v>
      </c>
      <c r="J23" s="93">
        <f t="shared" si="11"/>
        <v>250015.36411637726</v>
      </c>
      <c r="K23" s="93">
        <f t="shared" si="11"/>
        <v>320765.61256249051</v>
      </c>
      <c r="L23" s="93">
        <f t="shared" si="11"/>
        <v>280063.00119444163</v>
      </c>
      <c r="M23" s="93">
        <f t="shared" si="11"/>
        <v>309324.41378138063</v>
      </c>
      <c r="N23" s="94">
        <f t="shared" si="11"/>
        <v>338819.60698083317</v>
      </c>
      <c r="O23" s="93">
        <f t="shared" si="11"/>
        <v>255150.00000000012</v>
      </c>
      <c r="P23" s="93">
        <f t="shared" si="11"/>
        <v>256189.51268339803</v>
      </c>
      <c r="Q23" s="93">
        <f t="shared" si="11"/>
        <v>300105.47054849978</v>
      </c>
      <c r="R23" s="93">
        <f t="shared" si="11"/>
        <v>315677.09630669613</v>
      </c>
      <c r="S23" s="93">
        <f t="shared" si="11"/>
        <v>230518.69372560893</v>
      </c>
      <c r="T23" s="93">
        <f t="shared" si="11"/>
        <v>289322.31927286496</v>
      </c>
      <c r="U23" s="93">
        <f t="shared" si="11"/>
        <v>261450.94879345936</v>
      </c>
      <c r="V23" s="93">
        <f t="shared" si="11"/>
        <v>262516.13232219627</v>
      </c>
      <c r="W23" s="93">
        <f t="shared" si="11"/>
        <v>336803.89319061517</v>
      </c>
      <c r="X23" s="93">
        <f t="shared" si="11"/>
        <v>294066.15125416388</v>
      </c>
      <c r="Y23" s="93">
        <f t="shared" si="11"/>
        <v>324790.63447044988</v>
      </c>
      <c r="Z23" s="94">
        <f t="shared" si="11"/>
        <v>355760.5873298751</v>
      </c>
      <c r="AA23" s="93">
        <f t="shared" si="11"/>
        <v>267907.50000000035</v>
      </c>
      <c r="AB23" s="93">
        <f t="shared" si="11"/>
        <v>268998.98831756809</v>
      </c>
      <c r="AC23" s="93">
        <f t="shared" si="11"/>
        <v>315110.74407592509</v>
      </c>
      <c r="AD23" s="93">
        <f t="shared" si="11"/>
        <v>331460.95112203126</v>
      </c>
      <c r="AE23" s="93">
        <f t="shared" si="11"/>
        <v>242044.62841188957</v>
      </c>
      <c r="AF23" s="93">
        <f t="shared" si="11"/>
        <v>303788.43523650843</v>
      </c>
      <c r="AG23" s="93">
        <f t="shared" si="11"/>
        <v>274523.49623313261</v>
      </c>
      <c r="AH23" s="93">
        <f t="shared" si="11"/>
        <v>275641.93893830624</v>
      </c>
      <c r="AI23" s="93">
        <f t="shared" ref="AI23:BJ23" si="12">AI17*1000000*AI21</f>
        <v>353644.08785014617</v>
      </c>
      <c r="AJ23" s="93">
        <f t="shared" si="12"/>
        <v>308769.45881687233</v>
      </c>
      <c r="AK23" s="93">
        <f t="shared" si="12"/>
        <v>341030.16619397263</v>
      </c>
      <c r="AL23" s="94">
        <f t="shared" si="12"/>
        <v>373548.61669636908</v>
      </c>
      <c r="AM23" s="93">
        <f t="shared" si="12"/>
        <v>281302.87500000047</v>
      </c>
      <c r="AN23" s="93">
        <f t="shared" si="12"/>
        <v>282448.93773344671</v>
      </c>
      <c r="AO23" s="93">
        <f t="shared" si="12"/>
        <v>330866.28127972159</v>
      </c>
      <c r="AP23" s="93">
        <f t="shared" si="12"/>
        <v>348033.99867813301</v>
      </c>
      <c r="AQ23" s="93">
        <f t="shared" si="12"/>
        <v>254146.85983248425</v>
      </c>
      <c r="AR23" s="93">
        <f t="shared" si="12"/>
        <v>318977.85699833411</v>
      </c>
      <c r="AS23" s="93">
        <f t="shared" si="12"/>
        <v>288249.67104478943</v>
      </c>
      <c r="AT23" s="93">
        <f t="shared" si="12"/>
        <v>289424.03588522179</v>
      </c>
      <c r="AU23" s="93">
        <f t="shared" si="12"/>
        <v>371326.29224265384</v>
      </c>
      <c r="AV23" s="93">
        <f t="shared" si="12"/>
        <v>324207.93175771617</v>
      </c>
      <c r="AW23" s="93">
        <f t="shared" si="12"/>
        <v>358081.67450367153</v>
      </c>
      <c r="AX23" s="94">
        <f t="shared" si="12"/>
        <v>392226.04753118783</v>
      </c>
      <c r="AY23" s="93">
        <f t="shared" si="12"/>
        <v>295368.01875000075</v>
      </c>
      <c r="AZ23" s="93">
        <f t="shared" si="12"/>
        <v>296571.38462011924</v>
      </c>
      <c r="BA23" s="93">
        <f t="shared" si="12"/>
        <v>347409.59534370789</v>
      </c>
      <c r="BB23" s="93">
        <f t="shared" si="12"/>
        <v>365435.69861203991</v>
      </c>
      <c r="BC23" s="93">
        <f t="shared" si="12"/>
        <v>266854.20282410865</v>
      </c>
      <c r="BD23" s="93">
        <f t="shared" si="12"/>
        <v>334926.74984825111</v>
      </c>
      <c r="BE23" s="93">
        <f t="shared" si="12"/>
        <v>302662.15459702909</v>
      </c>
      <c r="BF23" s="93">
        <f t="shared" si="12"/>
        <v>303895.23767948308</v>
      </c>
      <c r="BG23" s="93">
        <f t="shared" si="12"/>
        <v>389892.60685478681</v>
      </c>
      <c r="BH23" s="93">
        <f t="shared" si="12"/>
        <v>340418.3283456022</v>
      </c>
      <c r="BI23" s="93">
        <f t="shared" si="12"/>
        <v>375985.75822885532</v>
      </c>
      <c r="BJ23" s="94">
        <f t="shared" si="12"/>
        <v>411837.34990774753</v>
      </c>
      <c r="BK23" s="42"/>
      <c r="BL23" s="95">
        <f>SUMIF($C$2:$BJ$2,BL$2,$C23:$BJ23)</f>
        <v>3316525.1808550726</v>
      </c>
      <c r="BM23" s="96">
        <f>SUMIF($C$2:$BJ$2,BM$2,$C23:$BJ23)</f>
        <v>3482351.4398978278</v>
      </c>
      <c r="BN23" s="96">
        <f>SUMIF($C$2:$BJ$2,BN$2,$C23:$BJ23)</f>
        <v>3656469.011892722</v>
      </c>
      <c r="BO23" s="96">
        <f>SUMIF($C$2:$BJ$2,BO$2,$C23:$BJ23)</f>
        <v>3839292.4624873605</v>
      </c>
      <c r="BP23" s="96">
        <f>SUMIF($C$2:$BJ$2,BP$2,$C23:$BJ23)</f>
        <v>4031257.0856117313</v>
      </c>
      <c r="BQ23" s="96">
        <f>BL23+BM23+BN23+BO23+BP23</f>
        <v>18325895.180744715</v>
      </c>
      <c r="BR23" s="42"/>
      <c r="BS23" s="42"/>
      <c r="BT23" s="42"/>
      <c r="BU23" s="42"/>
      <c r="BV23" s="42"/>
      <c r="BW23" s="42"/>
      <c r="BX23" s="42"/>
      <c r="BY23" s="42"/>
      <c r="BZ23" s="42"/>
      <c r="CA23" s="42"/>
      <c r="CB23" s="42"/>
      <c r="CC23" s="42"/>
    </row>
    <row r="24" spans="1:81" ht="16" customHeight="1">
      <c r="A24" s="89"/>
      <c r="B24" s="58"/>
      <c r="C24" s="97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1"/>
      <c r="O24" s="59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1"/>
      <c r="AA24" s="59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1"/>
      <c r="AM24" s="59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1"/>
      <c r="AY24" s="59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1"/>
      <c r="BK24" s="42"/>
      <c r="BL24" s="95"/>
      <c r="BM24" s="95"/>
      <c r="BN24" s="95"/>
      <c r="BO24" s="95"/>
      <c r="BP24" s="95"/>
      <c r="BQ24" s="95"/>
      <c r="BR24" s="42"/>
      <c r="BS24" s="42"/>
      <c r="BT24" s="42"/>
      <c r="BU24" s="42"/>
      <c r="BV24" s="42"/>
      <c r="BW24" s="42"/>
      <c r="BX24" s="42"/>
      <c r="BY24" s="42"/>
      <c r="BZ24" s="42"/>
      <c r="CA24" s="42"/>
      <c r="CB24" s="42"/>
      <c r="CC24" s="42"/>
    </row>
    <row r="25" spans="1:81" ht="16" customHeight="1">
      <c r="A25" s="98" t="s">
        <v>234</v>
      </c>
      <c r="B25" s="99" t="s">
        <v>233</v>
      </c>
      <c r="C25" s="93">
        <f>C23*Assumptions!$B$16</f>
        <v>89910</v>
      </c>
      <c r="D25" s="93">
        <f>D23*Assumptions!$B$16</f>
        <v>90276.304469387847</v>
      </c>
      <c r="E25" s="93">
        <f>E23*Assumptions!$B$16</f>
        <v>105751.4515266142</v>
      </c>
      <c r="F25" s="93">
        <f>F23*Assumptions!$B$16</f>
        <v>111238.59584140716</v>
      </c>
      <c r="G25" s="93">
        <f>G23*Assumptions!$B$16</f>
        <v>81230.396836643122</v>
      </c>
      <c r="H25" s="93">
        <f>H23*Assumptions!$B$16</f>
        <v>101951.67441043809</v>
      </c>
      <c r="I25" s="93">
        <f>I23*Assumptions!$B$16</f>
        <v>92130.334336742788</v>
      </c>
      <c r="J25" s="93">
        <f>J23*Assumptions!$B$16</f>
        <v>92505.684723059589</v>
      </c>
      <c r="K25" s="93">
        <f>K23*Assumptions!$B$16</f>
        <v>118683.27664812149</v>
      </c>
      <c r="L25" s="93">
        <f>L23*Assumptions!$B$16</f>
        <v>103623.31044194341</v>
      </c>
      <c r="M25" s="93">
        <f>M23*Assumptions!$B$16</f>
        <v>114450.03309911083</v>
      </c>
      <c r="N25" s="94">
        <f>N23*Assumptions!$B$16</f>
        <v>125363.25458290827</v>
      </c>
      <c r="O25" s="93">
        <f>O23*Assumptions!$B$16</f>
        <v>94405.500000000044</v>
      </c>
      <c r="P25" s="93">
        <f>P23*Assumptions!$B$16</f>
        <v>94790.119692857275</v>
      </c>
      <c r="Q25" s="93">
        <f>Q23*Assumptions!$B$16</f>
        <v>111039.02410294492</v>
      </c>
      <c r="R25" s="93">
        <f>R23*Assumptions!$B$16</f>
        <v>116800.52563347756</v>
      </c>
      <c r="S25" s="93">
        <f>S23*Assumptions!$B$16</f>
        <v>85291.916678475303</v>
      </c>
      <c r="T25" s="93">
        <f>T23*Assumptions!$B$16</f>
        <v>107049.25813096004</v>
      </c>
      <c r="U25" s="93">
        <f>U23*Assumptions!$B$16</f>
        <v>96736.851053579958</v>
      </c>
      <c r="V25" s="93">
        <f>V23*Assumptions!$B$16</f>
        <v>97130.968959212623</v>
      </c>
      <c r="W25" s="93">
        <f>W23*Assumptions!$B$16</f>
        <v>124617.44048052761</v>
      </c>
      <c r="X25" s="93">
        <f>X23*Assumptions!$B$16</f>
        <v>108804.47596404064</v>
      </c>
      <c r="Y25" s="93">
        <f>Y23*Assumptions!$B$16</f>
        <v>120172.53475406645</v>
      </c>
      <c r="Z25" s="94">
        <f>Z23*Assumptions!$B$16</f>
        <v>131631.41731205379</v>
      </c>
      <c r="AA25" s="93">
        <f>AA23*Assumptions!$B$16</f>
        <v>99125.775000000125</v>
      </c>
      <c r="AB25" s="93">
        <f>AB23*Assumptions!$B$16</f>
        <v>99529.625677500197</v>
      </c>
      <c r="AC25" s="93">
        <f>AC23*Assumptions!$B$16</f>
        <v>116590.97530809228</v>
      </c>
      <c r="AD25" s="93">
        <f>AD23*Assumptions!$B$16</f>
        <v>122640.55191515156</v>
      </c>
      <c r="AE25" s="93">
        <f>AE23*Assumptions!$B$16</f>
        <v>89556.512512399146</v>
      </c>
      <c r="AF25" s="93">
        <f>AF23*Assumptions!$B$16</f>
        <v>112401.72103750812</v>
      </c>
      <c r="AG25" s="93">
        <f>AG23*Assumptions!$B$16</f>
        <v>101573.69360625907</v>
      </c>
      <c r="AH25" s="93">
        <f>AH23*Assumptions!$B$16</f>
        <v>101987.51740717331</v>
      </c>
      <c r="AI25" s="93">
        <f>AI23*Assumptions!$B$16</f>
        <v>130848.31250455408</v>
      </c>
      <c r="AJ25" s="93">
        <f>AJ23*Assumptions!$B$16</f>
        <v>114244.69976224276</v>
      </c>
      <c r="AK25" s="93">
        <f>AK23*Assumptions!$B$16</f>
        <v>126181.16149176988</v>
      </c>
      <c r="AL25" s="94">
        <f>AL23*Assumptions!$B$16</f>
        <v>138212.98817765655</v>
      </c>
      <c r="AM25" s="93">
        <f>AM23*Assumptions!$B$16</f>
        <v>104082.06375000018</v>
      </c>
      <c r="AN25" s="93">
        <f>AN23*Assumptions!$B$16</f>
        <v>104506.10696137528</v>
      </c>
      <c r="AO25" s="93">
        <f>AO23*Assumptions!$B$16</f>
        <v>122420.52407349698</v>
      </c>
      <c r="AP25" s="93">
        <f>AP23*Assumptions!$B$16</f>
        <v>128772.57951090921</v>
      </c>
      <c r="AQ25" s="93">
        <f>AQ23*Assumptions!$B$16</f>
        <v>94034.338138019171</v>
      </c>
      <c r="AR25" s="93">
        <f>AR23*Assumptions!$B$16</f>
        <v>118021.80708938363</v>
      </c>
      <c r="AS25" s="93">
        <f>AS23*Assumptions!$B$16</f>
        <v>106652.37828657209</v>
      </c>
      <c r="AT25" s="93">
        <f>AT23*Assumptions!$B$16</f>
        <v>107086.89327753206</v>
      </c>
      <c r="AU25" s="93">
        <f>AU23*Assumptions!$B$16</f>
        <v>137390.72812978193</v>
      </c>
      <c r="AV25" s="93">
        <f>AV23*Assumptions!$B$16</f>
        <v>119956.93475035498</v>
      </c>
      <c r="AW25" s="93">
        <f>AW23*Assumptions!$B$16</f>
        <v>132490.21956635846</v>
      </c>
      <c r="AX25" s="94">
        <f>AX23*Assumptions!$B$16</f>
        <v>145123.63758653949</v>
      </c>
      <c r="AY25" s="93">
        <f>AY23*Assumptions!$B$16</f>
        <v>109286.16693750027</v>
      </c>
      <c r="AZ25" s="93">
        <f>AZ23*Assumptions!$B$16</f>
        <v>109731.41230944412</v>
      </c>
      <c r="BA25" s="93">
        <f>BA23*Assumptions!$B$16</f>
        <v>128541.55027717192</v>
      </c>
      <c r="BB25" s="93">
        <f>BB23*Assumptions!$B$16</f>
        <v>135211.20848645477</v>
      </c>
      <c r="BC25" s="93">
        <f>BC23*Assumptions!$B$16</f>
        <v>98736.055044920198</v>
      </c>
      <c r="BD25" s="93">
        <f>BD23*Assumptions!$B$16</f>
        <v>123922.89744385291</v>
      </c>
      <c r="BE25" s="93">
        <f>BE23*Assumptions!$B$16</f>
        <v>111984.99720090076</v>
      </c>
      <c r="BF25" s="93">
        <f>BF23*Assumptions!$B$16</f>
        <v>112441.23794140873</v>
      </c>
      <c r="BG25" s="93">
        <f>BG23*Assumptions!$B$16</f>
        <v>144260.2645362711</v>
      </c>
      <c r="BH25" s="93">
        <f>BH23*Assumptions!$B$16</f>
        <v>125954.78148787281</v>
      </c>
      <c r="BI25" s="93">
        <f>BI23*Assumptions!$B$16</f>
        <v>139114.73054467648</v>
      </c>
      <c r="BJ25" s="94">
        <f>BJ23*Assumptions!$B$16</f>
        <v>152379.81946586657</v>
      </c>
      <c r="BK25" s="100"/>
      <c r="BL25" s="101">
        <f>SUMIF($C$2:$BJ$2,BL$2,$C25:$BJ25)</f>
        <v>1227114.3169163768</v>
      </c>
      <c r="BM25" s="101">
        <f>SUMIF($C$2:$BJ$2,BM$2,$C25:$BJ25)</f>
        <v>1288470.0327621961</v>
      </c>
      <c r="BN25" s="101">
        <f>SUMIF($C$2:$BJ$2,BN$2,$C25:$BJ25)</f>
        <v>1352893.5344003071</v>
      </c>
      <c r="BO25" s="101">
        <f>SUMIF($C$2:$BJ$2,BO$2,$C25:$BJ25)</f>
        <v>1420538.2111203233</v>
      </c>
      <c r="BP25" s="101">
        <f>SUMIF($C$2:$BJ$2,BP$2,$C25:$BJ25)</f>
        <v>1491565.1216763409</v>
      </c>
      <c r="BQ25" s="101">
        <f>BL25+BM25+BN25+BO25+BP25</f>
        <v>6780581.2168755438</v>
      </c>
      <c r="BR25" s="100"/>
      <c r="BS25" s="100"/>
      <c r="BT25" s="100"/>
      <c r="BU25" s="100"/>
      <c r="BV25" s="100"/>
      <c r="BW25" s="100"/>
      <c r="BX25" s="100"/>
      <c r="BY25" s="100"/>
      <c r="BZ25" s="100"/>
      <c r="CA25" s="100"/>
      <c r="CB25" s="100"/>
      <c r="CC25" s="100"/>
    </row>
    <row r="26" spans="1:81" ht="16" customHeight="1">
      <c r="A26" s="89"/>
      <c r="B26" s="58"/>
      <c r="C26" s="59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1"/>
      <c r="O26" s="59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1"/>
      <c r="AA26" s="59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1"/>
      <c r="AM26" s="59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1"/>
      <c r="AY26" s="59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1"/>
      <c r="BK26" s="42"/>
      <c r="BL26" s="96"/>
      <c r="BM26" s="96"/>
      <c r="BN26" s="96"/>
      <c r="BO26" s="96"/>
      <c r="BP26" s="96"/>
      <c r="BQ26" s="96"/>
      <c r="BR26" s="42"/>
      <c r="BS26" s="42"/>
      <c r="BT26" s="42"/>
      <c r="BU26" s="42"/>
      <c r="BV26" s="42"/>
      <c r="BW26" s="42"/>
      <c r="BX26" s="42"/>
      <c r="BY26" s="42"/>
      <c r="BZ26" s="42"/>
      <c r="CA26" s="42"/>
      <c r="CB26" s="42"/>
      <c r="CC26" s="42"/>
    </row>
    <row r="27" spans="1:81" ht="16" customHeight="1">
      <c r="A27" s="89" t="s">
        <v>235</v>
      </c>
      <c r="B27" s="58" t="s">
        <v>87</v>
      </c>
      <c r="C27" s="90">
        <f>Assumptions!$B$17</f>
        <v>0.1</v>
      </c>
      <c r="D27" s="90">
        <f t="shared" ref="D27:AI27" si="13">$C$27</f>
        <v>0.1</v>
      </c>
      <c r="E27" s="90">
        <f t="shared" si="13"/>
        <v>0.1</v>
      </c>
      <c r="F27" s="90">
        <f t="shared" si="13"/>
        <v>0.1</v>
      </c>
      <c r="G27" s="90">
        <f t="shared" si="13"/>
        <v>0.1</v>
      </c>
      <c r="H27" s="90">
        <f t="shared" si="13"/>
        <v>0.1</v>
      </c>
      <c r="I27" s="90">
        <f t="shared" si="13"/>
        <v>0.1</v>
      </c>
      <c r="J27" s="90">
        <f t="shared" si="13"/>
        <v>0.1</v>
      </c>
      <c r="K27" s="90">
        <f t="shared" si="13"/>
        <v>0.1</v>
      </c>
      <c r="L27" s="90">
        <f t="shared" si="13"/>
        <v>0.1</v>
      </c>
      <c r="M27" s="90">
        <f t="shared" si="13"/>
        <v>0.1</v>
      </c>
      <c r="N27" s="91">
        <f t="shared" si="13"/>
        <v>0.1</v>
      </c>
      <c r="O27" s="90">
        <f t="shared" si="13"/>
        <v>0.1</v>
      </c>
      <c r="P27" s="90">
        <f t="shared" si="13"/>
        <v>0.1</v>
      </c>
      <c r="Q27" s="90">
        <f t="shared" si="13"/>
        <v>0.1</v>
      </c>
      <c r="R27" s="90">
        <f t="shared" si="13"/>
        <v>0.1</v>
      </c>
      <c r="S27" s="90">
        <f t="shared" si="13"/>
        <v>0.1</v>
      </c>
      <c r="T27" s="90">
        <f t="shared" si="13"/>
        <v>0.1</v>
      </c>
      <c r="U27" s="90">
        <f t="shared" si="13"/>
        <v>0.1</v>
      </c>
      <c r="V27" s="90">
        <f t="shared" si="13"/>
        <v>0.1</v>
      </c>
      <c r="W27" s="90">
        <f t="shared" si="13"/>
        <v>0.1</v>
      </c>
      <c r="X27" s="90">
        <f t="shared" si="13"/>
        <v>0.1</v>
      </c>
      <c r="Y27" s="90">
        <f t="shared" si="13"/>
        <v>0.1</v>
      </c>
      <c r="Z27" s="91">
        <f t="shared" si="13"/>
        <v>0.1</v>
      </c>
      <c r="AA27" s="90">
        <f t="shared" si="13"/>
        <v>0.1</v>
      </c>
      <c r="AB27" s="90">
        <f t="shared" si="13"/>
        <v>0.1</v>
      </c>
      <c r="AC27" s="90">
        <f t="shared" si="13"/>
        <v>0.1</v>
      </c>
      <c r="AD27" s="90">
        <f t="shared" si="13"/>
        <v>0.1</v>
      </c>
      <c r="AE27" s="90">
        <f t="shared" si="13"/>
        <v>0.1</v>
      </c>
      <c r="AF27" s="90">
        <f t="shared" si="13"/>
        <v>0.1</v>
      </c>
      <c r="AG27" s="90">
        <f t="shared" si="13"/>
        <v>0.1</v>
      </c>
      <c r="AH27" s="90">
        <f t="shared" si="13"/>
        <v>0.1</v>
      </c>
      <c r="AI27" s="90">
        <f t="shared" si="13"/>
        <v>0.1</v>
      </c>
      <c r="AJ27" s="90">
        <f t="shared" ref="AJ27:BJ27" si="14">$C$27</f>
        <v>0.1</v>
      </c>
      <c r="AK27" s="90">
        <f t="shared" si="14"/>
        <v>0.1</v>
      </c>
      <c r="AL27" s="91">
        <f t="shared" si="14"/>
        <v>0.1</v>
      </c>
      <c r="AM27" s="90">
        <f t="shared" si="14"/>
        <v>0.1</v>
      </c>
      <c r="AN27" s="90">
        <f t="shared" si="14"/>
        <v>0.1</v>
      </c>
      <c r="AO27" s="90">
        <f t="shared" si="14"/>
        <v>0.1</v>
      </c>
      <c r="AP27" s="90">
        <f t="shared" si="14"/>
        <v>0.1</v>
      </c>
      <c r="AQ27" s="90">
        <f t="shared" si="14"/>
        <v>0.1</v>
      </c>
      <c r="AR27" s="90">
        <f t="shared" si="14"/>
        <v>0.1</v>
      </c>
      <c r="AS27" s="90">
        <f t="shared" si="14"/>
        <v>0.1</v>
      </c>
      <c r="AT27" s="90">
        <f t="shared" si="14"/>
        <v>0.1</v>
      </c>
      <c r="AU27" s="90">
        <f t="shared" si="14"/>
        <v>0.1</v>
      </c>
      <c r="AV27" s="90">
        <f t="shared" si="14"/>
        <v>0.1</v>
      </c>
      <c r="AW27" s="90">
        <f t="shared" si="14"/>
        <v>0.1</v>
      </c>
      <c r="AX27" s="91">
        <f t="shared" si="14"/>
        <v>0.1</v>
      </c>
      <c r="AY27" s="90">
        <f t="shared" si="14"/>
        <v>0.1</v>
      </c>
      <c r="AZ27" s="90">
        <f t="shared" si="14"/>
        <v>0.1</v>
      </c>
      <c r="BA27" s="90">
        <f t="shared" si="14"/>
        <v>0.1</v>
      </c>
      <c r="BB27" s="90">
        <f t="shared" si="14"/>
        <v>0.1</v>
      </c>
      <c r="BC27" s="90">
        <f t="shared" si="14"/>
        <v>0.1</v>
      </c>
      <c r="BD27" s="90">
        <f t="shared" si="14"/>
        <v>0.1</v>
      </c>
      <c r="BE27" s="90">
        <f t="shared" si="14"/>
        <v>0.1</v>
      </c>
      <c r="BF27" s="90">
        <f t="shared" si="14"/>
        <v>0.1</v>
      </c>
      <c r="BG27" s="90">
        <f t="shared" si="14"/>
        <v>0.1</v>
      </c>
      <c r="BH27" s="90">
        <f t="shared" si="14"/>
        <v>0.1</v>
      </c>
      <c r="BI27" s="90">
        <f t="shared" si="14"/>
        <v>0.1</v>
      </c>
      <c r="BJ27" s="91">
        <f t="shared" si="14"/>
        <v>0.1</v>
      </c>
      <c r="BK27" s="42"/>
      <c r="BL27" s="102">
        <f>AVERAGEIFS($C27:$BJ27,$C$2:$BJ$2,BL$2)</f>
        <v>9.9999999999999992E-2</v>
      </c>
      <c r="BM27" s="102">
        <f>AVERAGEIFS($C27:$BJ27,$C$2:$BJ$2,BM$2)</f>
        <v>9.9999999999999992E-2</v>
      </c>
      <c r="BN27" s="102">
        <f>AVERAGEIFS($C27:$BJ27,$C$2:$BJ$2,BN$2)</f>
        <v>9.9999999999999992E-2</v>
      </c>
      <c r="BO27" s="102">
        <f>AVERAGEIFS($C27:$BJ27,$C$2:$BJ$2,BO$2)</f>
        <v>9.9999999999999992E-2</v>
      </c>
      <c r="BP27" s="102">
        <f>AVERAGEIFS($C27:$BJ27,$C$2:$BJ$2,BP$2)</f>
        <v>9.9999999999999992E-2</v>
      </c>
      <c r="BQ27" s="102">
        <f>AVERAGE(BL27:BP27)</f>
        <v>9.9999999999999992E-2</v>
      </c>
      <c r="BR27" s="42"/>
      <c r="BS27" s="42"/>
      <c r="BT27" s="42"/>
      <c r="BU27" s="42"/>
      <c r="BV27" s="42"/>
      <c r="BW27" s="42"/>
      <c r="BX27" s="42"/>
      <c r="BY27" s="42"/>
      <c r="BZ27" s="42"/>
      <c r="CA27" s="42"/>
      <c r="CB27" s="42"/>
      <c r="CC27" s="42"/>
    </row>
    <row r="28" spans="1:81" ht="16" customHeight="1">
      <c r="A28" s="89"/>
      <c r="B28" s="58"/>
      <c r="C28" s="59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1"/>
      <c r="O28" s="59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1"/>
      <c r="AA28" s="59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1"/>
      <c r="AM28" s="59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1"/>
      <c r="AY28" s="59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1"/>
      <c r="BK28" s="42"/>
      <c r="BL28" s="96"/>
      <c r="BM28" s="96"/>
      <c r="BN28" s="96"/>
      <c r="BO28" s="96"/>
      <c r="BP28" s="96"/>
      <c r="BQ28" s="96"/>
      <c r="BR28" s="42"/>
      <c r="BS28" s="42"/>
      <c r="BT28" s="42"/>
      <c r="BU28" s="42"/>
      <c r="BV28" s="42"/>
      <c r="BW28" s="42"/>
      <c r="BX28" s="42"/>
      <c r="BY28" s="42"/>
      <c r="BZ28" s="42"/>
      <c r="CA28" s="42"/>
      <c r="CB28" s="42"/>
      <c r="CC28" s="42"/>
    </row>
    <row r="29" spans="1:81" ht="16" customHeight="1">
      <c r="A29" s="98" t="s">
        <v>236</v>
      </c>
      <c r="B29" s="99" t="s">
        <v>233</v>
      </c>
      <c r="C29" s="93">
        <f t="shared" ref="C29:AH29" si="15">C25*(1-C27)</f>
        <v>80919</v>
      </c>
      <c r="D29" s="93">
        <f t="shared" si="15"/>
        <v>81248.674022449064</v>
      </c>
      <c r="E29" s="93">
        <f t="shared" si="15"/>
        <v>95176.306373952786</v>
      </c>
      <c r="F29" s="93">
        <f t="shared" si="15"/>
        <v>100114.73625726646</v>
      </c>
      <c r="G29" s="93">
        <f t="shared" si="15"/>
        <v>73107.357152978817</v>
      </c>
      <c r="H29" s="93">
        <f t="shared" si="15"/>
        <v>91756.506969394279</v>
      </c>
      <c r="I29" s="93">
        <f t="shared" si="15"/>
        <v>82917.300903068506</v>
      </c>
      <c r="J29" s="93">
        <f t="shared" si="15"/>
        <v>83255.116250753636</v>
      </c>
      <c r="K29" s="93">
        <f t="shared" si="15"/>
        <v>106814.94898330934</v>
      </c>
      <c r="L29" s="93">
        <f t="shared" si="15"/>
        <v>93260.979397749077</v>
      </c>
      <c r="M29" s="93">
        <f t="shared" si="15"/>
        <v>103005.02978919975</v>
      </c>
      <c r="N29" s="94">
        <f t="shared" si="15"/>
        <v>112826.92912461744</v>
      </c>
      <c r="O29" s="93">
        <f t="shared" si="15"/>
        <v>84964.950000000041</v>
      </c>
      <c r="P29" s="93">
        <f t="shared" si="15"/>
        <v>85311.107723571549</v>
      </c>
      <c r="Q29" s="93">
        <f t="shared" si="15"/>
        <v>99935.121692650428</v>
      </c>
      <c r="R29" s="93">
        <f t="shared" si="15"/>
        <v>105120.47307012981</v>
      </c>
      <c r="S29" s="93">
        <f t="shared" si="15"/>
        <v>76762.725010627779</v>
      </c>
      <c r="T29" s="93">
        <f t="shared" si="15"/>
        <v>96344.332317864028</v>
      </c>
      <c r="U29" s="93">
        <f t="shared" si="15"/>
        <v>87063.165948221969</v>
      </c>
      <c r="V29" s="93">
        <f t="shared" si="15"/>
        <v>87417.872063291361</v>
      </c>
      <c r="W29" s="93">
        <f t="shared" si="15"/>
        <v>112155.69643247486</v>
      </c>
      <c r="X29" s="93">
        <f t="shared" si="15"/>
        <v>97924.02836763658</v>
      </c>
      <c r="Y29" s="93">
        <f t="shared" si="15"/>
        <v>108155.28127865981</v>
      </c>
      <c r="Z29" s="94">
        <f t="shared" si="15"/>
        <v>118468.27558084841</v>
      </c>
      <c r="AA29" s="93">
        <f t="shared" si="15"/>
        <v>89213.197500000111</v>
      </c>
      <c r="AB29" s="93">
        <f t="shared" si="15"/>
        <v>89576.663109750181</v>
      </c>
      <c r="AC29" s="93">
        <f t="shared" si="15"/>
        <v>104931.87777728305</v>
      </c>
      <c r="AD29" s="93">
        <f t="shared" si="15"/>
        <v>110376.4967236364</v>
      </c>
      <c r="AE29" s="93">
        <f t="shared" si="15"/>
        <v>80600.86126115924</v>
      </c>
      <c r="AF29" s="93">
        <f t="shared" si="15"/>
        <v>101161.54893375731</v>
      </c>
      <c r="AG29" s="93">
        <f t="shared" si="15"/>
        <v>91416.324245633165</v>
      </c>
      <c r="AH29" s="93">
        <f t="shared" si="15"/>
        <v>91788.765666455976</v>
      </c>
      <c r="AI29" s="93">
        <f t="shared" ref="AI29:BJ29" si="16">AI25*(1-AI27)</f>
        <v>117763.48125409867</v>
      </c>
      <c r="AJ29" s="93">
        <f t="shared" si="16"/>
        <v>102820.22978601849</v>
      </c>
      <c r="AK29" s="93">
        <f t="shared" si="16"/>
        <v>113563.04534259289</v>
      </c>
      <c r="AL29" s="94">
        <f t="shared" si="16"/>
        <v>124391.68935989089</v>
      </c>
      <c r="AM29" s="93">
        <f t="shared" si="16"/>
        <v>93673.857375000167</v>
      </c>
      <c r="AN29" s="93">
        <f t="shared" si="16"/>
        <v>94055.496265237758</v>
      </c>
      <c r="AO29" s="93">
        <f t="shared" si="16"/>
        <v>110178.47166614729</v>
      </c>
      <c r="AP29" s="93">
        <f t="shared" si="16"/>
        <v>115895.3215598183</v>
      </c>
      <c r="AQ29" s="93">
        <f t="shared" si="16"/>
        <v>84630.904324217263</v>
      </c>
      <c r="AR29" s="93">
        <f t="shared" si="16"/>
        <v>106219.62638044526</v>
      </c>
      <c r="AS29" s="93">
        <f t="shared" si="16"/>
        <v>95987.14045791488</v>
      </c>
      <c r="AT29" s="93">
        <f t="shared" si="16"/>
        <v>96378.20394977885</v>
      </c>
      <c r="AU29" s="93">
        <f t="shared" si="16"/>
        <v>123651.65531680374</v>
      </c>
      <c r="AV29" s="93">
        <f t="shared" si="16"/>
        <v>107961.24127531948</v>
      </c>
      <c r="AW29" s="93">
        <f t="shared" si="16"/>
        <v>119241.19760972261</v>
      </c>
      <c r="AX29" s="94">
        <f t="shared" si="16"/>
        <v>130611.27382788555</v>
      </c>
      <c r="AY29" s="93">
        <f t="shared" si="16"/>
        <v>98357.550243750244</v>
      </c>
      <c r="AZ29" s="93">
        <f t="shared" si="16"/>
        <v>98758.271078499703</v>
      </c>
      <c r="BA29" s="93">
        <f t="shared" si="16"/>
        <v>115687.39524945473</v>
      </c>
      <c r="BB29" s="93">
        <f t="shared" si="16"/>
        <v>121690.08763780929</v>
      </c>
      <c r="BC29" s="93">
        <f t="shared" si="16"/>
        <v>88862.449540428177</v>
      </c>
      <c r="BD29" s="93">
        <f t="shared" si="16"/>
        <v>111530.60769946763</v>
      </c>
      <c r="BE29" s="93">
        <f t="shared" si="16"/>
        <v>100786.49748081069</v>
      </c>
      <c r="BF29" s="93">
        <f t="shared" si="16"/>
        <v>101197.11414726786</v>
      </c>
      <c r="BG29" s="93">
        <f t="shared" si="16"/>
        <v>129834.23808264399</v>
      </c>
      <c r="BH29" s="93">
        <f t="shared" si="16"/>
        <v>113359.30333908553</v>
      </c>
      <c r="BI29" s="93">
        <f t="shared" si="16"/>
        <v>125203.25749020884</v>
      </c>
      <c r="BJ29" s="94">
        <f t="shared" si="16"/>
        <v>137141.83751927991</v>
      </c>
      <c r="BK29" s="100"/>
      <c r="BL29" s="101">
        <f>SUMIF($C$2:$BJ$2,BL$2,$C29:$BJ29)</f>
        <v>1104402.8852247391</v>
      </c>
      <c r="BM29" s="101">
        <f>SUMIF($C$2:$BJ$2,BM$2,$C29:$BJ29)</f>
        <v>1159623.0294859766</v>
      </c>
      <c r="BN29" s="101">
        <f>SUMIF($C$2:$BJ$2,BN$2,$C29:$BJ29)</f>
        <v>1217604.1809602766</v>
      </c>
      <c r="BO29" s="101">
        <f>SUMIF($C$2:$BJ$2,BO$2,$C29:$BJ29)</f>
        <v>1278484.390008291</v>
      </c>
      <c r="BP29" s="101">
        <f>SUMIF($C$2:$BJ$2,BP$2,$C29:$BJ29)</f>
        <v>1342408.6095087065</v>
      </c>
      <c r="BQ29" s="101">
        <f>BL29+BM29+BN29+BO29+BP29</f>
        <v>6102523.0951879891</v>
      </c>
      <c r="BR29" s="100"/>
      <c r="BS29" s="100"/>
      <c r="BT29" s="100"/>
      <c r="BU29" s="100"/>
      <c r="BV29" s="100"/>
      <c r="BW29" s="100"/>
      <c r="BX29" s="100"/>
      <c r="BY29" s="100"/>
      <c r="BZ29" s="100"/>
      <c r="CA29" s="100"/>
      <c r="CB29" s="100"/>
      <c r="CC29" s="100"/>
    </row>
    <row r="30" spans="1:81" ht="16" customHeight="1">
      <c r="A30" s="89"/>
      <c r="B30" s="58"/>
      <c r="C30" s="59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1"/>
      <c r="O30" s="59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1"/>
      <c r="AA30" s="59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1"/>
      <c r="AM30" s="59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1"/>
      <c r="AY30" s="59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1"/>
      <c r="BK30" s="42"/>
      <c r="BL30" s="96"/>
      <c r="BM30" s="96"/>
      <c r="BN30" s="96"/>
      <c r="BO30" s="96"/>
      <c r="BP30" s="96"/>
      <c r="BQ30" s="96"/>
      <c r="BR30" s="42"/>
      <c r="BS30" s="42"/>
      <c r="BT30" s="42"/>
      <c r="BU30" s="42"/>
      <c r="BV30" s="42"/>
      <c r="BW30" s="42"/>
      <c r="BX30" s="42"/>
      <c r="BY30" s="42"/>
      <c r="BZ30" s="42"/>
      <c r="CA30" s="42"/>
      <c r="CB30" s="42"/>
      <c r="CC30" s="42"/>
    </row>
    <row r="31" spans="1:81" ht="16" customHeight="1">
      <c r="A31" s="98" t="s">
        <v>237</v>
      </c>
      <c r="B31" s="99" t="s">
        <v>238</v>
      </c>
      <c r="C31" s="93">
        <f t="shared" ref="C31:AH31" si="17">C29*C19/1000000</f>
        <v>202.29750000000001</v>
      </c>
      <c r="D31" s="93">
        <f t="shared" si="17"/>
        <v>205.50123872117575</v>
      </c>
      <c r="E31" s="93">
        <f t="shared" si="17"/>
        <v>243.54833336345698</v>
      </c>
      <c r="F31" s="93">
        <f t="shared" si="17"/>
        <v>259.18655923005934</v>
      </c>
      <c r="G31" s="93">
        <f t="shared" si="17"/>
        <v>191.48453587291112</v>
      </c>
      <c r="H31" s="93">
        <f t="shared" si="17"/>
        <v>243.14629022746593</v>
      </c>
      <c r="I31" s="93">
        <f t="shared" si="17"/>
        <v>222.2972476129585</v>
      </c>
      <c r="J31" s="93">
        <f t="shared" si="17"/>
        <v>225.81771771164196</v>
      </c>
      <c r="K31" s="93">
        <f t="shared" si="17"/>
        <v>293.11447975916042</v>
      </c>
      <c r="L31" s="93">
        <f t="shared" si="17"/>
        <v>258.91866607399862</v>
      </c>
      <c r="M31" s="93">
        <f t="shared" si="17"/>
        <v>289.32101121796012</v>
      </c>
      <c r="N31" s="94">
        <f t="shared" si="17"/>
        <v>320.62136853812177</v>
      </c>
      <c r="O31" s="93">
        <f t="shared" si="17"/>
        <v>244.27423125000041</v>
      </c>
      <c r="P31" s="93">
        <f t="shared" si="17"/>
        <v>248.14274575582016</v>
      </c>
      <c r="Q31" s="93">
        <f t="shared" si="17"/>
        <v>294.08461253637466</v>
      </c>
      <c r="R31" s="93">
        <f t="shared" si="17"/>
        <v>312.96777027029719</v>
      </c>
      <c r="S31" s="93">
        <f t="shared" si="17"/>
        <v>231.21757706654054</v>
      </c>
      <c r="T31" s="93">
        <f t="shared" si="17"/>
        <v>293.59914544966563</v>
      </c>
      <c r="U31" s="93">
        <f t="shared" si="17"/>
        <v>268.42392649264787</v>
      </c>
      <c r="V31" s="93">
        <f t="shared" si="17"/>
        <v>272.67489413680823</v>
      </c>
      <c r="W31" s="93">
        <f t="shared" si="17"/>
        <v>353.9357343091869</v>
      </c>
      <c r="X31" s="93">
        <f t="shared" si="17"/>
        <v>312.64428928435399</v>
      </c>
      <c r="Y31" s="93">
        <f t="shared" si="17"/>
        <v>349.35512104568755</v>
      </c>
      <c r="Z31" s="94">
        <f t="shared" si="17"/>
        <v>387.15030250978293</v>
      </c>
      <c r="AA31" s="93">
        <f t="shared" si="17"/>
        <v>294.96113423437617</v>
      </c>
      <c r="AB31" s="93">
        <f t="shared" si="17"/>
        <v>299.63236550015347</v>
      </c>
      <c r="AC31" s="93">
        <f t="shared" si="17"/>
        <v>355.10716963767328</v>
      </c>
      <c r="AD31" s="93">
        <f t="shared" si="17"/>
        <v>377.90858260138469</v>
      </c>
      <c r="AE31" s="93">
        <f t="shared" si="17"/>
        <v>279.19522430784832</v>
      </c>
      <c r="AF31" s="93">
        <f t="shared" si="17"/>
        <v>354.52096813047194</v>
      </c>
      <c r="AG31" s="93">
        <f t="shared" si="17"/>
        <v>324.12189123987304</v>
      </c>
      <c r="AH31" s="93">
        <f t="shared" si="17"/>
        <v>329.25493467019652</v>
      </c>
      <c r="AI31" s="93">
        <f t="shared" ref="AI31:BJ31" si="18">AI29*AI19/1000000</f>
        <v>427.37739917834386</v>
      </c>
      <c r="AJ31" s="93">
        <f t="shared" si="18"/>
        <v>377.51797931085821</v>
      </c>
      <c r="AK31" s="93">
        <f t="shared" si="18"/>
        <v>421.8463086626686</v>
      </c>
      <c r="AL31" s="94">
        <f t="shared" si="18"/>
        <v>467.48399028056366</v>
      </c>
      <c r="AM31" s="93">
        <f t="shared" si="18"/>
        <v>356.16556958800982</v>
      </c>
      <c r="AN31" s="93">
        <f t="shared" si="18"/>
        <v>361.80608134143597</v>
      </c>
      <c r="AO31" s="93">
        <f t="shared" si="18"/>
        <v>428.79190733749135</v>
      </c>
      <c r="AP31" s="93">
        <f t="shared" si="18"/>
        <v>456.32461349117284</v>
      </c>
      <c r="AQ31" s="93">
        <f t="shared" si="18"/>
        <v>337.12823335172749</v>
      </c>
      <c r="AR31" s="93">
        <f t="shared" si="18"/>
        <v>428.08406901754569</v>
      </c>
      <c r="AS31" s="93">
        <f t="shared" si="18"/>
        <v>391.3771836721474</v>
      </c>
      <c r="AT31" s="93">
        <f t="shared" si="18"/>
        <v>397.575333614263</v>
      </c>
      <c r="AU31" s="93">
        <f t="shared" si="18"/>
        <v>516.05820950785142</v>
      </c>
      <c r="AV31" s="93">
        <f t="shared" si="18"/>
        <v>455.85296001786196</v>
      </c>
      <c r="AW31" s="93">
        <f t="shared" si="18"/>
        <v>509.37941771017307</v>
      </c>
      <c r="AX31" s="94">
        <f t="shared" si="18"/>
        <v>564.48691826378172</v>
      </c>
      <c r="AY31" s="93">
        <f t="shared" si="18"/>
        <v>430.06992527752254</v>
      </c>
      <c r="AZ31" s="93">
        <f t="shared" si="18"/>
        <v>436.88084321978459</v>
      </c>
      <c r="BA31" s="93">
        <f t="shared" si="18"/>
        <v>517.76622811002153</v>
      </c>
      <c r="BB31" s="93">
        <f t="shared" si="18"/>
        <v>551.01197079059204</v>
      </c>
      <c r="BC31" s="93">
        <f t="shared" si="18"/>
        <v>407.08234177221158</v>
      </c>
      <c r="BD31" s="93">
        <f t="shared" si="18"/>
        <v>516.91151333868743</v>
      </c>
      <c r="BE31" s="93">
        <f t="shared" si="18"/>
        <v>472.58794928411879</v>
      </c>
      <c r="BF31" s="93">
        <f t="shared" si="18"/>
        <v>480.07221533922336</v>
      </c>
      <c r="BG31" s="93">
        <f t="shared" si="18"/>
        <v>623.14028798073139</v>
      </c>
      <c r="BH31" s="93">
        <f t="shared" si="18"/>
        <v>550.44244922156918</v>
      </c>
      <c r="BI31" s="93">
        <f t="shared" si="18"/>
        <v>615.07564688503498</v>
      </c>
      <c r="BJ31" s="94">
        <f t="shared" si="18"/>
        <v>681.61795380351737</v>
      </c>
      <c r="BK31" s="100"/>
      <c r="BL31" s="101">
        <f>SUMIF($C$2:$BJ$2,BL$2,$C31:$BJ31)</f>
        <v>2955.2549483289104</v>
      </c>
      <c r="BM31" s="101">
        <f>SUMIF($C$2:$BJ$2,BM$2,$C31:$BJ31)</f>
        <v>3568.4703501071663</v>
      </c>
      <c r="BN31" s="101">
        <f>SUMIF($C$2:$BJ$2,BN$2,$C31:$BJ31)</f>
        <v>4308.9279477544114</v>
      </c>
      <c r="BO31" s="101">
        <f>SUMIF($C$2:$BJ$2,BO$2,$C31:$BJ31)</f>
        <v>5203.0304969134613</v>
      </c>
      <c r="BP31" s="101">
        <f>SUMIF($C$2:$BJ$2,BP$2,$C31:$BJ31)</f>
        <v>6282.6593250230153</v>
      </c>
      <c r="BQ31" s="101">
        <f>BL31+BM31+BN31+BO31+BP31</f>
        <v>22318.343068126964</v>
      </c>
      <c r="BR31" s="100"/>
      <c r="BS31" s="100"/>
      <c r="BT31" s="100"/>
      <c r="BU31" s="100"/>
      <c r="BV31" s="100"/>
      <c r="BW31" s="100"/>
      <c r="BX31" s="100"/>
      <c r="BY31" s="100"/>
      <c r="BZ31" s="100"/>
      <c r="CA31" s="100"/>
      <c r="CB31" s="100"/>
      <c r="CC31" s="100"/>
    </row>
    <row r="32" spans="1:81" ht="16" customHeight="1">
      <c r="A32" s="89"/>
      <c r="B32" s="58"/>
      <c r="C32" s="59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1"/>
      <c r="O32" s="59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1"/>
      <c r="AA32" s="59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1"/>
      <c r="AM32" s="59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1"/>
      <c r="AY32" s="59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1"/>
      <c r="BK32" s="42"/>
      <c r="BL32" s="96"/>
      <c r="BM32" s="96"/>
      <c r="BN32" s="96"/>
      <c r="BO32" s="96"/>
      <c r="BP32" s="96"/>
      <c r="BQ32" s="96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</row>
    <row r="33" spans="1:81" ht="16" customHeight="1">
      <c r="A33" s="89" t="s">
        <v>27</v>
      </c>
      <c r="B33" s="58" t="s">
        <v>87</v>
      </c>
      <c r="C33" s="103">
        <f>Assumptions!$B$19</f>
        <v>7.0000000000000007E-2</v>
      </c>
      <c r="D33" s="103">
        <f t="shared" ref="D33:AI33" si="19">$C$33</f>
        <v>7.0000000000000007E-2</v>
      </c>
      <c r="E33" s="103">
        <f t="shared" si="19"/>
        <v>7.0000000000000007E-2</v>
      </c>
      <c r="F33" s="103">
        <f t="shared" si="19"/>
        <v>7.0000000000000007E-2</v>
      </c>
      <c r="G33" s="103">
        <f t="shared" si="19"/>
        <v>7.0000000000000007E-2</v>
      </c>
      <c r="H33" s="103">
        <f t="shared" si="19"/>
        <v>7.0000000000000007E-2</v>
      </c>
      <c r="I33" s="103">
        <f t="shared" si="19"/>
        <v>7.0000000000000007E-2</v>
      </c>
      <c r="J33" s="103">
        <f t="shared" si="19"/>
        <v>7.0000000000000007E-2</v>
      </c>
      <c r="K33" s="103">
        <f t="shared" si="19"/>
        <v>7.0000000000000007E-2</v>
      </c>
      <c r="L33" s="103">
        <f t="shared" si="19"/>
        <v>7.0000000000000007E-2</v>
      </c>
      <c r="M33" s="103">
        <f t="shared" si="19"/>
        <v>7.0000000000000007E-2</v>
      </c>
      <c r="N33" s="104">
        <f t="shared" si="19"/>
        <v>7.0000000000000007E-2</v>
      </c>
      <c r="O33" s="103">
        <f t="shared" si="19"/>
        <v>7.0000000000000007E-2</v>
      </c>
      <c r="P33" s="103">
        <f t="shared" si="19"/>
        <v>7.0000000000000007E-2</v>
      </c>
      <c r="Q33" s="103">
        <f t="shared" si="19"/>
        <v>7.0000000000000007E-2</v>
      </c>
      <c r="R33" s="103">
        <f t="shared" si="19"/>
        <v>7.0000000000000007E-2</v>
      </c>
      <c r="S33" s="103">
        <f t="shared" si="19"/>
        <v>7.0000000000000007E-2</v>
      </c>
      <c r="T33" s="103">
        <f t="shared" si="19"/>
        <v>7.0000000000000007E-2</v>
      </c>
      <c r="U33" s="103">
        <f t="shared" si="19"/>
        <v>7.0000000000000007E-2</v>
      </c>
      <c r="V33" s="103">
        <f t="shared" si="19"/>
        <v>7.0000000000000007E-2</v>
      </c>
      <c r="W33" s="103">
        <f t="shared" si="19"/>
        <v>7.0000000000000007E-2</v>
      </c>
      <c r="X33" s="103">
        <f t="shared" si="19"/>
        <v>7.0000000000000007E-2</v>
      </c>
      <c r="Y33" s="103">
        <f t="shared" si="19"/>
        <v>7.0000000000000007E-2</v>
      </c>
      <c r="Z33" s="104">
        <f t="shared" si="19"/>
        <v>7.0000000000000007E-2</v>
      </c>
      <c r="AA33" s="103">
        <f t="shared" si="19"/>
        <v>7.0000000000000007E-2</v>
      </c>
      <c r="AB33" s="103">
        <f t="shared" si="19"/>
        <v>7.0000000000000007E-2</v>
      </c>
      <c r="AC33" s="103">
        <f t="shared" si="19"/>
        <v>7.0000000000000007E-2</v>
      </c>
      <c r="AD33" s="103">
        <f t="shared" si="19"/>
        <v>7.0000000000000007E-2</v>
      </c>
      <c r="AE33" s="103">
        <f t="shared" si="19"/>
        <v>7.0000000000000007E-2</v>
      </c>
      <c r="AF33" s="103">
        <f t="shared" si="19"/>
        <v>7.0000000000000007E-2</v>
      </c>
      <c r="AG33" s="103">
        <f t="shared" si="19"/>
        <v>7.0000000000000007E-2</v>
      </c>
      <c r="AH33" s="103">
        <f t="shared" si="19"/>
        <v>7.0000000000000007E-2</v>
      </c>
      <c r="AI33" s="103">
        <f t="shared" si="19"/>
        <v>7.0000000000000007E-2</v>
      </c>
      <c r="AJ33" s="103">
        <f t="shared" ref="AJ33:BJ33" si="20">$C$33</f>
        <v>7.0000000000000007E-2</v>
      </c>
      <c r="AK33" s="103">
        <f t="shared" si="20"/>
        <v>7.0000000000000007E-2</v>
      </c>
      <c r="AL33" s="104">
        <f t="shared" si="20"/>
        <v>7.0000000000000007E-2</v>
      </c>
      <c r="AM33" s="103">
        <f t="shared" si="20"/>
        <v>7.0000000000000007E-2</v>
      </c>
      <c r="AN33" s="103">
        <f t="shared" si="20"/>
        <v>7.0000000000000007E-2</v>
      </c>
      <c r="AO33" s="103">
        <f t="shared" si="20"/>
        <v>7.0000000000000007E-2</v>
      </c>
      <c r="AP33" s="103">
        <f t="shared" si="20"/>
        <v>7.0000000000000007E-2</v>
      </c>
      <c r="AQ33" s="103">
        <f t="shared" si="20"/>
        <v>7.0000000000000007E-2</v>
      </c>
      <c r="AR33" s="103">
        <f t="shared" si="20"/>
        <v>7.0000000000000007E-2</v>
      </c>
      <c r="AS33" s="103">
        <f t="shared" si="20"/>
        <v>7.0000000000000007E-2</v>
      </c>
      <c r="AT33" s="103">
        <f t="shared" si="20"/>
        <v>7.0000000000000007E-2</v>
      </c>
      <c r="AU33" s="103">
        <f t="shared" si="20"/>
        <v>7.0000000000000007E-2</v>
      </c>
      <c r="AV33" s="103">
        <f t="shared" si="20"/>
        <v>7.0000000000000007E-2</v>
      </c>
      <c r="AW33" s="103">
        <f t="shared" si="20"/>
        <v>7.0000000000000007E-2</v>
      </c>
      <c r="AX33" s="104">
        <f t="shared" si="20"/>
        <v>7.0000000000000007E-2</v>
      </c>
      <c r="AY33" s="103">
        <f t="shared" si="20"/>
        <v>7.0000000000000007E-2</v>
      </c>
      <c r="AZ33" s="103">
        <f t="shared" si="20"/>
        <v>7.0000000000000007E-2</v>
      </c>
      <c r="BA33" s="103">
        <f t="shared" si="20"/>
        <v>7.0000000000000007E-2</v>
      </c>
      <c r="BB33" s="103">
        <f t="shared" si="20"/>
        <v>7.0000000000000007E-2</v>
      </c>
      <c r="BC33" s="103">
        <f t="shared" si="20"/>
        <v>7.0000000000000007E-2</v>
      </c>
      <c r="BD33" s="103">
        <f t="shared" si="20"/>
        <v>7.0000000000000007E-2</v>
      </c>
      <c r="BE33" s="103">
        <f t="shared" si="20"/>
        <v>7.0000000000000007E-2</v>
      </c>
      <c r="BF33" s="103">
        <f t="shared" si="20"/>
        <v>7.0000000000000007E-2</v>
      </c>
      <c r="BG33" s="103">
        <f t="shared" si="20"/>
        <v>7.0000000000000007E-2</v>
      </c>
      <c r="BH33" s="103">
        <f t="shared" si="20"/>
        <v>7.0000000000000007E-2</v>
      </c>
      <c r="BI33" s="103">
        <f t="shared" si="20"/>
        <v>7.0000000000000007E-2</v>
      </c>
      <c r="BJ33" s="104">
        <f t="shared" si="20"/>
        <v>7.0000000000000007E-2</v>
      </c>
      <c r="BK33" s="42"/>
      <c r="BL33" s="102">
        <f>AVERAGEIFS($C33:$BJ33,$C$2:$BJ$2,BL$2)</f>
        <v>7.0000000000000021E-2</v>
      </c>
      <c r="BM33" s="102">
        <f>AVERAGEIFS($C33:$BJ33,$C$2:$BJ$2,BM$2)</f>
        <v>7.0000000000000021E-2</v>
      </c>
      <c r="BN33" s="102">
        <f>AVERAGEIFS($C33:$BJ33,$C$2:$BJ$2,BN$2)</f>
        <v>7.0000000000000021E-2</v>
      </c>
      <c r="BO33" s="102">
        <f>AVERAGEIFS($C33:$BJ33,$C$2:$BJ$2,BO$2)</f>
        <v>7.0000000000000021E-2</v>
      </c>
      <c r="BP33" s="102">
        <f>AVERAGEIFS($C33:$BJ33,$C$2:$BJ$2,BP$2)</f>
        <v>7.0000000000000021E-2</v>
      </c>
      <c r="BQ33" s="102">
        <f>AVERAGE(BL33:BP33)</f>
        <v>7.0000000000000021E-2</v>
      </c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</row>
    <row r="34" spans="1:81" ht="16" customHeight="1">
      <c r="A34" s="85"/>
      <c r="B34" s="58"/>
      <c r="C34" s="85"/>
      <c r="D34" s="42">
        <f>C34</f>
        <v>0</v>
      </c>
      <c r="E34" s="42"/>
      <c r="F34" s="42"/>
      <c r="G34" s="42"/>
      <c r="H34" s="42"/>
      <c r="I34" s="42"/>
      <c r="J34" s="42"/>
      <c r="K34" s="42"/>
      <c r="L34" s="42"/>
      <c r="M34" s="42"/>
      <c r="N34" s="58"/>
      <c r="O34" s="85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58"/>
      <c r="AA34" s="85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58"/>
      <c r="AM34" s="85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58"/>
      <c r="AY34" s="85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58"/>
      <c r="BK34" s="42"/>
      <c r="BL34" s="66"/>
      <c r="BM34" s="66"/>
      <c r="BN34" s="66"/>
      <c r="BO34" s="66"/>
      <c r="BP34" s="66"/>
      <c r="BQ34" s="66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</row>
    <row r="35" spans="1:81" ht="16" customHeight="1">
      <c r="A35" s="105" t="s">
        <v>239</v>
      </c>
      <c r="B35" s="69" t="s">
        <v>238</v>
      </c>
      <c r="C35" s="106">
        <f t="shared" ref="C35:AH35" si="21">C31*C33</f>
        <v>14.160825000000003</v>
      </c>
      <c r="D35" s="106">
        <f t="shared" si="21"/>
        <v>14.385086710482303</v>
      </c>
      <c r="E35" s="106">
        <f t="shared" si="21"/>
        <v>17.04838333544199</v>
      </c>
      <c r="F35" s="106">
        <f t="shared" si="21"/>
        <v>18.143059146104157</v>
      </c>
      <c r="G35" s="106">
        <f t="shared" si="21"/>
        <v>13.40391751110378</v>
      </c>
      <c r="H35" s="106">
        <f t="shared" si="21"/>
        <v>17.020240315922617</v>
      </c>
      <c r="I35" s="106">
        <f t="shared" si="21"/>
        <v>15.560807332907096</v>
      </c>
      <c r="J35" s="106">
        <f t="shared" si="21"/>
        <v>15.80724023981494</v>
      </c>
      <c r="K35" s="106">
        <f t="shared" si="21"/>
        <v>20.518013583141233</v>
      </c>
      <c r="L35" s="106">
        <f t="shared" si="21"/>
        <v>18.124306625179905</v>
      </c>
      <c r="M35" s="106">
        <f t="shared" si="21"/>
        <v>20.252470785257209</v>
      </c>
      <c r="N35" s="107">
        <f t="shared" si="21"/>
        <v>22.443495797668525</v>
      </c>
      <c r="O35" s="106">
        <f t="shared" si="21"/>
        <v>17.099196187500031</v>
      </c>
      <c r="P35" s="106">
        <f t="shared" si="21"/>
        <v>17.369992202907412</v>
      </c>
      <c r="Q35" s="106">
        <f t="shared" si="21"/>
        <v>20.585922877546228</v>
      </c>
      <c r="R35" s="106">
        <f t="shared" si="21"/>
        <v>21.907743918920804</v>
      </c>
      <c r="S35" s="106">
        <f t="shared" si="21"/>
        <v>16.18523039465784</v>
      </c>
      <c r="T35" s="106">
        <f t="shared" si="21"/>
        <v>20.551940181476596</v>
      </c>
      <c r="U35" s="106">
        <f t="shared" si="21"/>
        <v>18.789674854485352</v>
      </c>
      <c r="V35" s="106">
        <f t="shared" si="21"/>
        <v>19.087242589576579</v>
      </c>
      <c r="W35" s="106">
        <f t="shared" si="21"/>
        <v>24.775501401643087</v>
      </c>
      <c r="X35" s="106">
        <f t="shared" si="21"/>
        <v>21.885100249904781</v>
      </c>
      <c r="Y35" s="106">
        <f t="shared" si="21"/>
        <v>24.454858473198129</v>
      </c>
      <c r="Z35" s="107">
        <f t="shared" si="21"/>
        <v>27.100521175684808</v>
      </c>
      <c r="AA35" s="106">
        <f t="shared" si="21"/>
        <v>20.647279396406333</v>
      </c>
      <c r="AB35" s="106">
        <f t="shared" si="21"/>
        <v>20.974265585010745</v>
      </c>
      <c r="AC35" s="106">
        <f t="shared" si="21"/>
        <v>24.857501874637133</v>
      </c>
      <c r="AD35" s="106">
        <f t="shared" si="21"/>
        <v>26.453600782096931</v>
      </c>
      <c r="AE35" s="106">
        <f t="shared" si="21"/>
        <v>19.543665701549383</v>
      </c>
      <c r="AF35" s="106">
        <f t="shared" si="21"/>
        <v>24.816467769133038</v>
      </c>
      <c r="AG35" s="106">
        <f t="shared" si="21"/>
        <v>22.688532386791113</v>
      </c>
      <c r="AH35" s="106">
        <f t="shared" si="21"/>
        <v>23.04784542691376</v>
      </c>
      <c r="AI35" s="106">
        <f t="shared" ref="AI35:BJ35" si="22">AI31*AI33</f>
        <v>29.916417942484074</v>
      </c>
      <c r="AJ35" s="106">
        <f t="shared" si="22"/>
        <v>26.426258551760078</v>
      </c>
      <c r="AK35" s="106">
        <f t="shared" si="22"/>
        <v>29.529241606386805</v>
      </c>
      <c r="AL35" s="107">
        <f t="shared" si="22"/>
        <v>32.723879319639458</v>
      </c>
      <c r="AM35" s="106">
        <f t="shared" si="22"/>
        <v>24.931589871160689</v>
      </c>
      <c r="AN35" s="106">
        <f t="shared" si="22"/>
        <v>25.326425693900521</v>
      </c>
      <c r="AO35" s="106">
        <f t="shared" si="22"/>
        <v>30.015433513624398</v>
      </c>
      <c r="AP35" s="106">
        <f t="shared" si="22"/>
        <v>31.942722944382101</v>
      </c>
      <c r="AQ35" s="106">
        <f t="shared" si="22"/>
        <v>23.598976334620925</v>
      </c>
      <c r="AR35" s="106">
        <f t="shared" si="22"/>
        <v>29.965884831228202</v>
      </c>
      <c r="AS35" s="106">
        <f t="shared" si="22"/>
        <v>27.396402857050319</v>
      </c>
      <c r="AT35" s="106">
        <f t="shared" si="22"/>
        <v>27.830273352998415</v>
      </c>
      <c r="AU35" s="106">
        <f t="shared" si="22"/>
        <v>36.1240746655496</v>
      </c>
      <c r="AV35" s="106">
        <f t="shared" si="22"/>
        <v>31.909707201250342</v>
      </c>
      <c r="AW35" s="106">
        <f t="shared" si="22"/>
        <v>35.656559239712116</v>
      </c>
      <c r="AX35" s="107">
        <f t="shared" si="22"/>
        <v>39.514084278464722</v>
      </c>
      <c r="AY35" s="106">
        <f t="shared" si="22"/>
        <v>30.104894769426579</v>
      </c>
      <c r="AZ35" s="106">
        <f t="shared" si="22"/>
        <v>30.581659025384923</v>
      </c>
      <c r="BA35" s="106">
        <f t="shared" si="22"/>
        <v>36.243635967701508</v>
      </c>
      <c r="BB35" s="106">
        <f t="shared" si="22"/>
        <v>38.570837955341446</v>
      </c>
      <c r="BC35" s="106">
        <f t="shared" si="22"/>
        <v>28.495763924054813</v>
      </c>
      <c r="BD35" s="106">
        <f t="shared" si="22"/>
        <v>36.183805933708122</v>
      </c>
      <c r="BE35" s="106">
        <f t="shared" si="22"/>
        <v>33.081156449888319</v>
      </c>
      <c r="BF35" s="106">
        <f t="shared" si="22"/>
        <v>33.605055073745639</v>
      </c>
      <c r="BG35" s="106">
        <f t="shared" si="22"/>
        <v>43.619820158651201</v>
      </c>
      <c r="BH35" s="106">
        <f t="shared" si="22"/>
        <v>38.530971445509849</v>
      </c>
      <c r="BI35" s="106">
        <f t="shared" si="22"/>
        <v>43.055295281952453</v>
      </c>
      <c r="BJ35" s="107">
        <f t="shared" si="22"/>
        <v>47.713256766246218</v>
      </c>
      <c r="BK35" s="42"/>
      <c r="BL35" s="108">
        <f t="shared" ref="BL35:BP37" si="23">SUMIF($C$2:$BJ$2,BL$2,$C35:$BJ35)</f>
        <v>206.86784638302376</v>
      </c>
      <c r="BM35" s="108">
        <f t="shared" si="23"/>
        <v>249.79292450750162</v>
      </c>
      <c r="BN35" s="108">
        <f t="shared" si="23"/>
        <v>301.6249563428089</v>
      </c>
      <c r="BO35" s="108">
        <f t="shared" si="23"/>
        <v>364.21213478394236</v>
      </c>
      <c r="BP35" s="108">
        <f t="shared" si="23"/>
        <v>439.7861527516111</v>
      </c>
      <c r="BQ35" s="108">
        <f>BL35+BM35+BN35+BO35+BP35</f>
        <v>1562.2840147688876</v>
      </c>
      <c r="BR35" s="71"/>
      <c r="BS35" s="71"/>
      <c r="BT35" s="71"/>
      <c r="BU35" s="71"/>
      <c r="BV35" s="71"/>
      <c r="BW35" s="71"/>
      <c r="BX35" s="71"/>
      <c r="BY35" s="71"/>
      <c r="BZ35" s="71"/>
      <c r="CA35" s="71"/>
      <c r="CB35" s="71"/>
      <c r="CC35" s="71"/>
    </row>
    <row r="36" spans="1:81" ht="13">
      <c r="A36" t="s">
        <v>240</v>
      </c>
      <c r="B36" t="s">
        <v>238</v>
      </c>
      <c r="C36">
        <f>C17*Assumptions!$B$54*Assumptions!$B$55*Assumptions!$B$56</f>
        <v>901.53</v>
      </c>
      <c r="D36">
        <f>D17*Assumptions!$B$54*Assumptions!$B$55*Assumptions!$B$56</f>
        <v>905.20294481467283</v>
      </c>
      <c r="E36">
        <f>E17*Assumptions!$B$54*Assumptions!$B$55*Assumptions!$B$56</f>
        <v>1060.3726626046991</v>
      </c>
      <c r="F36">
        <f>F17*Assumptions!$B$54*Assumptions!$B$55*Assumptions!$B$56</f>
        <v>1115.3924069503262</v>
      </c>
      <c r="G36">
        <f>G17*Assumptions!$B$54*Assumptions!$B$55*Assumptions!$B$56</f>
        <v>814.49938449715125</v>
      </c>
      <c r="H36">
        <f>H17*Assumptions!$B$54*Assumptions!$B$55*Assumptions!$B$56</f>
        <v>1022.2721947641227</v>
      </c>
      <c r="I36">
        <f>I17*Assumptions!$B$54*Assumptions!$B$55*Assumptions!$B$56</f>
        <v>923.79335240355613</v>
      </c>
      <c r="J36">
        <f>J17*Assumptions!$B$54*Assumptions!$B$55*Assumptions!$B$56</f>
        <v>927.55700087175967</v>
      </c>
      <c r="K36">
        <f>K17*Assumptions!$B$54*Assumptions!$B$55*Assumptions!$B$56</f>
        <v>1190.0404226068399</v>
      </c>
      <c r="L36">
        <f>L17*Assumptions!$B$54*Assumptions!$B$55*Assumptions!$B$56</f>
        <v>1039.0337344313787</v>
      </c>
      <c r="M36">
        <f>M17*Assumptions!$B$54*Assumptions!$B$55*Assumptions!$B$56</f>
        <v>1147.5935751289223</v>
      </c>
      <c r="N36">
        <f>N17*Assumptions!$B$54*Assumptions!$B$55*Assumptions!$B$56</f>
        <v>1257.0207418988912</v>
      </c>
      <c r="O36">
        <f>O17*Assumptions!$B$54*Assumptions!$B$55*Assumptions!$B$56</f>
        <v>946.60650000000055</v>
      </c>
      <c r="P36">
        <f>P17*Assumptions!$B$54*Assumptions!$B$55*Assumptions!$B$56</f>
        <v>950.46309205540672</v>
      </c>
      <c r="Q36">
        <f>Q17*Assumptions!$B$54*Assumptions!$B$55*Assumptions!$B$56</f>
        <v>1113.3912957349344</v>
      </c>
      <c r="R36">
        <f>R17*Assumptions!$B$54*Assumptions!$B$55*Assumptions!$B$56</f>
        <v>1171.1620272978428</v>
      </c>
      <c r="S36">
        <f>S17*Assumptions!$B$54*Assumptions!$B$55*Assumptions!$B$56</f>
        <v>855.22435372200914</v>
      </c>
      <c r="T36">
        <f>T17*Assumptions!$B$54*Assumptions!$B$55*Assumptions!$B$56</f>
        <v>1073.3858045023292</v>
      </c>
      <c r="U36">
        <f>U17*Assumptions!$B$54*Assumptions!$B$55*Assumptions!$B$56</f>
        <v>969.98302002373441</v>
      </c>
      <c r="V36">
        <f>V17*Assumptions!$B$54*Assumptions!$B$55*Assumptions!$B$56</f>
        <v>973.93485091534819</v>
      </c>
      <c r="W36">
        <f>W17*Assumptions!$B$54*Assumptions!$B$55*Assumptions!$B$56</f>
        <v>1249.5424437371823</v>
      </c>
      <c r="X36">
        <f>X17*Assumptions!$B$54*Assumptions!$B$55*Assumptions!$B$56</f>
        <v>1090.9854211529482</v>
      </c>
      <c r="Y36">
        <f>Y17*Assumptions!$B$54*Assumptions!$B$55*Assumptions!$B$56</f>
        <v>1204.9732538853691</v>
      </c>
      <c r="Z36">
        <f>Z17*Assumptions!$B$54*Assumptions!$B$55*Assumptions!$B$56</f>
        <v>1319.8717789938366</v>
      </c>
      <c r="AA36">
        <f>AA17*Assumptions!$B$54*Assumptions!$B$55*Assumptions!$B$56</f>
        <v>993.93682500000136</v>
      </c>
      <c r="AB36">
        <f>AB17*Assumptions!$B$54*Assumptions!$B$55*Assumptions!$B$56</f>
        <v>997.98624665817772</v>
      </c>
      <c r="AC36">
        <f>AC17*Assumptions!$B$54*Assumptions!$B$55*Assumptions!$B$56</f>
        <v>1169.0608605216823</v>
      </c>
      <c r="AD36">
        <f>AD17*Assumptions!$B$54*Assumptions!$B$55*Assumptions!$B$56</f>
        <v>1229.720128662736</v>
      </c>
      <c r="AE36">
        <f>AE17*Assumptions!$B$54*Assumptions!$B$55*Assumptions!$B$56</f>
        <v>897.98557140811045</v>
      </c>
      <c r="AF36">
        <f>AF17*Assumptions!$B$54*Assumptions!$B$55*Assumptions!$B$56</f>
        <v>1127.0550947274464</v>
      </c>
      <c r="AG36">
        <f>AG17*Assumptions!$B$54*Assumptions!$B$55*Assumptions!$B$56</f>
        <v>1018.4821710249219</v>
      </c>
      <c r="AH36">
        <f>AH17*Assumptions!$B$54*Assumptions!$B$55*Assumptions!$B$56</f>
        <v>1022.6315934611163</v>
      </c>
      <c r="AI36">
        <f>AI17*Assumptions!$B$54*Assumptions!$B$55*Assumptions!$B$56</f>
        <v>1312.0195659240424</v>
      </c>
      <c r="AJ36">
        <f>AJ17*Assumptions!$B$54*Assumptions!$B$55*Assumptions!$B$56</f>
        <v>1145.5346922105964</v>
      </c>
      <c r="AK36">
        <f>AK17*Assumptions!$B$54*Assumptions!$B$55*Assumptions!$B$56</f>
        <v>1265.2219165796384</v>
      </c>
      <c r="AL36">
        <f>AL17*Assumptions!$B$54*Assumptions!$B$55*Assumptions!$B$56</f>
        <v>1385.8653679435295</v>
      </c>
      <c r="AM36">
        <f>AM17*Assumptions!$B$54*Assumptions!$B$55*Assumptions!$B$56</f>
        <v>1043.6336662500021</v>
      </c>
      <c r="AN36">
        <f>AN17*Assumptions!$B$54*Assumptions!$B$55*Assumptions!$B$56</f>
        <v>1047.8855589910875</v>
      </c>
      <c r="AO36">
        <f>AO17*Assumptions!$B$54*Assumptions!$B$55*Assumptions!$B$56</f>
        <v>1227.5139035477673</v>
      </c>
      <c r="AP36">
        <f>AP17*Assumptions!$B$54*Assumptions!$B$55*Assumptions!$B$56</f>
        <v>1291.2061350958738</v>
      </c>
      <c r="AQ36">
        <f>AQ17*Assumptions!$B$54*Assumptions!$B$55*Assumptions!$B$56</f>
        <v>942.88484997851651</v>
      </c>
      <c r="AR36">
        <f>AR17*Assumptions!$B$54*Assumptions!$B$55*Assumptions!$B$56</f>
        <v>1183.4078494638197</v>
      </c>
      <c r="AS36">
        <f>AS17*Assumptions!$B$54*Assumptions!$B$55*Assumptions!$B$56</f>
        <v>1069.4062795761688</v>
      </c>
      <c r="AT36">
        <f>AT17*Assumptions!$B$54*Assumptions!$B$55*Assumptions!$B$56</f>
        <v>1073.763173134173</v>
      </c>
      <c r="AU36">
        <f>AU17*Assumptions!$B$54*Assumptions!$B$55*Assumptions!$B$56</f>
        <v>1377.6205442202458</v>
      </c>
      <c r="AV36">
        <f>AV17*Assumptions!$B$54*Assumptions!$B$55*Assumptions!$B$56</f>
        <v>1202.8114268211273</v>
      </c>
      <c r="AW36">
        <f>AW17*Assumptions!$B$54*Assumptions!$B$55*Assumptions!$B$56</f>
        <v>1328.4830124086216</v>
      </c>
      <c r="AX36">
        <f>AX17*Assumptions!$B$54*Assumptions!$B$55*Assumptions!$B$56</f>
        <v>1455.1586363407071</v>
      </c>
      <c r="AY36">
        <f>AY17*Assumptions!$B$54*Assumptions!$B$55*Assumptions!$B$56</f>
        <v>1095.8153495625029</v>
      </c>
      <c r="AZ36">
        <f>AZ17*Assumptions!$B$54*Assumptions!$B$55*Assumptions!$B$56</f>
        <v>1100.2798369406426</v>
      </c>
      <c r="BA36">
        <f>BA17*Assumptions!$B$54*Assumptions!$B$55*Assumptions!$B$56</f>
        <v>1288.8895987251565</v>
      </c>
      <c r="BB36">
        <f>BB17*Assumptions!$B$54*Assumptions!$B$55*Assumptions!$B$56</f>
        <v>1355.7664418506681</v>
      </c>
      <c r="BC36">
        <f>BC17*Assumptions!$B$54*Assumptions!$B$55*Assumptions!$B$56</f>
        <v>990.02909247744321</v>
      </c>
      <c r="BD36">
        <f>BD17*Assumptions!$B$54*Assumptions!$B$55*Assumptions!$B$56</f>
        <v>1242.5782419370116</v>
      </c>
      <c r="BE36">
        <f>BE17*Assumptions!$B$54*Assumptions!$B$55*Assumptions!$B$56</f>
        <v>1122.8765935549779</v>
      </c>
      <c r="BF36">
        <f>BF17*Assumptions!$B$54*Assumptions!$B$55*Assumptions!$B$56</f>
        <v>1127.4513317908825</v>
      </c>
      <c r="BG36">
        <f>BG17*Assumptions!$B$54*Assumptions!$B$55*Assumptions!$B$56</f>
        <v>1446.5015714312588</v>
      </c>
      <c r="BH36">
        <f>BH17*Assumptions!$B$54*Assumptions!$B$55*Assumptions!$B$56</f>
        <v>1262.9519981621843</v>
      </c>
      <c r="BI36">
        <f>BI17*Assumptions!$B$54*Assumptions!$B$55*Assumptions!$B$56</f>
        <v>1394.9071630290534</v>
      </c>
      <c r="BJ36">
        <f>BJ17*Assumptions!$B$54*Assumptions!$B$55*Assumptions!$B$56</f>
        <v>1527.9165681577433</v>
      </c>
      <c r="BL36">
        <f t="shared" si="23"/>
        <v>12304.30842097232</v>
      </c>
      <c r="BM36">
        <f t="shared" si="23"/>
        <v>12919.523842020943</v>
      </c>
      <c r="BN36">
        <f t="shared" si="23"/>
        <v>13565.500034121998</v>
      </c>
      <c r="BO36">
        <f t="shared" si="23"/>
        <v>14243.775035828112</v>
      </c>
      <c r="BP36">
        <f t="shared" si="23"/>
        <v>14955.963787619527</v>
      </c>
      <c r="BQ36">
        <f>BL36+BM36+BN36+BO36+BP36</f>
        <v>67989.071120562905</v>
      </c>
    </row>
    <row r="37" spans="1:81" ht="13">
      <c r="A37" t="s">
        <v>241</v>
      </c>
      <c r="B37" t="s">
        <v>238</v>
      </c>
      <c r="C37">
        <f t="shared" ref="C37:AH37" si="24">C35+C36</f>
        <v>915.69082500000002</v>
      </c>
      <c r="D37">
        <f t="shared" si="24"/>
        <v>919.58803152515509</v>
      </c>
      <c r="E37">
        <f t="shared" si="24"/>
        <v>1077.4210459401411</v>
      </c>
      <c r="F37">
        <f t="shared" si="24"/>
        <v>1133.5354660964304</v>
      </c>
      <c r="G37">
        <f t="shared" si="24"/>
        <v>827.90330200825508</v>
      </c>
      <c r="H37">
        <f t="shared" si="24"/>
        <v>1039.2924350800454</v>
      </c>
      <c r="I37">
        <f t="shared" si="24"/>
        <v>939.3541597364632</v>
      </c>
      <c r="J37">
        <f t="shared" si="24"/>
        <v>943.36424111157464</v>
      </c>
      <c r="K37">
        <f t="shared" si="24"/>
        <v>1210.5584361899812</v>
      </c>
      <c r="L37">
        <f t="shared" si="24"/>
        <v>1057.1580410565587</v>
      </c>
      <c r="M37">
        <f t="shared" si="24"/>
        <v>1167.8460459141795</v>
      </c>
      <c r="N37">
        <f t="shared" si="24"/>
        <v>1279.4642376965596</v>
      </c>
      <c r="O37">
        <f t="shared" si="24"/>
        <v>963.70569618750062</v>
      </c>
      <c r="P37">
        <f t="shared" si="24"/>
        <v>967.8330842583141</v>
      </c>
      <c r="Q37">
        <f t="shared" si="24"/>
        <v>1133.9772186124806</v>
      </c>
      <c r="R37">
        <f t="shared" si="24"/>
        <v>1193.0697712167637</v>
      </c>
      <c r="S37">
        <f t="shared" si="24"/>
        <v>871.40958411666702</v>
      </c>
      <c r="T37">
        <f t="shared" si="24"/>
        <v>1093.9377446838057</v>
      </c>
      <c r="U37">
        <f t="shared" si="24"/>
        <v>988.7726948782198</v>
      </c>
      <c r="V37">
        <f t="shared" si="24"/>
        <v>993.02209350492478</v>
      </c>
      <c r="W37">
        <f t="shared" si="24"/>
        <v>1274.3179451388255</v>
      </c>
      <c r="X37">
        <f t="shared" si="24"/>
        <v>1112.870521402853</v>
      </c>
      <c r="Y37">
        <f t="shared" si="24"/>
        <v>1229.4281123585672</v>
      </c>
      <c r="Z37">
        <f t="shared" si="24"/>
        <v>1346.9723001695215</v>
      </c>
      <c r="AA37">
        <f t="shared" si="24"/>
        <v>1014.5841043964077</v>
      </c>
      <c r="AB37">
        <f t="shared" si="24"/>
        <v>1018.9605122431884</v>
      </c>
      <c r="AC37">
        <f t="shared" si="24"/>
        <v>1193.9183623963195</v>
      </c>
      <c r="AD37">
        <f t="shared" si="24"/>
        <v>1256.1737294448328</v>
      </c>
      <c r="AE37">
        <f t="shared" si="24"/>
        <v>917.52923710965979</v>
      </c>
      <c r="AF37">
        <f t="shared" si="24"/>
        <v>1151.8715624965794</v>
      </c>
      <c r="AG37">
        <f t="shared" si="24"/>
        <v>1041.170703411713</v>
      </c>
      <c r="AH37">
        <f t="shared" si="24"/>
        <v>1045.6794388880301</v>
      </c>
      <c r="AI37">
        <f t="shared" ref="AI37:BN37" si="25">AI35+AI36</f>
        <v>1341.9359838665264</v>
      </c>
      <c r="AJ37">
        <f t="shared" si="25"/>
        <v>1171.9609507623566</v>
      </c>
      <c r="AK37">
        <f t="shared" si="25"/>
        <v>1294.7511581860254</v>
      </c>
      <c r="AL37">
        <f t="shared" si="25"/>
        <v>1418.589247263169</v>
      </c>
      <c r="AM37">
        <f t="shared" si="25"/>
        <v>1068.5652561211627</v>
      </c>
      <c r="AN37">
        <f t="shared" si="25"/>
        <v>1073.211984684988</v>
      </c>
      <c r="AO37">
        <f t="shared" si="25"/>
        <v>1257.5293370613917</v>
      </c>
      <c r="AP37">
        <f t="shared" si="25"/>
        <v>1323.1488580402558</v>
      </c>
      <c r="AQ37">
        <f t="shared" si="25"/>
        <v>966.48382631313746</v>
      </c>
      <c r="AR37">
        <f t="shared" si="25"/>
        <v>1213.3737342950478</v>
      </c>
      <c r="AS37">
        <f t="shared" si="25"/>
        <v>1096.8026824332192</v>
      </c>
      <c r="AT37">
        <f t="shared" si="25"/>
        <v>1101.5934464871714</v>
      </c>
      <c r="AU37">
        <f t="shared" si="25"/>
        <v>1413.7446188857955</v>
      </c>
      <c r="AV37">
        <f t="shared" si="25"/>
        <v>1234.7211340223776</v>
      </c>
      <c r="AW37">
        <f t="shared" si="25"/>
        <v>1364.1395716483337</v>
      </c>
      <c r="AX37">
        <f t="shared" si="25"/>
        <v>1494.6727206191717</v>
      </c>
      <c r="AY37">
        <f t="shared" si="25"/>
        <v>1125.9202443319296</v>
      </c>
      <c r="AZ37">
        <f t="shared" si="25"/>
        <v>1130.8614959660274</v>
      </c>
      <c r="BA37">
        <f t="shared" si="25"/>
        <v>1325.133234692858</v>
      </c>
      <c r="BB37">
        <f t="shared" si="25"/>
        <v>1394.3372798060095</v>
      </c>
      <c r="BC37">
        <f t="shared" si="25"/>
        <v>1018.524856401498</v>
      </c>
      <c r="BD37">
        <f t="shared" si="25"/>
        <v>1278.7620478707197</v>
      </c>
      <c r="BE37">
        <f t="shared" si="25"/>
        <v>1155.9577500048663</v>
      </c>
      <c r="BF37">
        <f t="shared" si="25"/>
        <v>1161.0563868646282</v>
      </c>
      <c r="BG37">
        <f t="shared" si="25"/>
        <v>1490.12139158991</v>
      </c>
      <c r="BH37">
        <f t="shared" si="25"/>
        <v>1301.482969607694</v>
      </c>
      <c r="BI37">
        <f t="shared" si="25"/>
        <v>1437.9624583110058</v>
      </c>
      <c r="BJ37">
        <f t="shared" si="25"/>
        <v>1575.6298249239894</v>
      </c>
      <c r="BL37">
        <f t="shared" si="23"/>
        <v>12511.176267355342</v>
      </c>
      <c r="BM37">
        <f t="shared" si="23"/>
        <v>13169.316766528445</v>
      </c>
      <c r="BN37">
        <f t="shared" si="23"/>
        <v>13867.124990464808</v>
      </c>
      <c r="BO37">
        <f t="shared" si="23"/>
        <v>14607.987170612052</v>
      </c>
      <c r="BP37">
        <f t="shared" si="23"/>
        <v>15395.749940371135</v>
      </c>
      <c r="BQ37">
        <f>BL37+BM37+BN37+BO37+BP37</f>
        <v>69551.355135331789</v>
      </c>
    </row>
    <row r="38" spans="1:81" ht="16" customHeight="1">
      <c r="A38" s="119" t="s">
        <v>242</v>
      </c>
    </row>
    <row r="40" spans="1:81" ht="15.75" customHeight="1">
      <c r="A40" t="s">
        <v>243</v>
      </c>
      <c r="B40" t="s">
        <v>96</v>
      </c>
      <c r="C40">
        <f>Assumptions!$B$35</f>
        <v>0.15</v>
      </c>
      <c r="D40">
        <f>Assumptions!$B$35</f>
        <v>0.15</v>
      </c>
      <c r="E40">
        <f>Assumptions!$B$35</f>
        <v>0.15</v>
      </c>
      <c r="F40">
        <f>Assumptions!$B$35</f>
        <v>0.15</v>
      </c>
      <c r="G40">
        <f>Assumptions!$B$35</f>
        <v>0.15</v>
      </c>
      <c r="H40">
        <f>Assumptions!$B$35</f>
        <v>0.15</v>
      </c>
      <c r="I40">
        <f>Assumptions!$B$35</f>
        <v>0.15</v>
      </c>
      <c r="J40">
        <f>Assumptions!$B$35</f>
        <v>0.15</v>
      </c>
      <c r="K40">
        <f>Assumptions!$B$35</f>
        <v>0.15</v>
      </c>
      <c r="L40">
        <f>Assumptions!$B$35</f>
        <v>0.15</v>
      </c>
      <c r="M40">
        <f>Assumptions!$B$35</f>
        <v>0.15</v>
      </c>
      <c r="N40">
        <f>Assumptions!$B$35</f>
        <v>0.15</v>
      </c>
      <c r="O40">
        <f>Assumptions!$B$35</f>
        <v>0.15</v>
      </c>
      <c r="P40">
        <f>Assumptions!$B$35</f>
        <v>0.15</v>
      </c>
      <c r="Q40">
        <f>Assumptions!$B$35</f>
        <v>0.15</v>
      </c>
      <c r="R40">
        <f>Assumptions!$B$35</f>
        <v>0.15</v>
      </c>
      <c r="S40">
        <f>Assumptions!$B$35</f>
        <v>0.15</v>
      </c>
      <c r="T40">
        <f>Assumptions!$B$35</f>
        <v>0.15</v>
      </c>
      <c r="U40">
        <f>Assumptions!$B$35</f>
        <v>0.15</v>
      </c>
      <c r="V40">
        <f>Assumptions!$B$35</f>
        <v>0.15</v>
      </c>
      <c r="W40">
        <f>Assumptions!$B$35</f>
        <v>0.15</v>
      </c>
      <c r="X40">
        <f>Assumptions!$B$35</f>
        <v>0.15</v>
      </c>
      <c r="Y40">
        <f>Assumptions!$B$35</f>
        <v>0.15</v>
      </c>
      <c r="Z40">
        <f>Assumptions!$B$35</f>
        <v>0.15</v>
      </c>
      <c r="AA40">
        <f>Assumptions!$B$35</f>
        <v>0.15</v>
      </c>
      <c r="AB40">
        <f>Assumptions!$B$35</f>
        <v>0.15</v>
      </c>
      <c r="AC40">
        <f>Assumptions!$B$35</f>
        <v>0.15</v>
      </c>
      <c r="AD40">
        <f>Assumptions!$B$35</f>
        <v>0.15</v>
      </c>
      <c r="AE40">
        <f>Assumptions!$B$35</f>
        <v>0.15</v>
      </c>
      <c r="AF40">
        <f>Assumptions!$B$35</f>
        <v>0.15</v>
      </c>
      <c r="AG40">
        <f>Assumptions!$B$35</f>
        <v>0.15</v>
      </c>
      <c r="AH40">
        <f>Assumptions!$B$35</f>
        <v>0.15</v>
      </c>
      <c r="AI40">
        <f>Assumptions!$B$35</f>
        <v>0.15</v>
      </c>
      <c r="AJ40">
        <f>Assumptions!$B$35</f>
        <v>0.15</v>
      </c>
      <c r="AK40">
        <f>Assumptions!$B$35</f>
        <v>0.15</v>
      </c>
      <c r="AL40">
        <f>Assumptions!$B$35</f>
        <v>0.15</v>
      </c>
      <c r="AM40">
        <f>Assumptions!$B$35*(1-Assumptions!$B$51)^1</f>
        <v>0.13500000000000001</v>
      </c>
      <c r="AN40">
        <f>Assumptions!$B$35*(1-Assumptions!$B$51)^1</f>
        <v>0.13500000000000001</v>
      </c>
      <c r="AO40">
        <f>Assumptions!$B$35*(1-Assumptions!$B$51)^1</f>
        <v>0.13500000000000001</v>
      </c>
      <c r="AP40">
        <f>Assumptions!$B$35*(1-Assumptions!$B$51)^1</f>
        <v>0.13500000000000001</v>
      </c>
      <c r="AQ40">
        <f>Assumptions!$B$35*(1-Assumptions!$B$51)^1</f>
        <v>0.13500000000000001</v>
      </c>
      <c r="AR40">
        <f>Assumptions!$B$35*(1-Assumptions!$B$51)^1</f>
        <v>0.13500000000000001</v>
      </c>
      <c r="AS40">
        <f>Assumptions!$B$35*(1-Assumptions!$B$51)^1</f>
        <v>0.13500000000000001</v>
      </c>
      <c r="AT40">
        <f>Assumptions!$B$35*(1-Assumptions!$B$51)^1</f>
        <v>0.13500000000000001</v>
      </c>
      <c r="AU40">
        <f>Assumptions!$B$35*(1-Assumptions!$B$51)^1</f>
        <v>0.13500000000000001</v>
      </c>
      <c r="AV40">
        <f>Assumptions!$B$35*(1-Assumptions!$B$51)^1</f>
        <v>0.13500000000000001</v>
      </c>
      <c r="AW40">
        <f>Assumptions!$B$35*(1-Assumptions!$B$51)^1</f>
        <v>0.13500000000000001</v>
      </c>
      <c r="AX40">
        <f>Assumptions!$B$35*(1-Assumptions!$B$51)^1</f>
        <v>0.13500000000000001</v>
      </c>
      <c r="AY40">
        <f>Assumptions!$B$35*(1-Assumptions!$B$51)^2</f>
        <v>0.1215</v>
      </c>
      <c r="AZ40">
        <f>Assumptions!$B$35*(1-Assumptions!$B$51)^2</f>
        <v>0.1215</v>
      </c>
      <c r="BA40">
        <f>Assumptions!$B$35*(1-Assumptions!$B$51)^2</f>
        <v>0.1215</v>
      </c>
      <c r="BB40">
        <f>Assumptions!$B$35*(1-Assumptions!$B$51)^2</f>
        <v>0.1215</v>
      </c>
      <c r="BC40">
        <f>Assumptions!$B$35*(1-Assumptions!$B$51)^2</f>
        <v>0.1215</v>
      </c>
      <c r="BD40">
        <f>Assumptions!$B$35*(1-Assumptions!$B$51)^2</f>
        <v>0.1215</v>
      </c>
      <c r="BE40">
        <f>Assumptions!$B$35*(1-Assumptions!$B$51)^2</f>
        <v>0.1215</v>
      </c>
      <c r="BF40">
        <f>Assumptions!$B$35*(1-Assumptions!$B$51)^2</f>
        <v>0.1215</v>
      </c>
      <c r="BG40">
        <f>Assumptions!$B$35*(1-Assumptions!$B$51)^2</f>
        <v>0.1215</v>
      </c>
      <c r="BH40">
        <f>Assumptions!$B$35*(1-Assumptions!$B$51)^2</f>
        <v>0.1215</v>
      </c>
      <c r="BI40">
        <f>Assumptions!$B$35*(1-Assumptions!$B$51)^2</f>
        <v>0.1215</v>
      </c>
      <c r="BJ40">
        <f>Assumptions!$B$35*(1-Assumptions!$B$51)^2</f>
        <v>0.1215</v>
      </c>
      <c r="BL40">
        <f t="shared" ref="BL40:BP46" si="26">AVERAGEIFS($C40:$BJ40,$C$2:$BJ$2,BL$2)</f>
        <v>0.14999999999999997</v>
      </c>
      <c r="BM40">
        <f t="shared" si="26"/>
        <v>0.14999999999999997</v>
      </c>
      <c r="BN40">
        <f t="shared" si="26"/>
        <v>0.14999999999999997</v>
      </c>
      <c r="BO40">
        <f t="shared" si="26"/>
        <v>0.13500000000000001</v>
      </c>
      <c r="BP40">
        <f t="shared" si="26"/>
        <v>0.12149999999999996</v>
      </c>
      <c r="BQ40">
        <f t="shared" ref="BQ40:BQ46" si="27">AVERAGE(BL40:BP40)</f>
        <v>0.14129999999999998</v>
      </c>
    </row>
    <row r="41" spans="1:81" ht="15.75" customHeight="1">
      <c r="A41" t="s">
        <v>244</v>
      </c>
      <c r="B41" t="s">
        <v>96</v>
      </c>
      <c r="C41">
        <f>Assumptions!$B$36</f>
        <v>0.1</v>
      </c>
      <c r="D41">
        <f>Assumptions!$B$36</f>
        <v>0.1</v>
      </c>
      <c r="E41">
        <f>Assumptions!$B$36</f>
        <v>0.1</v>
      </c>
      <c r="F41">
        <f>Assumptions!$B$36</f>
        <v>0.1</v>
      </c>
      <c r="G41">
        <f>Assumptions!$B$36</f>
        <v>0.1</v>
      </c>
      <c r="H41">
        <f>Assumptions!$B$36</f>
        <v>0.1</v>
      </c>
      <c r="I41">
        <f>Assumptions!$B$36</f>
        <v>0.1</v>
      </c>
      <c r="J41">
        <f>Assumptions!$B$36</f>
        <v>0.1</v>
      </c>
      <c r="K41">
        <f>Assumptions!$B$36</f>
        <v>0.1</v>
      </c>
      <c r="L41">
        <f>Assumptions!$B$36</f>
        <v>0.1</v>
      </c>
      <c r="M41">
        <f>Assumptions!$B$36</f>
        <v>0.1</v>
      </c>
      <c r="N41">
        <f>Assumptions!$B$36</f>
        <v>0.1</v>
      </c>
      <c r="O41">
        <f>Assumptions!$B$36</f>
        <v>0.1</v>
      </c>
      <c r="P41">
        <f>Assumptions!$B$36</f>
        <v>0.1</v>
      </c>
      <c r="Q41">
        <f>Assumptions!$B$36</f>
        <v>0.1</v>
      </c>
      <c r="R41">
        <f>Assumptions!$B$36</f>
        <v>0.1</v>
      </c>
      <c r="S41">
        <f>Assumptions!$B$36</f>
        <v>0.1</v>
      </c>
      <c r="T41">
        <f>Assumptions!$B$36</f>
        <v>0.1</v>
      </c>
      <c r="U41">
        <f>Assumptions!$B$36</f>
        <v>0.1</v>
      </c>
      <c r="V41">
        <f>Assumptions!$B$36</f>
        <v>0.1</v>
      </c>
      <c r="W41">
        <f>Assumptions!$B$36</f>
        <v>0.1</v>
      </c>
      <c r="X41">
        <f>Assumptions!$B$36</f>
        <v>0.1</v>
      </c>
      <c r="Y41">
        <f>Assumptions!$B$36</f>
        <v>0.1</v>
      </c>
      <c r="Z41">
        <f>Assumptions!$B$36</f>
        <v>0.1</v>
      </c>
      <c r="AA41">
        <f>Assumptions!$B$36</f>
        <v>0.1</v>
      </c>
      <c r="AB41">
        <f>Assumptions!$B$36</f>
        <v>0.1</v>
      </c>
      <c r="AC41">
        <f>Assumptions!$B$36</f>
        <v>0.1</v>
      </c>
      <c r="AD41">
        <f>Assumptions!$B$36</f>
        <v>0.1</v>
      </c>
      <c r="AE41">
        <f>Assumptions!$B$36</f>
        <v>0.1</v>
      </c>
      <c r="AF41">
        <f>Assumptions!$B$36</f>
        <v>0.1</v>
      </c>
      <c r="AG41">
        <f>Assumptions!$B$36</f>
        <v>0.1</v>
      </c>
      <c r="AH41">
        <f>Assumptions!$B$36</f>
        <v>0.1</v>
      </c>
      <c r="AI41">
        <f>Assumptions!$B$36</f>
        <v>0.1</v>
      </c>
      <c r="AJ41">
        <f>Assumptions!$B$36</f>
        <v>0.1</v>
      </c>
      <c r="AK41">
        <f>Assumptions!$B$36</f>
        <v>0.1</v>
      </c>
      <c r="AL41">
        <f>Assumptions!$B$36</f>
        <v>0.1</v>
      </c>
      <c r="AM41">
        <f>Assumptions!$B$36*(1-Assumptions!$B$51)^1</f>
        <v>9.0000000000000011E-2</v>
      </c>
      <c r="AN41">
        <f>Assumptions!$B$36*(1-Assumptions!$B$51)^1</f>
        <v>9.0000000000000011E-2</v>
      </c>
      <c r="AO41">
        <f>Assumptions!$B$36*(1-Assumptions!$B$51)^1</f>
        <v>9.0000000000000011E-2</v>
      </c>
      <c r="AP41">
        <f>Assumptions!$B$36*(1-Assumptions!$B$51)^1</f>
        <v>9.0000000000000011E-2</v>
      </c>
      <c r="AQ41">
        <f>Assumptions!$B$36*(1-Assumptions!$B$51)^1</f>
        <v>9.0000000000000011E-2</v>
      </c>
      <c r="AR41">
        <f>Assumptions!$B$36*(1-Assumptions!$B$51)^1</f>
        <v>9.0000000000000011E-2</v>
      </c>
      <c r="AS41">
        <f>Assumptions!$B$36*(1-Assumptions!$B$51)^1</f>
        <v>9.0000000000000011E-2</v>
      </c>
      <c r="AT41">
        <f>Assumptions!$B$36*(1-Assumptions!$B$51)^1</f>
        <v>9.0000000000000011E-2</v>
      </c>
      <c r="AU41">
        <f>Assumptions!$B$36*(1-Assumptions!$B$51)^1</f>
        <v>9.0000000000000011E-2</v>
      </c>
      <c r="AV41">
        <f>Assumptions!$B$36*(1-Assumptions!$B$51)^1</f>
        <v>9.0000000000000011E-2</v>
      </c>
      <c r="AW41">
        <f>Assumptions!$B$36*(1-Assumptions!$B$51)^1</f>
        <v>9.0000000000000011E-2</v>
      </c>
      <c r="AX41">
        <f>Assumptions!$B$36*(1-Assumptions!$B$51)^1</f>
        <v>9.0000000000000011E-2</v>
      </c>
      <c r="AY41">
        <f>Assumptions!$B$36*(1-Assumptions!$B$51)^2</f>
        <v>8.1000000000000016E-2</v>
      </c>
      <c r="AZ41">
        <f>Assumptions!$B$36*(1-Assumptions!$B$51)^2</f>
        <v>8.1000000000000016E-2</v>
      </c>
      <c r="BA41">
        <f>Assumptions!$B$36*(1-Assumptions!$B$51)^2</f>
        <v>8.1000000000000016E-2</v>
      </c>
      <c r="BB41">
        <f>Assumptions!$B$36*(1-Assumptions!$B$51)^2</f>
        <v>8.1000000000000016E-2</v>
      </c>
      <c r="BC41">
        <f>Assumptions!$B$36*(1-Assumptions!$B$51)^2</f>
        <v>8.1000000000000016E-2</v>
      </c>
      <c r="BD41">
        <f>Assumptions!$B$36*(1-Assumptions!$B$51)^2</f>
        <v>8.1000000000000016E-2</v>
      </c>
      <c r="BE41">
        <f>Assumptions!$B$36*(1-Assumptions!$B$51)^2</f>
        <v>8.1000000000000016E-2</v>
      </c>
      <c r="BF41">
        <f>Assumptions!$B$36*(1-Assumptions!$B$51)^2</f>
        <v>8.1000000000000016E-2</v>
      </c>
      <c r="BG41">
        <f>Assumptions!$B$36*(1-Assumptions!$B$51)^2</f>
        <v>8.1000000000000016E-2</v>
      </c>
      <c r="BH41">
        <f>Assumptions!$B$36*(1-Assumptions!$B$51)^2</f>
        <v>8.1000000000000016E-2</v>
      </c>
      <c r="BI41">
        <f>Assumptions!$B$36*(1-Assumptions!$B$51)^2</f>
        <v>8.1000000000000016E-2</v>
      </c>
      <c r="BJ41">
        <f>Assumptions!$B$36*(1-Assumptions!$B$51)^2</f>
        <v>8.1000000000000016E-2</v>
      </c>
      <c r="BL41">
        <f t="shared" si="26"/>
        <v>9.9999999999999992E-2</v>
      </c>
      <c r="BM41">
        <f t="shared" si="26"/>
        <v>9.9999999999999992E-2</v>
      </c>
      <c r="BN41">
        <f t="shared" si="26"/>
        <v>9.9999999999999992E-2</v>
      </c>
      <c r="BO41">
        <f t="shared" si="26"/>
        <v>8.9999999999999983E-2</v>
      </c>
      <c r="BP41">
        <f t="shared" si="26"/>
        <v>8.1000000000000003E-2</v>
      </c>
      <c r="BQ41">
        <f t="shared" si="27"/>
        <v>9.4199999999999992E-2</v>
      </c>
    </row>
    <row r="42" spans="1:81" ht="15.75" customHeight="1">
      <c r="A42" t="s">
        <v>245</v>
      </c>
      <c r="B42" t="s">
        <v>87</v>
      </c>
      <c r="C42">
        <f>Assumptions!$B$37</f>
        <v>-0.01</v>
      </c>
      <c r="D42">
        <f>Assumptions!$B$37</f>
        <v>-0.01</v>
      </c>
      <c r="E42">
        <f>Assumptions!$B$37</f>
        <v>-0.01</v>
      </c>
      <c r="F42">
        <f>Assumptions!$B$37</f>
        <v>-0.01</v>
      </c>
      <c r="G42">
        <f>Assumptions!$B$37</f>
        <v>-0.01</v>
      </c>
      <c r="H42">
        <f>Assumptions!$B$37</f>
        <v>-0.01</v>
      </c>
      <c r="I42">
        <f>Assumptions!$B$37</f>
        <v>-0.01</v>
      </c>
      <c r="J42">
        <f>Assumptions!$B$37</f>
        <v>-0.01</v>
      </c>
      <c r="K42">
        <f>Assumptions!$B$37</f>
        <v>-0.01</v>
      </c>
      <c r="L42">
        <f>Assumptions!$B$37</f>
        <v>-0.01</v>
      </c>
      <c r="M42">
        <f>Assumptions!$B$37</f>
        <v>-0.01</v>
      </c>
      <c r="N42">
        <f>Assumptions!$B$37</f>
        <v>-0.01</v>
      </c>
      <c r="O42">
        <f>Assumptions!$B$37</f>
        <v>-0.01</v>
      </c>
      <c r="P42">
        <f>Assumptions!$B$37</f>
        <v>-0.01</v>
      </c>
      <c r="Q42">
        <f>Assumptions!$B$37</f>
        <v>-0.01</v>
      </c>
      <c r="R42">
        <f>Assumptions!$B$37</f>
        <v>-0.01</v>
      </c>
      <c r="S42">
        <f>Assumptions!$B$37</f>
        <v>-0.01</v>
      </c>
      <c r="T42">
        <f>Assumptions!$B$37</f>
        <v>-0.01</v>
      </c>
      <c r="U42">
        <f>Assumptions!$B$37</f>
        <v>-0.01</v>
      </c>
      <c r="V42">
        <f>Assumptions!$B$37</f>
        <v>-0.01</v>
      </c>
      <c r="W42">
        <f>Assumptions!$B$37</f>
        <v>-0.01</v>
      </c>
      <c r="X42">
        <f>Assumptions!$B$37</f>
        <v>-0.01</v>
      </c>
      <c r="Y42">
        <f>Assumptions!$B$37</f>
        <v>-0.01</v>
      </c>
      <c r="Z42">
        <f>Assumptions!$B$37</f>
        <v>-0.01</v>
      </c>
      <c r="AA42">
        <f>Assumptions!$B$37</f>
        <v>-0.01</v>
      </c>
      <c r="AB42">
        <f>Assumptions!$B$37</f>
        <v>-0.01</v>
      </c>
      <c r="AC42">
        <f>Assumptions!$B$37</f>
        <v>-0.01</v>
      </c>
      <c r="AD42">
        <f>Assumptions!$B$37</f>
        <v>-0.01</v>
      </c>
      <c r="AE42">
        <f>Assumptions!$B$37</f>
        <v>-0.01</v>
      </c>
      <c r="AF42">
        <f>Assumptions!$B$37</f>
        <v>-0.01</v>
      </c>
      <c r="AG42">
        <f>Assumptions!$B$37</f>
        <v>-0.01</v>
      </c>
      <c r="AH42">
        <f>Assumptions!$B$37</f>
        <v>-0.01</v>
      </c>
      <c r="AI42">
        <f>Assumptions!$B$37</f>
        <v>-0.01</v>
      </c>
      <c r="AJ42">
        <f>Assumptions!$B$37</f>
        <v>-0.01</v>
      </c>
      <c r="AK42">
        <f>Assumptions!$B$37</f>
        <v>-0.01</v>
      </c>
      <c r="AL42">
        <f>Assumptions!$B$37</f>
        <v>-0.01</v>
      </c>
      <c r="AM42">
        <f>Assumptions!$B$37</f>
        <v>-0.01</v>
      </c>
      <c r="AN42">
        <f>Assumptions!$B$37</f>
        <v>-0.01</v>
      </c>
      <c r="AO42">
        <f>Assumptions!$B$37</f>
        <v>-0.01</v>
      </c>
      <c r="AP42">
        <f>Assumptions!$B$37</f>
        <v>-0.01</v>
      </c>
      <c r="AQ42">
        <f>Assumptions!$B$37</f>
        <v>-0.01</v>
      </c>
      <c r="AR42">
        <f>Assumptions!$B$37</f>
        <v>-0.01</v>
      </c>
      <c r="AS42">
        <f>Assumptions!$B$37</f>
        <v>-0.01</v>
      </c>
      <c r="AT42">
        <f>Assumptions!$B$37</f>
        <v>-0.01</v>
      </c>
      <c r="AU42">
        <f>Assumptions!$B$37</f>
        <v>-0.01</v>
      </c>
      <c r="AV42">
        <f>Assumptions!$B$37</f>
        <v>-0.01</v>
      </c>
      <c r="AW42">
        <f>Assumptions!$B$37</f>
        <v>-0.01</v>
      </c>
      <c r="AX42">
        <f>Assumptions!$B$37</f>
        <v>-0.01</v>
      </c>
      <c r="AY42">
        <f>Assumptions!$B$37</f>
        <v>-0.01</v>
      </c>
      <c r="AZ42">
        <f>Assumptions!$B$37</f>
        <v>-0.01</v>
      </c>
      <c r="BA42">
        <f>Assumptions!$B$37</f>
        <v>-0.01</v>
      </c>
      <c r="BB42">
        <f>Assumptions!$B$37</f>
        <v>-0.01</v>
      </c>
      <c r="BC42">
        <f>Assumptions!$B$37</f>
        <v>-0.01</v>
      </c>
      <c r="BD42">
        <f>Assumptions!$B$37</f>
        <v>-0.01</v>
      </c>
      <c r="BE42">
        <f>Assumptions!$B$37</f>
        <v>-0.01</v>
      </c>
      <c r="BF42">
        <f>Assumptions!$B$37</f>
        <v>-0.01</v>
      </c>
      <c r="BG42">
        <f>Assumptions!$B$37</f>
        <v>-0.01</v>
      </c>
      <c r="BH42">
        <f>Assumptions!$B$37</f>
        <v>-0.01</v>
      </c>
      <c r="BI42">
        <f>Assumptions!$B$37</f>
        <v>-0.01</v>
      </c>
      <c r="BJ42">
        <f>Assumptions!$B$37</f>
        <v>-0.01</v>
      </c>
      <c r="BL42">
        <f t="shared" si="26"/>
        <v>-9.9999999999999985E-3</v>
      </c>
      <c r="BM42">
        <f t="shared" si="26"/>
        <v>-9.9999999999999985E-3</v>
      </c>
      <c r="BN42">
        <f t="shared" si="26"/>
        <v>-9.9999999999999985E-3</v>
      </c>
      <c r="BO42">
        <f t="shared" si="26"/>
        <v>-9.9999999999999985E-3</v>
      </c>
      <c r="BP42">
        <f t="shared" si="26"/>
        <v>-9.9999999999999985E-3</v>
      </c>
      <c r="BQ42">
        <f t="shared" si="27"/>
        <v>-9.9999999999999985E-3</v>
      </c>
    </row>
    <row r="43" spans="1:81" ht="15.75" customHeight="1">
      <c r="A43" t="s">
        <v>246</v>
      </c>
      <c r="B43" t="s">
        <v>96</v>
      </c>
      <c r="C43">
        <f>Assumptions!$B$44</f>
        <v>7.0000000000000007E-2</v>
      </c>
      <c r="D43">
        <f>Assumptions!$B$44</f>
        <v>7.0000000000000007E-2</v>
      </c>
      <c r="E43">
        <f>Assumptions!$B$44</f>
        <v>7.0000000000000007E-2</v>
      </c>
      <c r="F43">
        <f>Assumptions!$B$44</f>
        <v>7.0000000000000007E-2</v>
      </c>
      <c r="G43">
        <f>Assumptions!$B$44</f>
        <v>7.0000000000000007E-2</v>
      </c>
      <c r="H43">
        <f>Assumptions!$B$44</f>
        <v>7.0000000000000007E-2</v>
      </c>
      <c r="I43">
        <f>Assumptions!$B$44</f>
        <v>7.0000000000000007E-2</v>
      </c>
      <c r="J43">
        <f>Assumptions!$B$44</f>
        <v>7.0000000000000007E-2</v>
      </c>
      <c r="K43">
        <f>Assumptions!$B$44</f>
        <v>7.0000000000000007E-2</v>
      </c>
      <c r="L43">
        <f>Assumptions!$B$44</f>
        <v>7.0000000000000007E-2</v>
      </c>
      <c r="M43">
        <f>Assumptions!$B$44</f>
        <v>7.0000000000000007E-2</v>
      </c>
      <c r="N43">
        <f>Assumptions!$B$44</f>
        <v>7.0000000000000007E-2</v>
      </c>
      <c r="O43">
        <f>Assumptions!$B$44</f>
        <v>7.0000000000000007E-2</v>
      </c>
      <c r="P43">
        <f>Assumptions!$B$44</f>
        <v>7.0000000000000007E-2</v>
      </c>
      <c r="Q43">
        <f>Assumptions!$B$44</f>
        <v>7.0000000000000007E-2</v>
      </c>
      <c r="R43">
        <f>Assumptions!$B$44</f>
        <v>7.0000000000000007E-2</v>
      </c>
      <c r="S43">
        <f>Assumptions!$B$44</f>
        <v>7.0000000000000007E-2</v>
      </c>
      <c r="T43">
        <f>Assumptions!$B$44</f>
        <v>7.0000000000000007E-2</v>
      </c>
      <c r="U43">
        <f>Assumptions!$B$44</f>
        <v>7.0000000000000007E-2</v>
      </c>
      <c r="V43">
        <f>Assumptions!$B$44</f>
        <v>7.0000000000000007E-2</v>
      </c>
      <c r="W43">
        <f>Assumptions!$B$44</f>
        <v>7.0000000000000007E-2</v>
      </c>
      <c r="X43">
        <f>Assumptions!$B$44</f>
        <v>7.0000000000000007E-2</v>
      </c>
      <c r="Y43">
        <f>Assumptions!$B$44</f>
        <v>7.0000000000000007E-2</v>
      </c>
      <c r="Z43">
        <f>Assumptions!$B$44</f>
        <v>7.0000000000000007E-2</v>
      </c>
      <c r="AA43">
        <f>Assumptions!$B$44</f>
        <v>7.0000000000000007E-2</v>
      </c>
      <c r="AB43">
        <f>Assumptions!$B$44</f>
        <v>7.0000000000000007E-2</v>
      </c>
      <c r="AC43">
        <f>Assumptions!$B$44</f>
        <v>7.0000000000000007E-2</v>
      </c>
      <c r="AD43">
        <f>Assumptions!$B$44</f>
        <v>7.0000000000000007E-2</v>
      </c>
      <c r="AE43">
        <f>Assumptions!$B$44</f>
        <v>7.0000000000000007E-2</v>
      </c>
      <c r="AF43">
        <f>Assumptions!$B$44</f>
        <v>7.0000000000000007E-2</v>
      </c>
      <c r="AG43">
        <f>Assumptions!$B$44</f>
        <v>7.0000000000000007E-2</v>
      </c>
      <c r="AH43">
        <f>Assumptions!$B$44</f>
        <v>7.0000000000000007E-2</v>
      </c>
      <c r="AI43">
        <f>Assumptions!$B$44</f>
        <v>7.0000000000000007E-2</v>
      </c>
      <c r="AJ43">
        <f>Assumptions!$B$44</f>
        <v>7.0000000000000007E-2</v>
      </c>
      <c r="AK43">
        <f>Assumptions!$B$44</f>
        <v>7.0000000000000007E-2</v>
      </c>
      <c r="AL43">
        <f>Assumptions!$B$44</f>
        <v>7.0000000000000007E-2</v>
      </c>
      <c r="AM43">
        <f>Assumptions!$B$44*(1-Assumptions!$B$51)^1</f>
        <v>6.3000000000000014E-2</v>
      </c>
      <c r="AN43">
        <f>Assumptions!$B$44*(1-Assumptions!$B$51)^1</f>
        <v>6.3000000000000014E-2</v>
      </c>
      <c r="AO43">
        <f>Assumptions!$B$44*(1-Assumptions!$B$51)^1</f>
        <v>6.3000000000000014E-2</v>
      </c>
      <c r="AP43">
        <f>Assumptions!$B$44*(1-Assumptions!$B$51)^1</f>
        <v>6.3000000000000014E-2</v>
      </c>
      <c r="AQ43">
        <f>Assumptions!$B$44*(1-Assumptions!$B$51)^1</f>
        <v>6.3000000000000014E-2</v>
      </c>
      <c r="AR43">
        <f>Assumptions!$B$44*(1-Assumptions!$B$51)^1</f>
        <v>6.3000000000000014E-2</v>
      </c>
      <c r="AS43">
        <f>Assumptions!$B$44*(1-Assumptions!$B$51)^1</f>
        <v>6.3000000000000014E-2</v>
      </c>
      <c r="AT43">
        <f>Assumptions!$B$44*(1-Assumptions!$B$51)^1</f>
        <v>6.3000000000000014E-2</v>
      </c>
      <c r="AU43">
        <f>Assumptions!$B$44*(1-Assumptions!$B$51)^1</f>
        <v>6.3000000000000014E-2</v>
      </c>
      <c r="AV43">
        <f>Assumptions!$B$44*(1-Assumptions!$B$51)^1</f>
        <v>6.3000000000000014E-2</v>
      </c>
      <c r="AW43">
        <f>Assumptions!$B$44*(1-Assumptions!$B$51)^1</f>
        <v>6.3000000000000014E-2</v>
      </c>
      <c r="AX43">
        <f>Assumptions!$B$44*(1-Assumptions!$B$51)^1</f>
        <v>6.3000000000000014E-2</v>
      </c>
      <c r="AY43">
        <f>Assumptions!$B$44*(1-Assumptions!$B$51)^2</f>
        <v>5.6700000000000007E-2</v>
      </c>
      <c r="AZ43">
        <f>Assumptions!$B$44*(1-Assumptions!$B$51)^2</f>
        <v>5.6700000000000007E-2</v>
      </c>
      <c r="BA43">
        <f>Assumptions!$B$44*(1-Assumptions!$B$51)^2</f>
        <v>5.6700000000000007E-2</v>
      </c>
      <c r="BB43">
        <f>Assumptions!$B$44*(1-Assumptions!$B$51)^2</f>
        <v>5.6700000000000007E-2</v>
      </c>
      <c r="BC43">
        <f>Assumptions!$B$44*(1-Assumptions!$B$51)^2</f>
        <v>5.6700000000000007E-2</v>
      </c>
      <c r="BD43">
        <f>Assumptions!$B$44*(1-Assumptions!$B$51)^2</f>
        <v>5.6700000000000007E-2</v>
      </c>
      <c r="BE43">
        <f>Assumptions!$B$44*(1-Assumptions!$B$51)^2</f>
        <v>5.6700000000000007E-2</v>
      </c>
      <c r="BF43">
        <f>Assumptions!$B$44*(1-Assumptions!$B$51)^2</f>
        <v>5.6700000000000007E-2</v>
      </c>
      <c r="BG43">
        <f>Assumptions!$B$44*(1-Assumptions!$B$51)^2</f>
        <v>5.6700000000000007E-2</v>
      </c>
      <c r="BH43">
        <f>Assumptions!$B$44*(1-Assumptions!$B$51)^2</f>
        <v>5.6700000000000007E-2</v>
      </c>
      <c r="BI43">
        <f>Assumptions!$B$44*(1-Assumptions!$B$51)^2</f>
        <v>5.6700000000000007E-2</v>
      </c>
      <c r="BJ43">
        <f>Assumptions!$B$44*(1-Assumptions!$B$51)^2</f>
        <v>5.6700000000000007E-2</v>
      </c>
      <c r="BL43">
        <f t="shared" si="26"/>
        <v>7.0000000000000021E-2</v>
      </c>
      <c r="BM43">
        <f t="shared" si="26"/>
        <v>7.0000000000000021E-2</v>
      </c>
      <c r="BN43">
        <f t="shared" si="26"/>
        <v>7.0000000000000021E-2</v>
      </c>
      <c r="BO43">
        <f t="shared" si="26"/>
        <v>6.3000000000000028E-2</v>
      </c>
      <c r="BP43">
        <f t="shared" si="26"/>
        <v>5.67E-2</v>
      </c>
      <c r="BQ43">
        <f t="shared" si="27"/>
        <v>6.5940000000000026E-2</v>
      </c>
    </row>
    <row r="44" spans="1:81" ht="15.75" customHeight="1">
      <c r="A44" t="s">
        <v>247</v>
      </c>
      <c r="B44" t="s">
        <v>87</v>
      </c>
      <c r="C44">
        <f>Assumptions!$B$45</f>
        <v>0.02</v>
      </c>
      <c r="D44">
        <f>Assumptions!$B$45</f>
        <v>0.02</v>
      </c>
      <c r="E44">
        <f>Assumptions!$B$45</f>
        <v>0.02</v>
      </c>
      <c r="F44">
        <f>Assumptions!$B$45</f>
        <v>0.02</v>
      </c>
      <c r="G44">
        <f>Assumptions!$B$45</f>
        <v>0.02</v>
      </c>
      <c r="H44">
        <f>Assumptions!$B$45</f>
        <v>0.02</v>
      </c>
      <c r="I44">
        <f>Assumptions!$B$45</f>
        <v>0.02</v>
      </c>
      <c r="J44">
        <f>Assumptions!$B$45</f>
        <v>0.02</v>
      </c>
      <c r="K44">
        <f>Assumptions!$B$45</f>
        <v>0.02</v>
      </c>
      <c r="L44">
        <f>Assumptions!$B$45</f>
        <v>0.02</v>
      </c>
      <c r="M44">
        <f>Assumptions!$B$45</f>
        <v>0.02</v>
      </c>
      <c r="N44">
        <f>Assumptions!$B$45</f>
        <v>0.02</v>
      </c>
      <c r="O44">
        <f>Assumptions!$B$45</f>
        <v>0.02</v>
      </c>
      <c r="P44">
        <f>Assumptions!$B$45</f>
        <v>0.02</v>
      </c>
      <c r="Q44">
        <f>Assumptions!$B$45</f>
        <v>0.02</v>
      </c>
      <c r="R44">
        <f>Assumptions!$B$45</f>
        <v>0.02</v>
      </c>
      <c r="S44">
        <f>Assumptions!$B$45</f>
        <v>0.02</v>
      </c>
      <c r="T44">
        <f>Assumptions!$B$45</f>
        <v>0.02</v>
      </c>
      <c r="U44">
        <f>Assumptions!$B$45</f>
        <v>0.02</v>
      </c>
      <c r="V44">
        <f>Assumptions!$B$45</f>
        <v>0.02</v>
      </c>
      <c r="W44">
        <f>Assumptions!$B$45</f>
        <v>0.02</v>
      </c>
      <c r="X44">
        <f>Assumptions!$B$45</f>
        <v>0.02</v>
      </c>
      <c r="Y44">
        <f>Assumptions!$B$45</f>
        <v>0.02</v>
      </c>
      <c r="Z44">
        <f>Assumptions!$B$45</f>
        <v>0.02</v>
      </c>
      <c r="AA44">
        <f>Assumptions!$B$45</f>
        <v>0.02</v>
      </c>
      <c r="AB44">
        <f>Assumptions!$B$45</f>
        <v>0.02</v>
      </c>
      <c r="AC44">
        <f>Assumptions!$B$45</f>
        <v>0.02</v>
      </c>
      <c r="AD44">
        <f>Assumptions!$B$45</f>
        <v>0.02</v>
      </c>
      <c r="AE44">
        <f>Assumptions!$B$45</f>
        <v>0.02</v>
      </c>
      <c r="AF44">
        <f>Assumptions!$B$45</f>
        <v>0.02</v>
      </c>
      <c r="AG44">
        <f>Assumptions!$B$45</f>
        <v>0.02</v>
      </c>
      <c r="AH44">
        <f>Assumptions!$B$45</f>
        <v>0.02</v>
      </c>
      <c r="AI44">
        <f>Assumptions!$B$45</f>
        <v>0.02</v>
      </c>
      <c r="AJ44">
        <f>Assumptions!$B$45</f>
        <v>0.02</v>
      </c>
      <c r="AK44">
        <f>Assumptions!$B$45</f>
        <v>0.02</v>
      </c>
      <c r="AL44">
        <f>Assumptions!$B$45</f>
        <v>0.02</v>
      </c>
      <c r="AM44">
        <f>Assumptions!$B$45</f>
        <v>0.02</v>
      </c>
      <c r="AN44">
        <f>Assumptions!$B$45</f>
        <v>0.02</v>
      </c>
      <c r="AO44">
        <f>Assumptions!$B$45</f>
        <v>0.02</v>
      </c>
      <c r="AP44">
        <f>Assumptions!$B$45</f>
        <v>0.02</v>
      </c>
      <c r="AQ44">
        <f>Assumptions!$B$45</f>
        <v>0.02</v>
      </c>
      <c r="AR44">
        <f>Assumptions!$B$45</f>
        <v>0.02</v>
      </c>
      <c r="AS44">
        <f>Assumptions!$B$45</f>
        <v>0.02</v>
      </c>
      <c r="AT44">
        <f>Assumptions!$B$45</f>
        <v>0.02</v>
      </c>
      <c r="AU44">
        <f>Assumptions!$B$45</f>
        <v>0.02</v>
      </c>
      <c r="AV44">
        <f>Assumptions!$B$45</f>
        <v>0.02</v>
      </c>
      <c r="AW44">
        <f>Assumptions!$B$45</f>
        <v>0.02</v>
      </c>
      <c r="AX44">
        <f>Assumptions!$B$45</f>
        <v>0.02</v>
      </c>
      <c r="AY44">
        <f>Assumptions!$B$45</f>
        <v>0.02</v>
      </c>
      <c r="AZ44">
        <f>Assumptions!$B$45</f>
        <v>0.02</v>
      </c>
      <c r="BA44">
        <f>Assumptions!$B$45</f>
        <v>0.02</v>
      </c>
      <c r="BB44">
        <f>Assumptions!$B$45</f>
        <v>0.02</v>
      </c>
      <c r="BC44">
        <f>Assumptions!$B$45</f>
        <v>0.02</v>
      </c>
      <c r="BD44">
        <f>Assumptions!$B$45</f>
        <v>0.02</v>
      </c>
      <c r="BE44">
        <f>Assumptions!$B$45</f>
        <v>0.02</v>
      </c>
      <c r="BF44">
        <f>Assumptions!$B$45</f>
        <v>0.02</v>
      </c>
      <c r="BG44">
        <f>Assumptions!$B$45</f>
        <v>0.02</v>
      </c>
      <c r="BH44">
        <f>Assumptions!$B$45</f>
        <v>0.02</v>
      </c>
      <c r="BI44">
        <f>Assumptions!$B$45</f>
        <v>0.02</v>
      </c>
      <c r="BJ44">
        <f>Assumptions!$B$45</f>
        <v>0.02</v>
      </c>
      <c r="BL44">
        <f t="shared" si="26"/>
        <v>1.9999999999999997E-2</v>
      </c>
      <c r="BM44">
        <f t="shared" si="26"/>
        <v>1.9999999999999997E-2</v>
      </c>
      <c r="BN44">
        <f t="shared" si="26"/>
        <v>1.9999999999999997E-2</v>
      </c>
      <c r="BO44">
        <f t="shared" si="26"/>
        <v>1.9999999999999997E-2</v>
      </c>
      <c r="BP44">
        <f t="shared" si="26"/>
        <v>1.9999999999999997E-2</v>
      </c>
      <c r="BQ44">
        <f t="shared" si="27"/>
        <v>1.9999999999999997E-2</v>
      </c>
    </row>
    <row r="45" spans="1:81" ht="15.75" customHeight="1">
      <c r="A45" t="s">
        <v>248</v>
      </c>
      <c r="B45" t="s">
        <v>87</v>
      </c>
      <c r="C45">
        <f>Assumptions!$B$46</f>
        <v>0.01</v>
      </c>
      <c r="D45">
        <f>Assumptions!$B$46</f>
        <v>0.01</v>
      </c>
      <c r="E45">
        <f>Assumptions!$B$46</f>
        <v>0.01</v>
      </c>
      <c r="F45">
        <f>Assumptions!$B$46</f>
        <v>0.01</v>
      </c>
      <c r="G45">
        <f>Assumptions!$B$46</f>
        <v>0.01</v>
      </c>
      <c r="H45">
        <f>Assumptions!$B$46</f>
        <v>0.01</v>
      </c>
      <c r="I45">
        <f>Assumptions!$B$46</f>
        <v>0.01</v>
      </c>
      <c r="J45">
        <f>Assumptions!$B$46</f>
        <v>0.01</v>
      </c>
      <c r="K45">
        <f>Assumptions!$B$46</f>
        <v>0.01</v>
      </c>
      <c r="L45">
        <f>Assumptions!$B$46</f>
        <v>0.01</v>
      </c>
      <c r="M45">
        <f>Assumptions!$B$46</f>
        <v>0.01</v>
      </c>
      <c r="N45">
        <f>Assumptions!$B$46</f>
        <v>0.01</v>
      </c>
      <c r="O45">
        <f>Assumptions!$B$46</f>
        <v>0.01</v>
      </c>
      <c r="P45">
        <f>Assumptions!$B$46</f>
        <v>0.01</v>
      </c>
      <c r="Q45">
        <f>Assumptions!$B$46</f>
        <v>0.01</v>
      </c>
      <c r="R45">
        <f>Assumptions!$B$46</f>
        <v>0.01</v>
      </c>
      <c r="S45">
        <f>Assumptions!$B$46</f>
        <v>0.01</v>
      </c>
      <c r="T45">
        <f>Assumptions!$B$46</f>
        <v>0.01</v>
      </c>
      <c r="U45">
        <f>Assumptions!$B$46</f>
        <v>0.01</v>
      </c>
      <c r="V45">
        <f>Assumptions!$B$46</f>
        <v>0.01</v>
      </c>
      <c r="W45">
        <f>Assumptions!$B$46</f>
        <v>0.01</v>
      </c>
      <c r="X45">
        <f>Assumptions!$B$46</f>
        <v>0.01</v>
      </c>
      <c r="Y45">
        <f>Assumptions!$B$46</f>
        <v>0.01</v>
      </c>
      <c r="Z45">
        <f>Assumptions!$B$46</f>
        <v>0.01</v>
      </c>
      <c r="AA45">
        <f>Assumptions!$B$46</f>
        <v>0.01</v>
      </c>
      <c r="AB45">
        <f>Assumptions!$B$46</f>
        <v>0.01</v>
      </c>
      <c r="AC45">
        <f>Assumptions!$B$46</f>
        <v>0.01</v>
      </c>
      <c r="AD45">
        <f>Assumptions!$B$46</f>
        <v>0.01</v>
      </c>
      <c r="AE45">
        <f>Assumptions!$B$46</f>
        <v>0.01</v>
      </c>
      <c r="AF45">
        <f>Assumptions!$B$46</f>
        <v>0.01</v>
      </c>
      <c r="AG45">
        <f>Assumptions!$B$46</f>
        <v>0.01</v>
      </c>
      <c r="AH45">
        <f>Assumptions!$B$46</f>
        <v>0.01</v>
      </c>
      <c r="AI45">
        <f>Assumptions!$B$46</f>
        <v>0.01</v>
      </c>
      <c r="AJ45">
        <f>Assumptions!$B$46</f>
        <v>0.01</v>
      </c>
      <c r="AK45">
        <f>Assumptions!$B$46</f>
        <v>0.01</v>
      </c>
      <c r="AL45">
        <f>Assumptions!$B$46</f>
        <v>0.01</v>
      </c>
      <c r="AM45">
        <f>Assumptions!$B$46</f>
        <v>0.01</v>
      </c>
      <c r="AN45">
        <f>Assumptions!$B$46</f>
        <v>0.01</v>
      </c>
      <c r="AO45">
        <f>Assumptions!$B$46</f>
        <v>0.01</v>
      </c>
      <c r="AP45">
        <f>Assumptions!$B$46</f>
        <v>0.01</v>
      </c>
      <c r="AQ45">
        <f>Assumptions!$B$46</f>
        <v>0.01</v>
      </c>
      <c r="AR45">
        <f>Assumptions!$B$46</f>
        <v>0.01</v>
      </c>
      <c r="AS45">
        <f>Assumptions!$B$46</f>
        <v>0.01</v>
      </c>
      <c r="AT45">
        <f>Assumptions!$B$46</f>
        <v>0.01</v>
      </c>
      <c r="AU45">
        <f>Assumptions!$B$46</f>
        <v>0.01</v>
      </c>
      <c r="AV45">
        <f>Assumptions!$B$46</f>
        <v>0.01</v>
      </c>
      <c r="AW45">
        <f>Assumptions!$B$46</f>
        <v>0.01</v>
      </c>
      <c r="AX45">
        <f>Assumptions!$B$46</f>
        <v>0.01</v>
      </c>
      <c r="AY45">
        <f>Assumptions!$B$46</f>
        <v>0.01</v>
      </c>
      <c r="AZ45">
        <f>Assumptions!$B$46</f>
        <v>0.01</v>
      </c>
      <c r="BA45">
        <f>Assumptions!$B$46</f>
        <v>0.01</v>
      </c>
      <c r="BB45">
        <f>Assumptions!$B$46</f>
        <v>0.01</v>
      </c>
      <c r="BC45">
        <f>Assumptions!$B$46</f>
        <v>0.01</v>
      </c>
      <c r="BD45">
        <f>Assumptions!$B$46</f>
        <v>0.01</v>
      </c>
      <c r="BE45">
        <f>Assumptions!$B$46</f>
        <v>0.01</v>
      </c>
      <c r="BF45">
        <f>Assumptions!$B$46</f>
        <v>0.01</v>
      </c>
      <c r="BG45">
        <f>Assumptions!$B$46</f>
        <v>0.01</v>
      </c>
      <c r="BH45">
        <f>Assumptions!$B$46</f>
        <v>0.01</v>
      </c>
      <c r="BI45">
        <f>Assumptions!$B$46</f>
        <v>0.01</v>
      </c>
      <c r="BJ45">
        <f>Assumptions!$B$46</f>
        <v>0.01</v>
      </c>
      <c r="BL45">
        <f t="shared" si="26"/>
        <v>9.9999999999999985E-3</v>
      </c>
      <c r="BM45">
        <f t="shared" si="26"/>
        <v>9.9999999999999985E-3</v>
      </c>
      <c r="BN45">
        <f t="shared" si="26"/>
        <v>9.9999999999999985E-3</v>
      </c>
      <c r="BO45">
        <f t="shared" si="26"/>
        <v>9.9999999999999985E-3</v>
      </c>
      <c r="BP45">
        <f t="shared" si="26"/>
        <v>9.9999999999999985E-3</v>
      </c>
      <c r="BQ45">
        <f t="shared" si="27"/>
        <v>9.9999999999999985E-3</v>
      </c>
    </row>
    <row r="46" spans="1:81" ht="15.75" customHeight="1">
      <c r="A46" t="s">
        <v>249</v>
      </c>
      <c r="B46" t="s">
        <v>87</v>
      </c>
      <c r="C46">
        <f>Assumptions!$B$48</f>
        <v>0.02</v>
      </c>
      <c r="D46">
        <f>Assumptions!$B$48</f>
        <v>0.02</v>
      </c>
      <c r="E46">
        <f>Assumptions!$B$48</f>
        <v>0.02</v>
      </c>
      <c r="F46">
        <f>Assumptions!$B$48</f>
        <v>0.02</v>
      </c>
      <c r="G46">
        <f>Assumptions!$B$48</f>
        <v>0.02</v>
      </c>
      <c r="H46">
        <f>Assumptions!$B$48</f>
        <v>0.02</v>
      </c>
      <c r="I46">
        <f>Assumptions!$B$48</f>
        <v>0.02</v>
      </c>
      <c r="J46">
        <f>Assumptions!$B$48</f>
        <v>0.02</v>
      </c>
      <c r="K46">
        <f>Assumptions!$B$48</f>
        <v>0.02</v>
      </c>
      <c r="L46">
        <f>Assumptions!$B$48</f>
        <v>0.02</v>
      </c>
      <c r="M46">
        <f>Assumptions!$B$48</f>
        <v>0.02</v>
      </c>
      <c r="N46">
        <f>Assumptions!$B$48</f>
        <v>0.02</v>
      </c>
      <c r="O46">
        <f>Assumptions!$B$48</f>
        <v>0.02</v>
      </c>
      <c r="P46">
        <f>Assumptions!$B$48</f>
        <v>0.02</v>
      </c>
      <c r="Q46">
        <f>Assumptions!$B$48</f>
        <v>0.02</v>
      </c>
      <c r="R46">
        <f>Assumptions!$B$48</f>
        <v>0.02</v>
      </c>
      <c r="S46">
        <f>Assumptions!$B$48</f>
        <v>0.02</v>
      </c>
      <c r="T46">
        <f>Assumptions!$B$48</f>
        <v>0.02</v>
      </c>
      <c r="U46">
        <f>Assumptions!$B$48</f>
        <v>0.02</v>
      </c>
      <c r="V46">
        <f>Assumptions!$B$48</f>
        <v>0.02</v>
      </c>
      <c r="W46">
        <f>Assumptions!$B$48</f>
        <v>0.02</v>
      </c>
      <c r="X46">
        <f>Assumptions!$B$48</f>
        <v>0.02</v>
      </c>
      <c r="Y46">
        <f>Assumptions!$B$48</f>
        <v>0.02</v>
      </c>
      <c r="Z46">
        <f>Assumptions!$B$48</f>
        <v>0.02</v>
      </c>
      <c r="AA46">
        <f>Assumptions!$B$48</f>
        <v>0.02</v>
      </c>
      <c r="AB46">
        <f>Assumptions!$B$48</f>
        <v>0.02</v>
      </c>
      <c r="AC46">
        <f>Assumptions!$B$48</f>
        <v>0.02</v>
      </c>
      <c r="AD46">
        <f>Assumptions!$B$48</f>
        <v>0.02</v>
      </c>
      <c r="AE46">
        <f>Assumptions!$B$48</f>
        <v>0.02</v>
      </c>
      <c r="AF46">
        <f>Assumptions!$B$48</f>
        <v>0.02</v>
      </c>
      <c r="AG46">
        <f>Assumptions!$B$48</f>
        <v>0.02</v>
      </c>
      <c r="AH46">
        <f>Assumptions!$B$48</f>
        <v>0.02</v>
      </c>
      <c r="AI46">
        <f>Assumptions!$B$48</f>
        <v>0.02</v>
      </c>
      <c r="AJ46">
        <f>Assumptions!$B$48</f>
        <v>0.02</v>
      </c>
      <c r="AK46">
        <f>Assumptions!$B$48</f>
        <v>0.02</v>
      </c>
      <c r="AL46">
        <f>Assumptions!$B$48</f>
        <v>0.02</v>
      </c>
      <c r="AM46">
        <f>Assumptions!$B$48</f>
        <v>0.02</v>
      </c>
      <c r="AN46">
        <f>Assumptions!$B$48</f>
        <v>0.02</v>
      </c>
      <c r="AO46">
        <f>Assumptions!$B$48</f>
        <v>0.02</v>
      </c>
      <c r="AP46">
        <f>Assumptions!$B$48</f>
        <v>0.02</v>
      </c>
      <c r="AQ46">
        <f>Assumptions!$B$48</f>
        <v>0.02</v>
      </c>
      <c r="AR46">
        <f>Assumptions!$B$48</f>
        <v>0.02</v>
      </c>
      <c r="AS46">
        <f>Assumptions!$B$48</f>
        <v>0.02</v>
      </c>
      <c r="AT46">
        <f>Assumptions!$B$48</f>
        <v>0.02</v>
      </c>
      <c r="AU46">
        <f>Assumptions!$B$48</f>
        <v>0.02</v>
      </c>
      <c r="AV46">
        <f>Assumptions!$B$48</f>
        <v>0.02</v>
      </c>
      <c r="AW46">
        <f>Assumptions!$B$48</f>
        <v>0.02</v>
      </c>
      <c r="AX46">
        <f>Assumptions!$B$48</f>
        <v>0.02</v>
      </c>
      <c r="AY46">
        <f>Assumptions!$B$48</f>
        <v>0.02</v>
      </c>
      <c r="AZ46">
        <f>Assumptions!$B$48</f>
        <v>0.02</v>
      </c>
      <c r="BA46">
        <f>Assumptions!$B$48</f>
        <v>0.02</v>
      </c>
      <c r="BB46">
        <f>Assumptions!$B$48</f>
        <v>0.02</v>
      </c>
      <c r="BC46">
        <f>Assumptions!$B$48</f>
        <v>0.02</v>
      </c>
      <c r="BD46">
        <f>Assumptions!$B$48</f>
        <v>0.02</v>
      </c>
      <c r="BE46">
        <f>Assumptions!$B$48</f>
        <v>0.02</v>
      </c>
      <c r="BF46">
        <f>Assumptions!$B$48</f>
        <v>0.02</v>
      </c>
      <c r="BG46">
        <f>Assumptions!$B$48</f>
        <v>0.02</v>
      </c>
      <c r="BH46">
        <f>Assumptions!$B$48</f>
        <v>0.02</v>
      </c>
      <c r="BI46">
        <f>Assumptions!$B$48</f>
        <v>0.02</v>
      </c>
      <c r="BJ46">
        <f>Assumptions!$B$48</f>
        <v>0.02</v>
      </c>
      <c r="BL46">
        <f t="shared" si="26"/>
        <v>1.9999999999999997E-2</v>
      </c>
      <c r="BM46">
        <f t="shared" si="26"/>
        <v>1.9999999999999997E-2</v>
      </c>
      <c r="BN46">
        <f t="shared" si="26"/>
        <v>1.9999999999999997E-2</v>
      </c>
      <c r="BO46">
        <f t="shared" si="26"/>
        <v>1.9999999999999997E-2</v>
      </c>
      <c r="BP46">
        <f t="shared" si="26"/>
        <v>1.9999999999999997E-2</v>
      </c>
      <c r="BQ46">
        <f t="shared" si="27"/>
        <v>1.9999999999999997E-2</v>
      </c>
    </row>
    <row r="48" spans="1:81" ht="15.75" customHeight="1">
      <c r="A48" t="s">
        <v>250</v>
      </c>
      <c r="B48" t="s">
        <v>87</v>
      </c>
      <c r="C48">
        <v>0.1</v>
      </c>
      <c r="D48">
        <v>0.1</v>
      </c>
      <c r="E48">
        <v>0.1</v>
      </c>
      <c r="F48">
        <v>0.1</v>
      </c>
      <c r="G48">
        <v>0.1</v>
      </c>
      <c r="H48">
        <v>0.1</v>
      </c>
      <c r="I48">
        <v>0.1</v>
      </c>
      <c r="J48">
        <v>0.1</v>
      </c>
      <c r="K48">
        <v>0.1</v>
      </c>
      <c r="L48">
        <v>0.1</v>
      </c>
      <c r="M48">
        <v>0.1</v>
      </c>
      <c r="N48">
        <v>0.1</v>
      </c>
      <c r="O48">
        <v>0.5</v>
      </c>
      <c r="P48">
        <v>0.5</v>
      </c>
      <c r="Q48">
        <v>0.5</v>
      </c>
      <c r="R48">
        <v>0.5</v>
      </c>
      <c r="S48">
        <v>0.5</v>
      </c>
      <c r="T48">
        <v>0.5</v>
      </c>
      <c r="U48">
        <v>0.5</v>
      </c>
      <c r="V48">
        <v>0.5</v>
      </c>
      <c r="W48">
        <v>0.5</v>
      </c>
      <c r="X48">
        <v>0.5</v>
      </c>
      <c r="Y48">
        <v>0.5</v>
      </c>
      <c r="Z48">
        <v>0.5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L48">
        <f t="shared" ref="BL48:BP50" si="28">AVERAGEIFS($C48:$BJ48,$C$2:$BJ$2,BL$2)</f>
        <v>9.9999999999999992E-2</v>
      </c>
      <c r="BM48">
        <f t="shared" si="28"/>
        <v>0.5</v>
      </c>
      <c r="BN48">
        <f t="shared" si="28"/>
        <v>1</v>
      </c>
      <c r="BO48">
        <f t="shared" si="28"/>
        <v>1</v>
      </c>
      <c r="BP48">
        <f t="shared" si="28"/>
        <v>1</v>
      </c>
      <c r="BQ48">
        <f>AVERAGE(BL48:BP48)</f>
        <v>0.72</v>
      </c>
    </row>
    <row r="49" spans="1:69" ht="15.75" customHeight="1">
      <c r="A49" t="s">
        <v>251</v>
      </c>
      <c r="B49" t="s">
        <v>87</v>
      </c>
      <c r="C49">
        <v>0.2</v>
      </c>
      <c r="D49">
        <v>0.2</v>
      </c>
      <c r="E49">
        <v>0.2</v>
      </c>
      <c r="F49">
        <v>0.2</v>
      </c>
      <c r="G49">
        <v>0.2</v>
      </c>
      <c r="H49">
        <v>0.2</v>
      </c>
      <c r="I49">
        <v>0.2</v>
      </c>
      <c r="J49">
        <v>0.2</v>
      </c>
      <c r="K49">
        <v>0.2</v>
      </c>
      <c r="L49">
        <v>0.2</v>
      </c>
      <c r="M49">
        <v>0.2</v>
      </c>
      <c r="N49">
        <v>0.2</v>
      </c>
      <c r="O49">
        <v>0.7</v>
      </c>
      <c r="P49">
        <v>0.7</v>
      </c>
      <c r="Q49">
        <v>0.7</v>
      </c>
      <c r="R49">
        <v>0.7</v>
      </c>
      <c r="S49">
        <v>0.7</v>
      </c>
      <c r="T49">
        <v>0.7</v>
      </c>
      <c r="U49">
        <v>0.7</v>
      </c>
      <c r="V49">
        <v>0.7</v>
      </c>
      <c r="W49">
        <v>0.7</v>
      </c>
      <c r="X49">
        <v>0.7</v>
      </c>
      <c r="Y49">
        <v>0.7</v>
      </c>
      <c r="Z49">
        <v>0.7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L49">
        <f t="shared" si="28"/>
        <v>0.19999999999999998</v>
      </c>
      <c r="BM49">
        <f t="shared" si="28"/>
        <v>0.70000000000000007</v>
      </c>
      <c r="BN49">
        <f t="shared" si="28"/>
        <v>1</v>
      </c>
      <c r="BO49">
        <f t="shared" si="28"/>
        <v>1</v>
      </c>
      <c r="BP49">
        <f t="shared" si="28"/>
        <v>1</v>
      </c>
      <c r="BQ49">
        <f>AVERAGE(BL49:BP49)</f>
        <v>0.78</v>
      </c>
    </row>
    <row r="50" spans="1:69" ht="15.75" customHeight="1">
      <c r="A50" t="s">
        <v>83</v>
      </c>
      <c r="B50" t="s">
        <v>87</v>
      </c>
      <c r="C50">
        <f>Assumptions!$B$52</f>
        <v>0.02</v>
      </c>
      <c r="D50">
        <f>Assumptions!$B$52</f>
        <v>0.02</v>
      </c>
      <c r="E50">
        <f>Assumptions!$B$52</f>
        <v>0.02</v>
      </c>
      <c r="F50">
        <f>Assumptions!$B$52</f>
        <v>0.02</v>
      </c>
      <c r="G50">
        <f>Assumptions!$B$52</f>
        <v>0.02</v>
      </c>
      <c r="H50">
        <f>Assumptions!$B$52</f>
        <v>0.02</v>
      </c>
      <c r="I50">
        <f>Assumptions!$B$52</f>
        <v>0.02</v>
      </c>
      <c r="J50">
        <f>Assumptions!$B$52</f>
        <v>0.02</v>
      </c>
      <c r="K50">
        <f>Assumptions!$B$52</f>
        <v>0.02</v>
      </c>
      <c r="L50">
        <f>Assumptions!$B$52</f>
        <v>0.02</v>
      </c>
      <c r="M50">
        <f>Assumptions!$B$52</f>
        <v>0.02</v>
      </c>
      <c r="N50">
        <f>Assumptions!$B$52</f>
        <v>0.02</v>
      </c>
      <c r="O50">
        <f>Assumptions!$B$52</f>
        <v>0.02</v>
      </c>
      <c r="P50">
        <f>Assumptions!$B$52</f>
        <v>0.02</v>
      </c>
      <c r="Q50">
        <f>Assumptions!$B$52</f>
        <v>0.02</v>
      </c>
      <c r="R50">
        <f>Assumptions!$B$52</f>
        <v>0.02</v>
      </c>
      <c r="S50">
        <f>Assumptions!$B$52</f>
        <v>0.02</v>
      </c>
      <c r="T50">
        <f>Assumptions!$B$52</f>
        <v>0.02</v>
      </c>
      <c r="U50">
        <f>Assumptions!$B$52</f>
        <v>0.02</v>
      </c>
      <c r="V50">
        <f>Assumptions!$B$52</f>
        <v>0.02</v>
      </c>
      <c r="W50">
        <f>Assumptions!$B$52</f>
        <v>0.02</v>
      </c>
      <c r="X50">
        <f>Assumptions!$B$52</f>
        <v>0.02</v>
      </c>
      <c r="Y50">
        <f>Assumptions!$B$52</f>
        <v>0.02</v>
      </c>
      <c r="Z50">
        <f>Assumptions!$B$52</f>
        <v>0.02</v>
      </c>
      <c r="AA50">
        <f>Assumptions!$B$52</f>
        <v>0.02</v>
      </c>
      <c r="AB50">
        <f>Assumptions!$B$52</f>
        <v>0.02</v>
      </c>
      <c r="AC50">
        <f>Assumptions!$B$52</f>
        <v>0.02</v>
      </c>
      <c r="AD50">
        <f>Assumptions!$B$52</f>
        <v>0.02</v>
      </c>
      <c r="AE50">
        <f>Assumptions!$B$52</f>
        <v>0.02</v>
      </c>
      <c r="AF50">
        <f>Assumptions!$B$52</f>
        <v>0.02</v>
      </c>
      <c r="AG50">
        <f>Assumptions!$B$52</f>
        <v>0.02</v>
      </c>
      <c r="AH50">
        <f>Assumptions!$B$52</f>
        <v>0.02</v>
      </c>
      <c r="AI50">
        <f>Assumptions!$B$52</f>
        <v>0.02</v>
      </c>
      <c r="AJ50">
        <f>Assumptions!$B$52</f>
        <v>0.02</v>
      </c>
      <c r="AK50">
        <f>Assumptions!$B$52</f>
        <v>0.02</v>
      </c>
      <c r="AL50">
        <f>Assumptions!$B$52</f>
        <v>0.02</v>
      </c>
      <c r="AM50">
        <f>Assumptions!$B$52</f>
        <v>0.02</v>
      </c>
      <c r="AN50">
        <f>Assumptions!$B$52</f>
        <v>0.02</v>
      </c>
      <c r="AO50">
        <f>Assumptions!$B$52</f>
        <v>0.02</v>
      </c>
      <c r="AP50">
        <f>Assumptions!$B$52</f>
        <v>0.02</v>
      </c>
      <c r="AQ50">
        <f>Assumptions!$B$52</f>
        <v>0.02</v>
      </c>
      <c r="AR50">
        <f>Assumptions!$B$52</f>
        <v>0.02</v>
      </c>
      <c r="AS50">
        <f>Assumptions!$B$52</f>
        <v>0.02</v>
      </c>
      <c r="AT50">
        <f>Assumptions!$B$52</f>
        <v>0.02</v>
      </c>
      <c r="AU50">
        <f>Assumptions!$B$52</f>
        <v>0.02</v>
      </c>
      <c r="AV50">
        <f>Assumptions!$B$52</f>
        <v>0.02</v>
      </c>
      <c r="AW50">
        <f>Assumptions!$B$52</f>
        <v>0.02</v>
      </c>
      <c r="AX50">
        <f>Assumptions!$B$52</f>
        <v>0.02</v>
      </c>
      <c r="AY50">
        <f>Assumptions!$B$52</f>
        <v>0.02</v>
      </c>
      <c r="AZ50">
        <f>Assumptions!$B$52</f>
        <v>0.02</v>
      </c>
      <c r="BA50">
        <f>Assumptions!$B$52</f>
        <v>0.02</v>
      </c>
      <c r="BB50">
        <f>Assumptions!$B$52</f>
        <v>0.02</v>
      </c>
      <c r="BC50">
        <f>Assumptions!$B$52</f>
        <v>0.02</v>
      </c>
      <c r="BD50">
        <f>Assumptions!$B$52</f>
        <v>0.02</v>
      </c>
      <c r="BE50">
        <f>Assumptions!$B$52</f>
        <v>0.02</v>
      </c>
      <c r="BF50">
        <f>Assumptions!$B$52</f>
        <v>0.02</v>
      </c>
      <c r="BG50">
        <f>Assumptions!$B$52</f>
        <v>0.02</v>
      </c>
      <c r="BH50">
        <f>Assumptions!$B$52</f>
        <v>0.02</v>
      </c>
      <c r="BI50">
        <f>Assumptions!$B$52</f>
        <v>0.02</v>
      </c>
      <c r="BJ50">
        <f>Assumptions!$B$52</f>
        <v>0.02</v>
      </c>
      <c r="BL50">
        <f t="shared" si="28"/>
        <v>1.9999999999999997E-2</v>
      </c>
      <c r="BM50">
        <f t="shared" si="28"/>
        <v>1.9999999999999997E-2</v>
      </c>
      <c r="BN50">
        <f t="shared" si="28"/>
        <v>1.9999999999999997E-2</v>
      </c>
      <c r="BO50">
        <f t="shared" si="28"/>
        <v>1.9999999999999997E-2</v>
      </c>
      <c r="BP50">
        <f t="shared" si="28"/>
        <v>1.9999999999999997E-2</v>
      </c>
      <c r="BQ50">
        <f>AVERAGE(BL50:BP50)</f>
        <v>1.9999999999999997E-2</v>
      </c>
    </row>
    <row r="52" spans="1:69" ht="16" customHeight="1">
      <c r="A52" s="119" t="s">
        <v>252</v>
      </c>
    </row>
    <row r="53" spans="1:69" ht="13">
      <c r="A53" t="s">
        <v>253</v>
      </c>
      <c r="B53" t="s">
        <v>87</v>
      </c>
      <c r="C53">
        <v>0.15</v>
      </c>
      <c r="D53">
        <v>0.15</v>
      </c>
      <c r="E53">
        <v>0.15</v>
      </c>
      <c r="F53">
        <v>0.15</v>
      </c>
      <c r="G53">
        <v>0.15</v>
      </c>
      <c r="H53">
        <v>0.15</v>
      </c>
      <c r="I53">
        <v>0.15</v>
      </c>
      <c r="J53">
        <v>0.15</v>
      </c>
      <c r="K53">
        <v>0.15</v>
      </c>
      <c r="L53">
        <v>0.15</v>
      </c>
      <c r="M53">
        <v>0.15</v>
      </c>
      <c r="N53">
        <v>0.15</v>
      </c>
      <c r="O53">
        <v>0.6</v>
      </c>
      <c r="P53">
        <v>0.6</v>
      </c>
      <c r="Q53">
        <v>0.6</v>
      </c>
      <c r="R53">
        <v>0.6</v>
      </c>
      <c r="S53">
        <v>0.6</v>
      </c>
      <c r="T53">
        <v>0.6</v>
      </c>
      <c r="U53">
        <v>0.6</v>
      </c>
      <c r="V53">
        <v>0.6</v>
      </c>
      <c r="W53">
        <v>0.6</v>
      </c>
      <c r="X53">
        <v>0.6</v>
      </c>
      <c r="Y53">
        <v>0.6</v>
      </c>
      <c r="Z53">
        <v>0.6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L53">
        <f t="shared" ref="BL53:BP57" si="29">AVERAGEIFS($C53:$BJ53,$C$2:$BJ$2,BL$2)</f>
        <v>0.14999999999999997</v>
      </c>
      <c r="BM53">
        <f t="shared" si="29"/>
        <v>0.59999999999999987</v>
      </c>
      <c r="BN53">
        <f t="shared" si="29"/>
        <v>1</v>
      </c>
      <c r="BO53">
        <f t="shared" si="29"/>
        <v>1</v>
      </c>
      <c r="BP53">
        <f t="shared" si="29"/>
        <v>1</v>
      </c>
      <c r="BQ53">
        <f>AVERAGE(BL53:BP53)</f>
        <v>0.75</v>
      </c>
    </row>
    <row r="54" spans="1:69" ht="15.75" customHeight="1">
      <c r="A54" t="s">
        <v>254</v>
      </c>
      <c r="B54" t="s">
        <v>229</v>
      </c>
      <c r="C54">
        <f>C17*(1+C42*C48)*(1+Assumptions!$B$61*C53)</f>
        <v>8.1525892500000001</v>
      </c>
      <c r="D54">
        <f>D17*(1+D42*D48)*(1+Assumptions!$B$61*D53)</f>
        <v>8.185803907761743</v>
      </c>
      <c r="E54">
        <f>E17*(1+E42*E48)*(1+Assumptions!$B$61*E53)</f>
        <v>9.5890128671757431</v>
      </c>
      <c r="F54">
        <f>F17*(1+F42*F48)*(1+Assumptions!$B$61*F53)</f>
        <v>10.086559677919597</v>
      </c>
      <c r="G54">
        <f>G17*(1+G42*G48)*(1+Assumptions!$B$61*G53)</f>
        <v>7.3655662331626157</v>
      </c>
      <c r="H54">
        <f>H17*(1+H42*H48)*(1+Assumptions!$B$61*H53)</f>
        <v>9.2444680771664753</v>
      </c>
      <c r="I54">
        <f>I17*(1+I42*I48)*(1+Assumptions!$B$61*I53)</f>
        <v>8.3539180659841534</v>
      </c>
      <c r="J54">
        <f>J17*(1+J42*J48)*(1+Assumptions!$B$61*J53)</f>
        <v>8.3879529622634283</v>
      </c>
      <c r="K54">
        <f>K17*(1+K42*K48)*(1+Assumptions!$B$61*K53)</f>
        <v>10.761606110068417</v>
      </c>
      <c r="L54">
        <f>L17*(1+L42*L48)*(1+Assumptions!$B$61*L53)</f>
        <v>9.3960436743232201</v>
      </c>
      <c r="M54">
        <f>M17*(1+M42*M48)*(1+Assumptions!$B$61*M53)</f>
        <v>10.377756751261877</v>
      </c>
      <c r="N54">
        <f>N17*(1+N42*N48)*(1+Assumptions!$B$61*N53)</f>
        <v>11.367313109305208</v>
      </c>
      <c r="O54">
        <f>O17*(1+O42*O48)*(1+Assumptions!$B$61*O53)</f>
        <v>8.7163492500000057</v>
      </c>
      <c r="P54">
        <f>P17*(1+P42*P48)*(1+Assumptions!$B$61*P53)</f>
        <v>8.7518607357860159</v>
      </c>
      <c r="Q54">
        <f>Q17*(1+Q42*Q48)*(1+Assumptions!$B$61*Q53)</f>
        <v>10.252103049721001</v>
      </c>
      <c r="R54">
        <f>R17*(1+R42*R48)*(1+Assumptions!$B$61*R53)</f>
        <v>10.784055738330586</v>
      </c>
      <c r="S54">
        <f>S17*(1+S42*S48)*(1+Assumptions!$B$61*S53)</f>
        <v>7.8749027754896774</v>
      </c>
      <c r="T54">
        <f>T17*(1+T42*T48)*(1+Assumptions!$B$61*T53)</f>
        <v>9.8837326302265218</v>
      </c>
      <c r="U54">
        <f>U17*(1+U42*U48)*(1+Assumptions!$B$61*U53)</f>
        <v>8.9316001623658945</v>
      </c>
      <c r="V54">
        <f>V17*(1+V42*V48)*(1+Assumptions!$B$61*V53)</f>
        <v>8.967988607013428</v>
      </c>
      <c r="W54">
        <f>W17*(1+W42*W48)*(1+Assumptions!$B$61*W53)</f>
        <v>11.5057823312134</v>
      </c>
      <c r="X54">
        <f>X17*(1+X42*X48)*(1+Assumptions!$B$61*X53)</f>
        <v>10.045789837094329</v>
      </c>
      <c r="Y54">
        <f>Y17*(1+Y42*Y48)*(1+Assumptions!$B$61*Y53)</f>
        <v>11.095389391234686</v>
      </c>
      <c r="Z54">
        <f>Z17*(1+Z42*Z48)*(1+Assumptions!$B$61*Z53)</f>
        <v>12.153374597500749</v>
      </c>
      <c r="AA54">
        <f>AA17*(1+AA42*AA48)*(1+Assumptions!$B$61*AA53)</f>
        <v>9.2829948750000124</v>
      </c>
      <c r="AB54">
        <f>AB17*(1+AB42*AB48)*(1+Assumptions!$B$61*AB53)</f>
        <v>9.3208149452037343</v>
      </c>
      <c r="AC54">
        <f>AC17*(1+AC42*AC48)*(1+Assumptions!$B$61*AC53)</f>
        <v>10.918587282230805</v>
      </c>
      <c r="AD54">
        <f>AD17*(1+AD42*AD48)*(1+Assumptions!$B$61*AD53)</f>
        <v>11.485121956378384</v>
      </c>
      <c r="AE54">
        <f>AE17*(1+AE42*AE48)*(1+Assumptions!$B$61*AE53)</f>
        <v>8.3868463744719755</v>
      </c>
      <c r="AF54">
        <f>AF17*(1+AF42*AF48)*(1+Assumptions!$B$61*AF53)</f>
        <v>10.526269280945019</v>
      </c>
      <c r="AG54">
        <f>AG17*(1+AG42*AG48)*(1+Assumptions!$B$61*AG53)</f>
        <v>9.512239144478043</v>
      </c>
      <c r="AH54">
        <f>AH17*(1+AH42*AH48)*(1+Assumptions!$B$61*AH53)</f>
        <v>9.550993184212313</v>
      </c>
      <c r="AI54">
        <f>AI17*(1+AI42*AI48)*(1+Assumptions!$B$61*AI53)</f>
        <v>12.253767644007565</v>
      </c>
      <c r="AJ54">
        <f>AJ17*(1+AJ42*AJ48)*(1+Assumptions!$B$61*AJ53)</f>
        <v>10.698861748004626</v>
      </c>
      <c r="AK54">
        <f>AK17*(1+AK42*AK48)*(1+Assumptions!$B$61*AK53)</f>
        <v>11.816695258621154</v>
      </c>
      <c r="AL54">
        <f>AL17*(1+AL42*AL48)*(1+Assumptions!$B$61*AL53)</f>
        <v>12.943459568529191</v>
      </c>
      <c r="AM54">
        <f>AM17*(1+AM42*AM48)*(1+Assumptions!$B$61*AM53)</f>
        <v>9.7471446187500188</v>
      </c>
      <c r="AN54">
        <f>AN17*(1+AN42*AN48)*(1+Assumptions!$B$61*AN53)</f>
        <v>9.7868556924639307</v>
      </c>
      <c r="AO54">
        <f>AO17*(1+AO42*AO48)*(1+Assumptions!$B$61*AO53)</f>
        <v>11.464516646342355</v>
      </c>
      <c r="AP54">
        <f>AP17*(1+AP42*AP48)*(1+Assumptions!$B$61*AP53)</f>
        <v>12.05937805419731</v>
      </c>
      <c r="AQ54">
        <f>AQ17*(1+AQ42*AQ48)*(1+Assumptions!$B$61*AQ53)</f>
        <v>8.8061886931955797</v>
      </c>
      <c r="AR54">
        <f>AR17*(1+AR42*AR48)*(1+Assumptions!$B$61*AR53)</f>
        <v>11.052582744992279</v>
      </c>
      <c r="AS54">
        <f>AS17*(1+AS42*AS48)*(1+Assumptions!$B$61*AS53)</f>
        <v>9.9878511017019544</v>
      </c>
      <c r="AT54">
        <f>AT17*(1+AT42*AT48)*(1+Assumptions!$B$61*AT53)</f>
        <v>10.028542843422937</v>
      </c>
      <c r="AU54">
        <f>AU17*(1+AU42*AU48)*(1+Assumptions!$B$61*AU53)</f>
        <v>12.866456026207956</v>
      </c>
      <c r="AV54">
        <f>AV17*(1+AV42*AV48)*(1+Assumptions!$B$61*AV53)</f>
        <v>11.233804835404866</v>
      </c>
      <c r="AW54">
        <f>AW17*(1+AW42*AW48)*(1+Assumptions!$B$61*AW53)</f>
        <v>12.407530021552219</v>
      </c>
      <c r="AX54">
        <f>AX17*(1+AX42*AX48)*(1+Assumptions!$B$61*AX53)</f>
        <v>13.590632546955661</v>
      </c>
      <c r="AY54">
        <f>AY17*(1+AY42*AY48)*(1+Assumptions!$B$61*AY53)</f>
        <v>10.234501849687527</v>
      </c>
      <c r="AZ54">
        <f>AZ17*(1+AZ42*AZ48)*(1+Assumptions!$B$61*AZ53)</f>
        <v>10.276198477087133</v>
      </c>
      <c r="BA54">
        <f>BA17*(1+BA42*BA48)*(1+Assumptions!$B$61*BA53)</f>
        <v>12.03774247865948</v>
      </c>
      <c r="BB54">
        <f>BB17*(1+BB42*BB48)*(1+Assumptions!$B$61*BB53)</f>
        <v>12.662346956907184</v>
      </c>
      <c r="BC54">
        <f>BC17*(1+BC42*BC48)*(1+Assumptions!$B$61*BC53)</f>
        <v>9.2464981278553662</v>
      </c>
      <c r="BD54">
        <f>BD17*(1+BD42*BD48)*(1+Assumptions!$B$61*BD53)</f>
        <v>11.6052118822419</v>
      </c>
      <c r="BE54">
        <f>BE17*(1+BE42*BE48)*(1+Assumptions!$B$61*BE53)</f>
        <v>10.487243656787058</v>
      </c>
      <c r="BF54">
        <f>BF17*(1+BF42*BF48)*(1+Assumptions!$B$61*BF53)</f>
        <v>10.529969985594089</v>
      </c>
      <c r="BG54">
        <f>BG17*(1+BG42*BG48)*(1+Assumptions!$B$61*BG53)</f>
        <v>13.509778827518362</v>
      </c>
      <c r="BH54">
        <f>BH17*(1+BH42*BH48)*(1+Assumptions!$B$61*BH53)</f>
        <v>11.795495077175117</v>
      </c>
      <c r="BI54">
        <f>BI17*(1+BI42*BI48)*(1+Assumptions!$B$61*BI53)</f>
        <v>13.027906522629838</v>
      </c>
      <c r="BJ54">
        <f>BJ17*(1+BJ42*BJ48)*(1+Assumptions!$B$61*BJ53)</f>
        <v>14.270164174303451</v>
      </c>
      <c r="BL54">
        <f t="shared" si="29"/>
        <v>9.2723825571993732</v>
      </c>
      <c r="BM54">
        <f t="shared" si="29"/>
        <v>9.9135774254980245</v>
      </c>
      <c r="BN54">
        <f t="shared" si="29"/>
        <v>10.558054271840236</v>
      </c>
      <c r="BO54">
        <f t="shared" si="29"/>
        <v>11.085956985432256</v>
      </c>
      <c r="BP54">
        <f t="shared" si="29"/>
        <v>11.640254834703876</v>
      </c>
      <c r="BQ54">
        <f>AVERAGE(BL54:BP54)</f>
        <v>10.494045214934753</v>
      </c>
    </row>
    <row r="55" spans="1:69" ht="15.75" customHeight="1">
      <c r="A55" t="s">
        <v>255</v>
      </c>
      <c r="B55" t="s">
        <v>233</v>
      </c>
      <c r="C55">
        <f>Assumptions!$B$34*(1+C40*C48)</f>
        <v>1.0149999999999999</v>
      </c>
      <c r="D55">
        <f>Assumptions!$B$34*(1+D40*D48)</f>
        <v>1.0149999999999999</v>
      </c>
      <c r="E55">
        <f>Assumptions!$B$34*(1+E40*E48)</f>
        <v>1.0149999999999999</v>
      </c>
      <c r="F55">
        <f>Assumptions!$B$34*(1+F40*F48)</f>
        <v>1.0149999999999999</v>
      </c>
      <c r="G55">
        <f>Assumptions!$B$34*(1+G40*G48)</f>
        <v>1.0149999999999999</v>
      </c>
      <c r="H55">
        <f>Assumptions!$B$34*(1+H40*H48)</f>
        <v>1.0149999999999999</v>
      </c>
      <c r="I55">
        <f>Assumptions!$B$34*(1+I40*I48)</f>
        <v>1.0149999999999999</v>
      </c>
      <c r="J55">
        <f>Assumptions!$B$34*(1+J40*J48)</f>
        <v>1.0149999999999999</v>
      </c>
      <c r="K55">
        <f>Assumptions!$B$34*(1+K40*K48)</f>
        <v>1.0149999999999999</v>
      </c>
      <c r="L55">
        <f>Assumptions!$B$34*(1+L40*L48)</f>
        <v>1.0149999999999999</v>
      </c>
      <c r="M55">
        <f>Assumptions!$B$34*(1+M40*M48)</f>
        <v>1.0149999999999999</v>
      </c>
      <c r="N55">
        <f>Assumptions!$B$34*(1+N40*N48)</f>
        <v>1.0149999999999999</v>
      </c>
      <c r="O55">
        <f>Assumptions!$B$34*(1+O40*O48)</f>
        <v>1.075</v>
      </c>
      <c r="P55">
        <f>Assumptions!$B$34*(1+P40*P48)</f>
        <v>1.075</v>
      </c>
      <c r="Q55">
        <f>Assumptions!$B$34*(1+Q40*Q48)</f>
        <v>1.075</v>
      </c>
      <c r="R55">
        <f>Assumptions!$B$34*(1+R40*R48)</f>
        <v>1.075</v>
      </c>
      <c r="S55">
        <f>Assumptions!$B$34*(1+S40*S48)</f>
        <v>1.075</v>
      </c>
      <c r="T55">
        <f>Assumptions!$B$34*(1+T40*T48)</f>
        <v>1.075</v>
      </c>
      <c r="U55">
        <f>Assumptions!$B$34*(1+U40*U48)</f>
        <v>1.075</v>
      </c>
      <c r="V55">
        <f>Assumptions!$B$34*(1+V40*V48)</f>
        <v>1.075</v>
      </c>
      <c r="W55">
        <f>Assumptions!$B$34*(1+W40*W48)</f>
        <v>1.075</v>
      </c>
      <c r="X55">
        <f>Assumptions!$B$34*(1+X40*X48)</f>
        <v>1.075</v>
      </c>
      <c r="Y55">
        <f>Assumptions!$B$34*(1+Y40*Y48)</f>
        <v>1.075</v>
      </c>
      <c r="Z55">
        <f>Assumptions!$B$34*(1+Z40*Z48)</f>
        <v>1.075</v>
      </c>
      <c r="AA55">
        <f>Assumptions!$B$34*(1+AA40*AA48)</f>
        <v>1.1499999999999999</v>
      </c>
      <c r="AB55">
        <f>Assumptions!$B$34*(1+AB40*AB48)</f>
        <v>1.1499999999999999</v>
      </c>
      <c r="AC55">
        <f>Assumptions!$B$34*(1+AC40*AC48)</f>
        <v>1.1499999999999999</v>
      </c>
      <c r="AD55">
        <f>Assumptions!$B$34*(1+AD40*AD48)</f>
        <v>1.1499999999999999</v>
      </c>
      <c r="AE55">
        <f>Assumptions!$B$34*(1+AE40*AE48)</f>
        <v>1.1499999999999999</v>
      </c>
      <c r="AF55">
        <f>Assumptions!$B$34*(1+AF40*AF48)</f>
        <v>1.1499999999999999</v>
      </c>
      <c r="AG55">
        <f>Assumptions!$B$34*(1+AG40*AG48)</f>
        <v>1.1499999999999999</v>
      </c>
      <c r="AH55">
        <f>Assumptions!$B$34*(1+AH40*AH48)</f>
        <v>1.1499999999999999</v>
      </c>
      <c r="AI55">
        <f>Assumptions!$B$34*(1+AI40*AI48)</f>
        <v>1.1499999999999999</v>
      </c>
      <c r="AJ55">
        <f>Assumptions!$B$34*(1+AJ40*AJ48)</f>
        <v>1.1499999999999999</v>
      </c>
      <c r="AK55">
        <f>Assumptions!$B$34*(1+AK40*AK48)</f>
        <v>1.1499999999999999</v>
      </c>
      <c r="AL55">
        <f>Assumptions!$B$34*(1+AL40*AL48)</f>
        <v>1.1499999999999999</v>
      </c>
      <c r="AM55">
        <f>Assumptions!$B$34*(1+AM40*AM48)</f>
        <v>1.135</v>
      </c>
      <c r="AN55">
        <f>Assumptions!$B$34*(1+AN40*AN48)</f>
        <v>1.135</v>
      </c>
      <c r="AO55">
        <f>Assumptions!$B$34*(1+AO40*AO48)</f>
        <v>1.135</v>
      </c>
      <c r="AP55">
        <f>Assumptions!$B$34*(1+AP40*AP48)</f>
        <v>1.135</v>
      </c>
      <c r="AQ55">
        <f>Assumptions!$B$34*(1+AQ40*AQ48)</f>
        <v>1.135</v>
      </c>
      <c r="AR55">
        <f>Assumptions!$B$34*(1+AR40*AR48)</f>
        <v>1.135</v>
      </c>
      <c r="AS55">
        <f>Assumptions!$B$34*(1+AS40*AS48)</f>
        <v>1.135</v>
      </c>
      <c r="AT55">
        <f>Assumptions!$B$34*(1+AT40*AT48)</f>
        <v>1.135</v>
      </c>
      <c r="AU55">
        <f>Assumptions!$B$34*(1+AU40*AU48)</f>
        <v>1.135</v>
      </c>
      <c r="AV55">
        <f>Assumptions!$B$34*(1+AV40*AV48)</f>
        <v>1.135</v>
      </c>
      <c r="AW55">
        <f>Assumptions!$B$34*(1+AW40*AW48)</f>
        <v>1.135</v>
      </c>
      <c r="AX55">
        <f>Assumptions!$B$34*(1+AX40*AX48)</f>
        <v>1.135</v>
      </c>
      <c r="AY55">
        <f>Assumptions!$B$34*(1+AY40*AY48)</f>
        <v>1.1214999999999999</v>
      </c>
      <c r="AZ55">
        <f>Assumptions!$B$34*(1+AZ40*AZ48)</f>
        <v>1.1214999999999999</v>
      </c>
      <c r="BA55">
        <f>Assumptions!$B$34*(1+BA40*BA48)</f>
        <v>1.1214999999999999</v>
      </c>
      <c r="BB55">
        <f>Assumptions!$B$34*(1+BB40*BB48)</f>
        <v>1.1214999999999999</v>
      </c>
      <c r="BC55">
        <f>Assumptions!$B$34*(1+BC40*BC48)</f>
        <v>1.1214999999999999</v>
      </c>
      <c r="BD55">
        <f>Assumptions!$B$34*(1+BD40*BD48)</f>
        <v>1.1214999999999999</v>
      </c>
      <c r="BE55">
        <f>Assumptions!$B$34*(1+BE40*BE48)</f>
        <v>1.1214999999999999</v>
      </c>
      <c r="BF55">
        <f>Assumptions!$B$34*(1+BF40*BF48)</f>
        <v>1.1214999999999999</v>
      </c>
      <c r="BG55">
        <f>Assumptions!$B$34*(1+BG40*BG48)</f>
        <v>1.1214999999999999</v>
      </c>
      <c r="BH55">
        <f>Assumptions!$B$34*(1+BH40*BH48)</f>
        <v>1.1214999999999999</v>
      </c>
      <c r="BI55">
        <f>Assumptions!$B$34*(1+BI40*BI48)</f>
        <v>1.1214999999999999</v>
      </c>
      <c r="BJ55">
        <f>Assumptions!$B$34*(1+BJ40*BJ48)</f>
        <v>1.1214999999999999</v>
      </c>
      <c r="BL55">
        <f t="shared" si="29"/>
        <v>1.0150000000000001</v>
      </c>
      <c r="BM55">
        <f t="shared" si="29"/>
        <v>1.0749999999999997</v>
      </c>
      <c r="BN55">
        <f t="shared" si="29"/>
        <v>1.1500000000000001</v>
      </c>
      <c r="BO55">
        <f t="shared" si="29"/>
        <v>1.135</v>
      </c>
      <c r="BP55">
        <f t="shared" si="29"/>
        <v>1.1214999999999997</v>
      </c>
      <c r="BQ55">
        <f>AVERAGE(BL55:BP55)</f>
        <v>1.0992999999999999</v>
      </c>
    </row>
    <row r="56" spans="1:69" ht="13" customHeight="1">
      <c r="A56" t="s">
        <v>25</v>
      </c>
      <c r="B56" t="s">
        <v>230</v>
      </c>
      <c r="C56">
        <f t="shared" ref="C56:AH56" si="30">C19*(1+C41*C48)</f>
        <v>2525</v>
      </c>
      <c r="D56">
        <f t="shared" si="30"/>
        <v>2554.5801652226296</v>
      </c>
      <c r="E56">
        <f t="shared" si="30"/>
        <v>2584.5068596233182</v>
      </c>
      <c r="F56">
        <f t="shared" si="30"/>
        <v>2614.7841427625967</v>
      </c>
      <c r="G56">
        <f t="shared" si="30"/>
        <v>2645.4161217584106</v>
      </c>
      <c r="H56">
        <f t="shared" si="30"/>
        <v>2676.4069518432511</v>
      </c>
      <c r="I56">
        <f t="shared" si="30"/>
        <v>2707.7608369278128</v>
      </c>
      <c r="J56">
        <f t="shared" si="30"/>
        <v>2739.4820301712548</v>
      </c>
      <c r="K56">
        <f t="shared" si="30"/>
        <v>2771.5748345581424</v>
      </c>
      <c r="L56">
        <f t="shared" si="30"/>
        <v>2804.0436034821473</v>
      </c>
      <c r="M56">
        <f t="shared" si="30"/>
        <v>2836.8927413365873</v>
      </c>
      <c r="N56">
        <f t="shared" si="30"/>
        <v>2870.1267041118804</v>
      </c>
      <c r="O56">
        <f t="shared" si="30"/>
        <v>3018.7500000000041</v>
      </c>
      <c r="P56">
        <f t="shared" si="30"/>
        <v>3054.1144054518118</v>
      </c>
      <c r="Q56">
        <f t="shared" si="30"/>
        <v>3089.8931019754073</v>
      </c>
      <c r="R56">
        <f t="shared" si="30"/>
        <v>3126.0909429562771</v>
      </c>
      <c r="S56">
        <f t="shared" si="30"/>
        <v>3162.7128386369159</v>
      </c>
      <c r="T56">
        <f t="shared" si="30"/>
        <v>3199.7637567829015</v>
      </c>
      <c r="U56">
        <f t="shared" si="30"/>
        <v>3237.2487233567713</v>
      </c>
      <c r="V56">
        <f t="shared" si="30"/>
        <v>3275.1728231997972</v>
      </c>
      <c r="W56">
        <f t="shared" si="30"/>
        <v>3313.5412007217446</v>
      </c>
      <c r="X56">
        <f t="shared" si="30"/>
        <v>3352.359060598711</v>
      </c>
      <c r="Y56">
        <f t="shared" si="30"/>
        <v>3391.6316684791423</v>
      </c>
      <c r="Z56">
        <f t="shared" si="30"/>
        <v>3431.3643516981197</v>
      </c>
      <c r="AA56">
        <f t="shared" si="30"/>
        <v>3636.8750000000105</v>
      </c>
      <c r="AB56">
        <f t="shared" si="30"/>
        <v>3679.4806884729023</v>
      </c>
      <c r="AC56">
        <f t="shared" si="30"/>
        <v>3722.5854990465673</v>
      </c>
      <c r="AD56">
        <f t="shared" si="30"/>
        <v>3766.1952788949488</v>
      </c>
      <c r="AE56">
        <f t="shared" si="30"/>
        <v>3810.3159436911474</v>
      </c>
      <c r="AF56">
        <f t="shared" si="30"/>
        <v>3854.9534784098814</v>
      </c>
      <c r="AG56">
        <f t="shared" si="30"/>
        <v>3900.1139381393532</v>
      </c>
      <c r="AH56">
        <f t="shared" si="30"/>
        <v>3945.8034489026181</v>
      </c>
      <c r="AI56">
        <f t="shared" ref="AI56:BJ56" si="31">AI19*(1+AI41*AI48)</f>
        <v>3992.028208488583</v>
      </c>
      <c r="AJ56">
        <f t="shared" si="31"/>
        <v>4038.7944872927378</v>
      </c>
      <c r="AK56">
        <f t="shared" si="31"/>
        <v>4086.1086291677343</v>
      </c>
      <c r="AL56">
        <f t="shared" si="31"/>
        <v>4133.9770522839299</v>
      </c>
      <c r="AM56">
        <f t="shared" si="31"/>
        <v>4144.3843750000169</v>
      </c>
      <c r="AN56">
        <f t="shared" si="31"/>
        <v>4192.9354936370801</v>
      </c>
      <c r="AO56">
        <f t="shared" si="31"/>
        <v>4242.0553845953427</v>
      </c>
      <c r="AP56">
        <f t="shared" si="31"/>
        <v>4291.750710995294</v>
      </c>
      <c r="AQ56">
        <f t="shared" si="31"/>
        <v>4342.0282140153258</v>
      </c>
      <c r="AR56">
        <f t="shared" si="31"/>
        <v>4392.894713806174</v>
      </c>
      <c r="AS56">
        <f t="shared" si="31"/>
        <v>4444.3571104160765</v>
      </c>
      <c r="AT56">
        <f t="shared" si="31"/>
        <v>4496.4223847267604</v>
      </c>
      <c r="AU56">
        <f t="shared" si="31"/>
        <v>4549.0975994004039</v>
      </c>
      <c r="AV56">
        <f t="shared" si="31"/>
        <v>4602.3898998376835</v>
      </c>
      <c r="AW56">
        <f t="shared" si="31"/>
        <v>4656.3065151470537</v>
      </c>
      <c r="AX56">
        <f t="shared" si="31"/>
        <v>4710.8547591253737</v>
      </c>
      <c r="AY56">
        <f t="shared" si="31"/>
        <v>4726.6893906250225</v>
      </c>
      <c r="AZ56">
        <f t="shared" si="31"/>
        <v>4782.0621641421476</v>
      </c>
      <c r="BA56">
        <f t="shared" si="31"/>
        <v>4838.0836251006467</v>
      </c>
      <c r="BB56">
        <f t="shared" si="31"/>
        <v>4894.761372820004</v>
      </c>
      <c r="BC56">
        <f t="shared" si="31"/>
        <v>4952.1030956450977</v>
      </c>
      <c r="BD56">
        <f t="shared" si="31"/>
        <v>5010.1165719891287</v>
      </c>
      <c r="BE56">
        <f t="shared" si="31"/>
        <v>5068.8096713887617</v>
      </c>
      <c r="BF56">
        <f t="shared" si="31"/>
        <v>5128.1903555716308</v>
      </c>
      <c r="BG56">
        <f t="shared" si="31"/>
        <v>5188.2666795363457</v>
      </c>
      <c r="BH56">
        <f t="shared" si="31"/>
        <v>5249.0467926451565</v>
      </c>
      <c r="BI56">
        <f t="shared" si="31"/>
        <v>5310.5389397294175</v>
      </c>
      <c r="BJ56">
        <f t="shared" si="31"/>
        <v>5372.7514622079934</v>
      </c>
      <c r="BL56">
        <f t="shared" si="29"/>
        <v>2694.2145826498358</v>
      </c>
      <c r="BM56">
        <f t="shared" si="29"/>
        <v>3221.0535728214668</v>
      </c>
      <c r="BN56">
        <f t="shared" si="29"/>
        <v>3880.6026377325347</v>
      </c>
      <c r="BO56">
        <f t="shared" si="29"/>
        <v>4422.123096725215</v>
      </c>
      <c r="BP56">
        <f t="shared" si="29"/>
        <v>5043.4516767834466</v>
      </c>
      <c r="BQ56">
        <f>AVERAGE(BL56:BP56)</f>
        <v>3852.2891133425001</v>
      </c>
    </row>
    <row r="57" spans="1:69" ht="13" customHeight="1">
      <c r="A57" t="s">
        <v>256</v>
      </c>
      <c r="B57" t="s">
        <v>87</v>
      </c>
      <c r="C57">
        <f t="shared" ref="C57:AH57" si="32">C21</f>
        <v>0.03</v>
      </c>
      <c r="D57">
        <f t="shared" si="32"/>
        <v>0.03</v>
      </c>
      <c r="E57">
        <f t="shared" si="32"/>
        <v>0.03</v>
      </c>
      <c r="F57">
        <f t="shared" si="32"/>
        <v>0.03</v>
      </c>
      <c r="G57">
        <f t="shared" si="32"/>
        <v>0.03</v>
      </c>
      <c r="H57">
        <f t="shared" si="32"/>
        <v>0.03</v>
      </c>
      <c r="I57">
        <f t="shared" si="32"/>
        <v>0.03</v>
      </c>
      <c r="J57">
        <f t="shared" si="32"/>
        <v>0.03</v>
      </c>
      <c r="K57">
        <f t="shared" si="32"/>
        <v>0.03</v>
      </c>
      <c r="L57">
        <f t="shared" si="32"/>
        <v>0.03</v>
      </c>
      <c r="M57">
        <f t="shared" si="32"/>
        <v>0.03</v>
      </c>
      <c r="N57">
        <f t="shared" si="32"/>
        <v>0.03</v>
      </c>
      <c r="O57">
        <f t="shared" si="32"/>
        <v>0.03</v>
      </c>
      <c r="P57">
        <f t="shared" si="32"/>
        <v>0.03</v>
      </c>
      <c r="Q57">
        <f t="shared" si="32"/>
        <v>0.03</v>
      </c>
      <c r="R57">
        <f t="shared" si="32"/>
        <v>0.03</v>
      </c>
      <c r="S57">
        <f t="shared" si="32"/>
        <v>0.03</v>
      </c>
      <c r="T57">
        <f t="shared" si="32"/>
        <v>0.03</v>
      </c>
      <c r="U57">
        <f t="shared" si="32"/>
        <v>0.03</v>
      </c>
      <c r="V57">
        <f t="shared" si="32"/>
        <v>0.03</v>
      </c>
      <c r="W57">
        <f t="shared" si="32"/>
        <v>0.03</v>
      </c>
      <c r="X57">
        <f t="shared" si="32"/>
        <v>0.03</v>
      </c>
      <c r="Y57">
        <f t="shared" si="32"/>
        <v>0.03</v>
      </c>
      <c r="Z57">
        <f t="shared" si="32"/>
        <v>0.03</v>
      </c>
      <c r="AA57">
        <f t="shared" si="32"/>
        <v>0.03</v>
      </c>
      <c r="AB57">
        <f t="shared" si="32"/>
        <v>0.03</v>
      </c>
      <c r="AC57">
        <f t="shared" si="32"/>
        <v>0.03</v>
      </c>
      <c r="AD57">
        <f t="shared" si="32"/>
        <v>0.03</v>
      </c>
      <c r="AE57">
        <f t="shared" si="32"/>
        <v>0.03</v>
      </c>
      <c r="AF57">
        <f t="shared" si="32"/>
        <v>0.03</v>
      </c>
      <c r="AG57">
        <f t="shared" si="32"/>
        <v>0.03</v>
      </c>
      <c r="AH57">
        <f t="shared" si="32"/>
        <v>0.03</v>
      </c>
      <c r="AI57">
        <f t="shared" ref="AI57:BJ57" si="33">AI21</f>
        <v>0.03</v>
      </c>
      <c r="AJ57">
        <f t="shared" si="33"/>
        <v>0.03</v>
      </c>
      <c r="AK57">
        <f t="shared" si="33"/>
        <v>0.03</v>
      </c>
      <c r="AL57">
        <f t="shared" si="33"/>
        <v>0.03</v>
      </c>
      <c r="AM57">
        <f t="shared" si="33"/>
        <v>0.03</v>
      </c>
      <c r="AN57">
        <f t="shared" si="33"/>
        <v>0.03</v>
      </c>
      <c r="AO57">
        <f t="shared" si="33"/>
        <v>0.03</v>
      </c>
      <c r="AP57">
        <f t="shared" si="33"/>
        <v>0.03</v>
      </c>
      <c r="AQ57">
        <f t="shared" si="33"/>
        <v>0.03</v>
      </c>
      <c r="AR57">
        <f t="shared" si="33"/>
        <v>0.03</v>
      </c>
      <c r="AS57">
        <f t="shared" si="33"/>
        <v>0.03</v>
      </c>
      <c r="AT57">
        <f t="shared" si="33"/>
        <v>0.03</v>
      </c>
      <c r="AU57">
        <f t="shared" si="33"/>
        <v>0.03</v>
      </c>
      <c r="AV57">
        <f t="shared" si="33"/>
        <v>0.03</v>
      </c>
      <c r="AW57">
        <f t="shared" si="33"/>
        <v>0.03</v>
      </c>
      <c r="AX57">
        <f t="shared" si="33"/>
        <v>0.03</v>
      </c>
      <c r="AY57">
        <f t="shared" si="33"/>
        <v>0.03</v>
      </c>
      <c r="AZ57">
        <f t="shared" si="33"/>
        <v>0.03</v>
      </c>
      <c r="BA57">
        <f t="shared" si="33"/>
        <v>0.03</v>
      </c>
      <c r="BB57">
        <f t="shared" si="33"/>
        <v>0.03</v>
      </c>
      <c r="BC57">
        <f t="shared" si="33"/>
        <v>0.03</v>
      </c>
      <c r="BD57">
        <f t="shared" si="33"/>
        <v>0.03</v>
      </c>
      <c r="BE57">
        <f t="shared" si="33"/>
        <v>0.03</v>
      </c>
      <c r="BF57">
        <f t="shared" si="33"/>
        <v>0.03</v>
      </c>
      <c r="BG57">
        <f t="shared" si="33"/>
        <v>0.03</v>
      </c>
      <c r="BH57">
        <f t="shared" si="33"/>
        <v>0.03</v>
      </c>
      <c r="BI57">
        <f t="shared" si="33"/>
        <v>0.03</v>
      </c>
      <c r="BJ57">
        <f t="shared" si="33"/>
        <v>0.03</v>
      </c>
      <c r="BL57">
        <f t="shared" si="29"/>
        <v>3.0000000000000009E-2</v>
      </c>
      <c r="BM57">
        <f t="shared" si="29"/>
        <v>3.0000000000000009E-2</v>
      </c>
      <c r="BN57">
        <f t="shared" si="29"/>
        <v>3.0000000000000009E-2</v>
      </c>
      <c r="BO57">
        <f t="shared" si="29"/>
        <v>3.0000000000000009E-2</v>
      </c>
      <c r="BP57">
        <f t="shared" si="29"/>
        <v>3.0000000000000009E-2</v>
      </c>
      <c r="BQ57">
        <f>AVERAGE(BL57:BP57)</f>
        <v>3.0000000000000009E-2</v>
      </c>
    </row>
    <row r="58" spans="1:69" ht="13" customHeight="1">
      <c r="A58" t="s">
        <v>232</v>
      </c>
      <c r="B58" t="s">
        <v>233</v>
      </c>
      <c r="C58">
        <f>C54*1000000*C57*(1-(1-Assumptions!$B$38)*C48)</f>
        <v>243843.9444675</v>
      </c>
      <c r="D58">
        <f>D54*1000000*D57*(1-(1-Assumptions!$B$38)*D48)</f>
        <v>244837.39488115374</v>
      </c>
      <c r="E58">
        <f>E54*1000000*E57*(1-(1-Assumptions!$B$38)*E48)</f>
        <v>286807.3748572265</v>
      </c>
      <c r="F58">
        <f>F54*1000000*F57*(1-(1-Assumptions!$B$38)*F48)</f>
        <v>301688.99996657512</v>
      </c>
      <c r="G58">
        <f>G54*1000000*G57*(1-(1-Assumptions!$B$38)*G48)</f>
        <v>220304.08603389381</v>
      </c>
      <c r="H58">
        <f>H54*1000000*H57*(1-(1-Assumptions!$B$38)*H48)</f>
        <v>276502.04018804926</v>
      </c>
      <c r="I58">
        <f>I54*1000000*I57*(1-(1-Assumptions!$B$38)*I48)</f>
        <v>249865.68935358603</v>
      </c>
      <c r="J58">
        <f>J54*1000000*J57*(1-(1-Assumptions!$B$38)*J48)</f>
        <v>250883.67310129912</v>
      </c>
      <c r="K58">
        <f>K54*1000000*K57*(1-(1-Assumptions!$B$38)*K48)</f>
        <v>321879.63875214633</v>
      </c>
      <c r="L58">
        <f>L54*1000000*L57*(1-(1-Assumptions!$B$38)*L48)</f>
        <v>281035.66629900748</v>
      </c>
      <c r="M58">
        <f>M54*1000000*M57*(1-(1-Assumptions!$B$38)*M48)</f>
        <v>310398.70443024271</v>
      </c>
      <c r="N58">
        <f>N54*1000000*N57*(1-(1-Assumptions!$B$38)*N48)</f>
        <v>339996.33509931876</v>
      </c>
      <c r="O58">
        <f>O54*1000000*O57*(1-(1-Assumptions!$B$38)*O48)</f>
        <v>257568.12033750015</v>
      </c>
      <c r="P58">
        <f>P54*1000000*P57*(1-(1-Assumptions!$B$38)*P48)</f>
        <v>258617.48474247675</v>
      </c>
      <c r="Q58">
        <f>Q54*1000000*Q57*(1-(1-Assumptions!$B$38)*Q48)</f>
        <v>302949.64511925558</v>
      </c>
      <c r="R58">
        <f>R54*1000000*R57*(1-(1-Assumptions!$B$38)*R48)</f>
        <v>318668.8470676688</v>
      </c>
      <c r="S58">
        <f>S54*1000000*S57*(1-(1-Assumptions!$B$38)*S48)</f>
        <v>232703.37701571998</v>
      </c>
      <c r="T58">
        <f>T54*1000000*T57*(1-(1-Assumptions!$B$38)*T48)</f>
        <v>292064.29922319372</v>
      </c>
      <c r="U58">
        <f>U54*1000000*U57*(1-(1-Assumptions!$B$38)*U48)</f>
        <v>263928.78479791217</v>
      </c>
      <c r="V58">
        <f>V54*1000000*V57*(1-(1-Assumptions!$B$38)*V48)</f>
        <v>265004.06333724677</v>
      </c>
      <c r="W58">
        <f>W54*1000000*W57*(1-(1-Assumptions!$B$38)*W48)</f>
        <v>339995.86788735597</v>
      </c>
      <c r="X58">
        <f>X54*1000000*X57*(1-(1-Assumptions!$B$38)*X48)</f>
        <v>296853.08968613739</v>
      </c>
      <c r="Y58">
        <f>Y54*1000000*Y57*(1-(1-Assumptions!$B$38)*Y48)</f>
        <v>327868.75651098497</v>
      </c>
      <c r="Z58">
        <f>Z54*1000000*Z57*(1-(1-Assumptions!$B$38)*Z48)</f>
        <v>359132.21935614711</v>
      </c>
      <c r="AA58">
        <f>AA54*1000000*AA57*(1-(1-Assumptions!$B$38)*AA48)</f>
        <v>270135.15086250036</v>
      </c>
      <c r="AB58">
        <f>AB54*1000000*AB57*(1-(1-Assumptions!$B$38)*AB48)</f>
        <v>271235.71490542864</v>
      </c>
      <c r="AC58">
        <f>AC54*1000000*AC57*(1-(1-Assumptions!$B$38)*AC48)</f>
        <v>317730.88991291641</v>
      </c>
      <c r="AD58">
        <f>AD54*1000000*AD57*(1-(1-Assumptions!$B$38)*AD48)</f>
        <v>334217.04893061094</v>
      </c>
      <c r="AE58">
        <f>AE54*1000000*AE57*(1-(1-Assumptions!$B$38)*AE48)</f>
        <v>244057.22949713448</v>
      </c>
      <c r="AF58">
        <f>AF54*1000000*AF57*(1-(1-Assumptions!$B$38)*AF48)</f>
        <v>306314.43607550004</v>
      </c>
      <c r="AG58">
        <f>AG54*1000000*AG57*(1-(1-Assumptions!$B$38)*AG48)</f>
        <v>276806.15910431108</v>
      </c>
      <c r="AH58">
        <f>AH54*1000000*AH57*(1-(1-Assumptions!$B$38)*AH48)</f>
        <v>277933.90166057827</v>
      </c>
      <c r="AI58">
        <f>AI54*1000000*AI57*(1-(1-Assumptions!$B$38)*AI48)</f>
        <v>356584.6384406201</v>
      </c>
      <c r="AJ58">
        <f>AJ54*1000000*AJ57*(1-(1-Assumptions!$B$38)*AJ48)</f>
        <v>311336.87686693459</v>
      </c>
      <c r="AK58">
        <f>AK54*1000000*AK57*(1-(1-Assumptions!$B$38)*AK48)</f>
        <v>343865.83202587557</v>
      </c>
      <c r="AL58">
        <f>AL54*1000000*AL57*(1-(1-Assumptions!$B$38)*AL48)</f>
        <v>376654.67344419943</v>
      </c>
      <c r="AM58">
        <f>AM54*1000000*AM57*(1-(1-Assumptions!$B$38)*AM48)</f>
        <v>283641.90840562549</v>
      </c>
      <c r="AN58">
        <f>AN54*1000000*AN57*(1-(1-Assumptions!$B$38)*AN48)</f>
        <v>284797.50065070036</v>
      </c>
      <c r="AO58">
        <f>AO54*1000000*AO57*(1-(1-Assumptions!$B$38)*AO48)</f>
        <v>333617.43440856255</v>
      </c>
      <c r="AP58">
        <f>AP54*1000000*AP57*(1-(1-Assumptions!$B$38)*AP48)</f>
        <v>350927.90137714171</v>
      </c>
      <c r="AQ58">
        <f>AQ54*1000000*AQ57*(1-(1-Assumptions!$B$38)*AQ48)</f>
        <v>256260.09097199136</v>
      </c>
      <c r="AR58">
        <f>AR54*1000000*AR57*(1-(1-Assumptions!$B$38)*AR48)</f>
        <v>321630.15787927527</v>
      </c>
      <c r="AS58">
        <f>AS54*1000000*AS57*(1-(1-Assumptions!$B$38)*AS48)</f>
        <v>290646.46705952683</v>
      </c>
      <c r="AT58">
        <f>AT54*1000000*AT57*(1-(1-Assumptions!$B$38)*AT48)</f>
        <v>291830.59674360743</v>
      </c>
      <c r="AU58">
        <f>AU54*1000000*AU57*(1-(1-Assumptions!$B$38)*AU48)</f>
        <v>374413.87036265148</v>
      </c>
      <c r="AV58">
        <f>AV54*1000000*AV57*(1-(1-Assumptions!$B$38)*AV48)</f>
        <v>326903.72071028157</v>
      </c>
      <c r="AW58">
        <f>AW54*1000000*AW57*(1-(1-Assumptions!$B$38)*AW48)</f>
        <v>361059.12362716958</v>
      </c>
      <c r="AX58">
        <f>AX54*1000000*AX57*(1-(1-Assumptions!$B$38)*AX48)</f>
        <v>395487.40711640968</v>
      </c>
      <c r="AY58">
        <f>AY54*1000000*AY57*(1-(1-Assumptions!$B$38)*AY48)</f>
        <v>297824.00382590707</v>
      </c>
      <c r="AZ58">
        <f>AZ54*1000000*AZ57*(1-(1-Assumptions!$B$38)*AZ48)</f>
        <v>299037.37568323559</v>
      </c>
      <c r="BA58">
        <f>BA54*1000000*BA57*(1-(1-Assumptions!$B$38)*BA48)</f>
        <v>350298.30612899084</v>
      </c>
      <c r="BB58">
        <f>BB54*1000000*BB57*(1-(1-Assumptions!$B$38)*BB48)</f>
        <v>368474.29644599906</v>
      </c>
      <c r="BC58">
        <f>BC54*1000000*BC57*(1-(1-Assumptions!$B$38)*BC48)</f>
        <v>269073.09552059113</v>
      </c>
      <c r="BD58">
        <f>BD54*1000000*BD57*(1-(1-Assumptions!$B$38)*BD48)</f>
        <v>337711.66577323922</v>
      </c>
      <c r="BE58">
        <f>BE54*1000000*BE57*(1-(1-Assumptions!$B$38)*BE48)</f>
        <v>305178.79041250335</v>
      </c>
      <c r="BF58">
        <f>BF54*1000000*BF57*(1-(1-Assumptions!$B$38)*BF48)</f>
        <v>306422.126580788</v>
      </c>
      <c r="BG58">
        <f>BG54*1000000*BG57*(1-(1-Assumptions!$B$38)*BG48)</f>
        <v>393134.56388078432</v>
      </c>
      <c r="BH58">
        <f>BH54*1000000*BH57*(1-(1-Assumptions!$B$38)*BH48)</f>
        <v>343248.90674579586</v>
      </c>
      <c r="BI58">
        <f>BI54*1000000*BI57*(1-(1-Assumptions!$B$38)*BI48)</f>
        <v>379112.0798085283</v>
      </c>
      <c r="BJ58">
        <f>BJ54*1000000*BJ57*(1-(1-Assumptions!$B$38)*BJ48)</f>
        <v>415261.77747223043</v>
      </c>
      <c r="BL58">
        <f t="shared" ref="BL58:BP59" si="34">SUMIF($C$2:$BJ$2,BL$2,$C58:$BJ58)</f>
        <v>3328043.5474299984</v>
      </c>
      <c r="BM58">
        <f t="shared" si="34"/>
        <v>3515354.5550815989</v>
      </c>
      <c r="BN58">
        <f t="shared" si="34"/>
        <v>3686872.5517266095</v>
      </c>
      <c r="BO58">
        <f t="shared" si="34"/>
        <v>3871216.1793129435</v>
      </c>
      <c r="BP58">
        <f t="shared" si="34"/>
        <v>4064776.9882785939</v>
      </c>
      <c r="BQ58">
        <f>BL58+BM58+BN58+BO58+BP58</f>
        <v>18466263.821829744</v>
      </c>
    </row>
    <row r="59" spans="1:69" ht="13" customHeight="1">
      <c r="A59" t="s">
        <v>257</v>
      </c>
      <c r="B59" t="s">
        <v>233</v>
      </c>
      <c r="C59">
        <f>C58*Assumptions!$B$16</f>
        <v>90222.259452974991</v>
      </c>
      <c r="D59">
        <f>D58*Assumptions!$B$16</f>
        <v>90589.83610602688</v>
      </c>
      <c r="E59">
        <f>E58*Assumptions!$B$16</f>
        <v>106118.72869717381</v>
      </c>
      <c r="F59">
        <f>F58*Assumptions!$B$16</f>
        <v>111624.9299876328</v>
      </c>
      <c r="G59">
        <f>G58*Assumptions!$B$16</f>
        <v>81512.511832540709</v>
      </c>
      <c r="H59">
        <f>H58*Assumptions!$B$16</f>
        <v>102305.75486957822</v>
      </c>
      <c r="I59">
        <f>I58*Assumptions!$B$16</f>
        <v>92450.305060826824</v>
      </c>
      <c r="J59">
        <f>J58*Assumptions!$B$16</f>
        <v>92826.959047480676</v>
      </c>
      <c r="K59">
        <f>K58*Assumptions!$B$16</f>
        <v>119095.46633829414</v>
      </c>
      <c r="L59">
        <f>L58*Assumptions!$B$16</f>
        <v>103983.19653063276</v>
      </c>
      <c r="M59">
        <f>M58*Assumptions!$B$16</f>
        <v>114847.5206391898</v>
      </c>
      <c r="N59">
        <f>N58*Assumptions!$B$16</f>
        <v>125798.64398674793</v>
      </c>
      <c r="O59">
        <f>O58*Assumptions!$B$16</f>
        <v>95300.204524875051</v>
      </c>
      <c r="P59">
        <f>P58*Assumptions!$B$16</f>
        <v>95688.469354716392</v>
      </c>
      <c r="Q59">
        <f>Q58*Assumptions!$B$16</f>
        <v>112091.36869412457</v>
      </c>
      <c r="R59">
        <f>R58*Assumptions!$B$16</f>
        <v>117907.47341503746</v>
      </c>
      <c r="S59">
        <f>S58*Assumptions!$B$16</f>
        <v>86100.249495816388</v>
      </c>
      <c r="T59">
        <f>T58*Assumptions!$B$16</f>
        <v>108063.79071258167</v>
      </c>
      <c r="U59">
        <f>U58*Assumptions!$B$16</f>
        <v>97653.650375227502</v>
      </c>
      <c r="V59">
        <f>V58*Assumptions!$B$16</f>
        <v>98051.503434781305</v>
      </c>
      <c r="W59">
        <f>W58*Assumptions!$B$16</f>
        <v>125798.4711183217</v>
      </c>
      <c r="X59">
        <f>X58*Assumptions!$B$16</f>
        <v>109835.64318387084</v>
      </c>
      <c r="Y59">
        <f>Y58*Assumptions!$B$16</f>
        <v>121311.43990906443</v>
      </c>
      <c r="Z59">
        <f>Z58*Assumptions!$B$16</f>
        <v>132878.92116177443</v>
      </c>
      <c r="AA59">
        <f>AA58*Assumptions!$B$16</f>
        <v>99950.00581912513</v>
      </c>
      <c r="AB59">
        <f>AB58*Assumptions!$B$16</f>
        <v>100357.2145150086</v>
      </c>
      <c r="AC59">
        <f>AC58*Assumptions!$B$16</f>
        <v>117560.42926777907</v>
      </c>
      <c r="AD59">
        <f>AD58*Assumptions!$B$16</f>
        <v>123660.30810432605</v>
      </c>
      <c r="AE59">
        <f>AE58*Assumptions!$B$16</f>
        <v>90301.174913939758</v>
      </c>
      <c r="AF59">
        <f>AF58*Assumptions!$B$16</f>
        <v>113336.34134793501</v>
      </c>
      <c r="AG59">
        <f>AG58*Assumptions!$B$16</f>
        <v>102418.27886859509</v>
      </c>
      <c r="AH59">
        <f>AH58*Assumptions!$B$16</f>
        <v>102835.54361441395</v>
      </c>
      <c r="AI59">
        <f>AI58*Assumptions!$B$16</f>
        <v>131936.31622302943</v>
      </c>
      <c r="AJ59">
        <f>AJ58*Assumptions!$B$16</f>
        <v>115194.6444407658</v>
      </c>
      <c r="AK59">
        <f>AK58*Assumptions!$B$16</f>
        <v>127230.35784957396</v>
      </c>
      <c r="AL59">
        <f>AL58*Assumptions!$B$16</f>
        <v>139362.22917435379</v>
      </c>
      <c r="AM59">
        <f>AM58*Assumptions!$B$16</f>
        <v>104947.50611008143</v>
      </c>
      <c r="AN59">
        <f>AN58*Assumptions!$B$16</f>
        <v>105375.07524075914</v>
      </c>
      <c r="AO59">
        <f>AO58*Assumptions!$B$16</f>
        <v>123438.45073116814</v>
      </c>
      <c r="AP59">
        <f>AP58*Assumptions!$B$16</f>
        <v>129843.32350954243</v>
      </c>
      <c r="AQ59">
        <f>AQ58*Assumptions!$B$16</f>
        <v>94816.233659636797</v>
      </c>
      <c r="AR59">
        <f>AR58*Assumptions!$B$16</f>
        <v>119003.15841533185</v>
      </c>
      <c r="AS59">
        <f>AS58*Assumptions!$B$16</f>
        <v>107539.19281202492</v>
      </c>
      <c r="AT59">
        <f>AT58*Assumptions!$B$16</f>
        <v>107977.32079513474</v>
      </c>
      <c r="AU59">
        <f>AU58*Assumptions!$B$16</f>
        <v>138533.13203418104</v>
      </c>
      <c r="AV59">
        <f>AV58*Assumptions!$B$16</f>
        <v>120954.37666280418</v>
      </c>
      <c r="AW59">
        <f>AW58*Assumptions!$B$16</f>
        <v>133591.87574205274</v>
      </c>
      <c r="AX59">
        <f>AX58*Assumptions!$B$16</f>
        <v>146330.34063307158</v>
      </c>
      <c r="AY59">
        <f>AY58*Assumptions!$B$16</f>
        <v>110194.88141558561</v>
      </c>
      <c r="AZ59">
        <f>AZ58*Assumptions!$B$16</f>
        <v>110643.82900279717</v>
      </c>
      <c r="BA59">
        <f>BA58*Assumptions!$B$16</f>
        <v>129610.37326772661</v>
      </c>
      <c r="BB59">
        <f>BB58*Assumptions!$B$16</f>
        <v>136335.48968501965</v>
      </c>
      <c r="BC59">
        <f>BC58*Assumptions!$B$16</f>
        <v>99557.045342618716</v>
      </c>
      <c r="BD59">
        <f>BD58*Assumptions!$B$16</f>
        <v>124953.31633609851</v>
      </c>
      <c r="BE59">
        <f>BE58*Assumptions!$B$16</f>
        <v>112916.15245262624</v>
      </c>
      <c r="BF59">
        <f>BF58*Assumptions!$B$16</f>
        <v>113376.18683489156</v>
      </c>
      <c r="BG59">
        <f>BG58*Assumptions!$B$16</f>
        <v>145459.7886358902</v>
      </c>
      <c r="BH59">
        <f>BH58*Assumptions!$B$16</f>
        <v>127002.09549594446</v>
      </c>
      <c r="BI59">
        <f>BI58*Assumptions!$B$16</f>
        <v>140271.46952915547</v>
      </c>
      <c r="BJ59">
        <f>BJ58*Assumptions!$B$16</f>
        <v>153646.85766472525</v>
      </c>
      <c r="BL59">
        <f t="shared" si="34"/>
        <v>1231376.1125490994</v>
      </c>
      <c r="BM59">
        <f t="shared" si="34"/>
        <v>1300681.1853801915</v>
      </c>
      <c r="BN59">
        <f t="shared" si="34"/>
        <v>1364142.8441388458</v>
      </c>
      <c r="BO59">
        <f t="shared" si="34"/>
        <v>1432349.9863457889</v>
      </c>
      <c r="BP59">
        <f t="shared" si="34"/>
        <v>1503967.4856630792</v>
      </c>
      <c r="BQ59">
        <f>BL59+BM59+BN59+BO59+BP59</f>
        <v>6832517.6140770037</v>
      </c>
    </row>
    <row r="60" spans="1:69" ht="13" customHeight="1">
      <c r="A60" t="s">
        <v>235</v>
      </c>
      <c r="B60" t="s">
        <v>87</v>
      </c>
      <c r="C60">
        <f>Assumptions!$B$17</f>
        <v>0.1</v>
      </c>
      <c r="D60">
        <f>Assumptions!$B$17</f>
        <v>0.1</v>
      </c>
      <c r="E60">
        <f>Assumptions!$B$17</f>
        <v>0.1</v>
      </c>
      <c r="F60">
        <f>Assumptions!$B$17</f>
        <v>0.1</v>
      </c>
      <c r="G60">
        <f>Assumptions!$B$17</f>
        <v>0.1</v>
      </c>
      <c r="H60">
        <f>Assumptions!$B$17</f>
        <v>0.1</v>
      </c>
      <c r="I60">
        <f>Assumptions!$B$17</f>
        <v>0.1</v>
      </c>
      <c r="J60">
        <f>Assumptions!$B$17</f>
        <v>0.1</v>
      </c>
      <c r="K60">
        <f>Assumptions!$B$17</f>
        <v>0.1</v>
      </c>
      <c r="L60">
        <f>Assumptions!$B$17</f>
        <v>0.1</v>
      </c>
      <c r="M60">
        <f>Assumptions!$B$17</f>
        <v>0.1</v>
      </c>
      <c r="N60">
        <f>Assumptions!$B$17</f>
        <v>0.1</v>
      </c>
      <c r="O60">
        <f>Assumptions!$B$17</f>
        <v>0.1</v>
      </c>
      <c r="P60">
        <f>Assumptions!$B$17</f>
        <v>0.1</v>
      </c>
      <c r="Q60">
        <f>Assumptions!$B$17</f>
        <v>0.1</v>
      </c>
      <c r="R60">
        <f>Assumptions!$B$17</f>
        <v>0.1</v>
      </c>
      <c r="S60">
        <f>Assumptions!$B$17</f>
        <v>0.1</v>
      </c>
      <c r="T60">
        <f>Assumptions!$B$17</f>
        <v>0.1</v>
      </c>
      <c r="U60">
        <f>Assumptions!$B$17</f>
        <v>0.1</v>
      </c>
      <c r="V60">
        <f>Assumptions!$B$17</f>
        <v>0.1</v>
      </c>
      <c r="W60">
        <f>Assumptions!$B$17</f>
        <v>0.1</v>
      </c>
      <c r="X60">
        <f>Assumptions!$B$17</f>
        <v>0.1</v>
      </c>
      <c r="Y60">
        <f>Assumptions!$B$17</f>
        <v>0.1</v>
      </c>
      <c r="Z60">
        <f>Assumptions!$B$17</f>
        <v>0.1</v>
      </c>
      <c r="AA60">
        <f>Assumptions!$B$17</f>
        <v>0.1</v>
      </c>
      <c r="AB60">
        <f>Assumptions!$B$17</f>
        <v>0.1</v>
      </c>
      <c r="AC60">
        <f>Assumptions!$B$17</f>
        <v>0.1</v>
      </c>
      <c r="AD60">
        <f>Assumptions!$B$17</f>
        <v>0.1</v>
      </c>
      <c r="AE60">
        <f>Assumptions!$B$17</f>
        <v>0.1</v>
      </c>
      <c r="AF60">
        <f>Assumptions!$B$17</f>
        <v>0.1</v>
      </c>
      <c r="AG60">
        <f>Assumptions!$B$17</f>
        <v>0.1</v>
      </c>
      <c r="AH60">
        <f>Assumptions!$B$17</f>
        <v>0.1</v>
      </c>
      <c r="AI60">
        <f>Assumptions!$B$17</f>
        <v>0.1</v>
      </c>
      <c r="AJ60">
        <f>Assumptions!$B$17</f>
        <v>0.1</v>
      </c>
      <c r="AK60">
        <f>Assumptions!$B$17</f>
        <v>0.1</v>
      </c>
      <c r="AL60">
        <f>Assumptions!$B$17</f>
        <v>0.1</v>
      </c>
      <c r="AM60">
        <f>Assumptions!$B$17</f>
        <v>0.1</v>
      </c>
      <c r="AN60">
        <f>Assumptions!$B$17</f>
        <v>0.1</v>
      </c>
      <c r="AO60">
        <f>Assumptions!$B$17</f>
        <v>0.1</v>
      </c>
      <c r="AP60">
        <f>Assumptions!$B$17</f>
        <v>0.1</v>
      </c>
      <c r="AQ60">
        <f>Assumptions!$B$17</f>
        <v>0.1</v>
      </c>
      <c r="AR60">
        <f>Assumptions!$B$17</f>
        <v>0.1</v>
      </c>
      <c r="AS60">
        <f>Assumptions!$B$17</f>
        <v>0.1</v>
      </c>
      <c r="AT60">
        <f>Assumptions!$B$17</f>
        <v>0.1</v>
      </c>
      <c r="AU60">
        <f>Assumptions!$B$17</f>
        <v>0.1</v>
      </c>
      <c r="AV60">
        <f>Assumptions!$B$17</f>
        <v>0.1</v>
      </c>
      <c r="AW60">
        <f>Assumptions!$B$17</f>
        <v>0.1</v>
      </c>
      <c r="AX60">
        <f>Assumptions!$B$17</f>
        <v>0.1</v>
      </c>
      <c r="AY60">
        <f>Assumptions!$B$17</f>
        <v>0.1</v>
      </c>
      <c r="AZ60">
        <f>Assumptions!$B$17</f>
        <v>0.1</v>
      </c>
      <c r="BA60">
        <f>Assumptions!$B$17</f>
        <v>0.1</v>
      </c>
      <c r="BB60">
        <f>Assumptions!$B$17</f>
        <v>0.1</v>
      </c>
      <c r="BC60">
        <f>Assumptions!$B$17</f>
        <v>0.1</v>
      </c>
      <c r="BD60">
        <f>Assumptions!$B$17</f>
        <v>0.1</v>
      </c>
      <c r="BE60">
        <f>Assumptions!$B$17</f>
        <v>0.1</v>
      </c>
      <c r="BF60">
        <f>Assumptions!$B$17</f>
        <v>0.1</v>
      </c>
      <c r="BG60">
        <f>Assumptions!$B$17</f>
        <v>0.1</v>
      </c>
      <c r="BH60">
        <f>Assumptions!$B$17</f>
        <v>0.1</v>
      </c>
      <c r="BI60">
        <f>Assumptions!$B$17</f>
        <v>0.1</v>
      </c>
      <c r="BJ60">
        <f>Assumptions!$B$17</f>
        <v>0.1</v>
      </c>
      <c r="BL60">
        <f>AVERAGEIFS($C60:$BJ60,$C$2:$BJ$2,BL$2)</f>
        <v>9.9999999999999992E-2</v>
      </c>
      <c r="BM60">
        <f>AVERAGEIFS($C60:$BJ60,$C$2:$BJ$2,BM$2)</f>
        <v>9.9999999999999992E-2</v>
      </c>
      <c r="BN60">
        <f>AVERAGEIFS($C60:$BJ60,$C$2:$BJ$2,BN$2)</f>
        <v>9.9999999999999992E-2</v>
      </c>
      <c r="BO60">
        <f>AVERAGEIFS($C60:$BJ60,$C$2:$BJ$2,BO$2)</f>
        <v>9.9999999999999992E-2</v>
      </c>
      <c r="BP60">
        <f>AVERAGEIFS($C60:$BJ60,$C$2:$BJ$2,BP$2)</f>
        <v>9.9999999999999992E-2</v>
      </c>
      <c r="BQ60">
        <f>AVERAGE(BL60:BP60)</f>
        <v>9.9999999999999992E-2</v>
      </c>
    </row>
    <row r="61" spans="1:69" ht="13" customHeight="1">
      <c r="A61" t="s">
        <v>236</v>
      </c>
      <c r="B61" t="s">
        <v>233</v>
      </c>
      <c r="C61">
        <f t="shared" ref="C61:AH61" si="35">C59*(1-C60)</f>
        <v>81200.033507677494</v>
      </c>
      <c r="D61">
        <f t="shared" si="35"/>
        <v>81530.852495424188</v>
      </c>
      <c r="E61">
        <f t="shared" si="35"/>
        <v>95506.855827456428</v>
      </c>
      <c r="F61">
        <f t="shared" si="35"/>
        <v>100462.43698886952</v>
      </c>
      <c r="G61">
        <f t="shared" si="35"/>
        <v>73361.260649286647</v>
      </c>
      <c r="H61">
        <f t="shared" si="35"/>
        <v>92075.179382620394</v>
      </c>
      <c r="I61">
        <f t="shared" si="35"/>
        <v>83205.274554744145</v>
      </c>
      <c r="J61">
        <f t="shared" si="35"/>
        <v>83544.263142732612</v>
      </c>
      <c r="K61">
        <f t="shared" si="35"/>
        <v>107185.91970446473</v>
      </c>
      <c r="L61">
        <f t="shared" si="35"/>
        <v>93584.876877569492</v>
      </c>
      <c r="M61">
        <f t="shared" si="35"/>
        <v>103362.76857527082</v>
      </c>
      <c r="N61">
        <f t="shared" si="35"/>
        <v>113218.77958807314</v>
      </c>
      <c r="O61">
        <f t="shared" si="35"/>
        <v>85770.18407238755</v>
      </c>
      <c r="P61">
        <f t="shared" si="35"/>
        <v>86119.622419244755</v>
      </c>
      <c r="Q61">
        <f t="shared" si="35"/>
        <v>100882.23182471211</v>
      </c>
      <c r="R61">
        <f t="shared" si="35"/>
        <v>106116.72607353372</v>
      </c>
      <c r="S61">
        <f t="shared" si="35"/>
        <v>77490.224546234749</v>
      </c>
      <c r="T61">
        <f t="shared" si="35"/>
        <v>97257.411641323502</v>
      </c>
      <c r="U61">
        <f t="shared" si="35"/>
        <v>87888.285337704758</v>
      </c>
      <c r="V61">
        <f t="shared" si="35"/>
        <v>88246.353091303172</v>
      </c>
      <c r="W61">
        <f t="shared" si="35"/>
        <v>113218.62400648954</v>
      </c>
      <c r="X61">
        <f t="shared" si="35"/>
        <v>98852.078865483752</v>
      </c>
      <c r="Y61">
        <f t="shared" si="35"/>
        <v>109180.29591815799</v>
      </c>
      <c r="Z61">
        <f t="shared" si="35"/>
        <v>119591.029045597</v>
      </c>
      <c r="AA61">
        <f t="shared" si="35"/>
        <v>89955.005237212623</v>
      </c>
      <c r="AB61">
        <f t="shared" si="35"/>
        <v>90321.493063507747</v>
      </c>
      <c r="AC61">
        <f t="shared" si="35"/>
        <v>105804.38634100115</v>
      </c>
      <c r="AD61">
        <f t="shared" si="35"/>
        <v>111294.27729389345</v>
      </c>
      <c r="AE61">
        <f t="shared" si="35"/>
        <v>81271.057422545782</v>
      </c>
      <c r="AF61">
        <f t="shared" si="35"/>
        <v>102002.70721314152</v>
      </c>
      <c r="AG61">
        <f t="shared" si="35"/>
        <v>92176.450981735587</v>
      </c>
      <c r="AH61">
        <f t="shared" si="35"/>
        <v>92551.989252972562</v>
      </c>
      <c r="AI61">
        <f t="shared" ref="AI61:BN61" si="36">AI59*(1-AI60)</f>
        <v>118742.68460072648</v>
      </c>
      <c r="AJ61">
        <f t="shared" si="36"/>
        <v>103675.17999668921</v>
      </c>
      <c r="AK61">
        <f t="shared" si="36"/>
        <v>114507.32206461657</v>
      </c>
      <c r="AL61">
        <f t="shared" si="36"/>
        <v>125426.00625691842</v>
      </c>
      <c r="AM61">
        <f t="shared" si="36"/>
        <v>94452.75549907329</v>
      </c>
      <c r="AN61">
        <f t="shared" si="36"/>
        <v>94837.567716683217</v>
      </c>
      <c r="AO61">
        <f t="shared" si="36"/>
        <v>111094.60565805133</v>
      </c>
      <c r="AP61">
        <f t="shared" si="36"/>
        <v>116858.99115858819</v>
      </c>
      <c r="AQ61">
        <f t="shared" si="36"/>
        <v>85334.610293673119</v>
      </c>
      <c r="AR61">
        <f t="shared" si="36"/>
        <v>107102.84257379867</v>
      </c>
      <c r="AS61">
        <f t="shared" si="36"/>
        <v>96785.273530822436</v>
      </c>
      <c r="AT61">
        <f t="shared" si="36"/>
        <v>97179.58871562127</v>
      </c>
      <c r="AU61">
        <f t="shared" si="36"/>
        <v>124679.81883076293</v>
      </c>
      <c r="AV61">
        <f t="shared" si="36"/>
        <v>108858.93899652376</v>
      </c>
      <c r="AW61">
        <f t="shared" si="36"/>
        <v>120232.68816784747</v>
      </c>
      <c r="AX61">
        <f t="shared" si="36"/>
        <v>131697.30656976442</v>
      </c>
      <c r="AY61">
        <f t="shared" si="36"/>
        <v>99175.393274027054</v>
      </c>
      <c r="AZ61">
        <f t="shared" si="36"/>
        <v>99579.446102517453</v>
      </c>
      <c r="BA61">
        <f t="shared" si="36"/>
        <v>116649.33594095396</v>
      </c>
      <c r="BB61">
        <f t="shared" si="36"/>
        <v>122701.9407165177</v>
      </c>
      <c r="BC61">
        <f t="shared" si="36"/>
        <v>89601.34080835685</v>
      </c>
      <c r="BD61">
        <f t="shared" si="36"/>
        <v>112457.98470248865</v>
      </c>
      <c r="BE61">
        <f t="shared" si="36"/>
        <v>101624.53720736361</v>
      </c>
      <c r="BF61">
        <f t="shared" si="36"/>
        <v>102038.5681514024</v>
      </c>
      <c r="BG61">
        <f t="shared" si="36"/>
        <v>130913.80977230119</v>
      </c>
      <c r="BH61">
        <f t="shared" si="36"/>
        <v>114301.88594635003</v>
      </c>
      <c r="BI61">
        <f t="shared" si="36"/>
        <v>126244.32257623992</v>
      </c>
      <c r="BJ61">
        <f t="shared" si="36"/>
        <v>138282.17189825274</v>
      </c>
      <c r="BL61">
        <f t="shared" ref="BL61:BP62" si="37">SUMIF($C$2:$BJ$2,BL$2,$C61:$BJ61)</f>
        <v>1108238.5012941896</v>
      </c>
      <c r="BM61">
        <f t="shared" si="37"/>
        <v>1170613.0668421725</v>
      </c>
      <c r="BN61">
        <f t="shared" si="37"/>
        <v>1227728.5597249609</v>
      </c>
      <c r="BO61">
        <f t="shared" si="37"/>
        <v>1289114.9877112103</v>
      </c>
      <c r="BP61">
        <f t="shared" si="37"/>
        <v>1353570.7370967716</v>
      </c>
      <c r="BQ61">
        <f>BL61+BM61+BN61+BO61+BP61</f>
        <v>6149265.8526693052</v>
      </c>
    </row>
    <row r="62" spans="1:69" ht="13" customHeight="1">
      <c r="A62" t="s">
        <v>237</v>
      </c>
      <c r="B62" t="s">
        <v>238</v>
      </c>
      <c r="C62">
        <f>C61*C56/1000000*(1+IF(C$2=2030,Assumptions!$B$60,IF(C$2=2029,Assumptions!$B$59,Assumptions!$B$58))*C53)*(1-Assumptions!$B$62*C53)</f>
        <v>208.69986683374319</v>
      </c>
      <c r="D62">
        <f>D61*D56/1000000*(1+IF(D$2=2030,Assumptions!$B$60,IF(D$2=2029,Assumptions!$B$59,Assumptions!$B$58))*D53)*(1-Assumptions!$B$62*D53)</f>
        <v>212.00499835775847</v>
      </c>
      <c r="E62">
        <f>E61*E56/1000000*(1+IF(E$2=2030,Assumptions!$B$60,IF(E$2=2029,Assumptions!$B$59,Assumptions!$B$58))*E53)*(1-Assumptions!$B$62*E53)</f>
        <v>251.25621789954678</v>
      </c>
      <c r="F62">
        <f>F61*F56/1000000*(1+IF(F$2=2030,Assumptions!$B$60,IF(F$2=2029,Assumptions!$B$59,Assumptions!$B$58))*F53)*(1-Assumptions!$B$62*F53)</f>
        <v>267.38936663285256</v>
      </c>
      <c r="G62">
        <f>G61*G56/1000000*(1+IF(G$2=2030,Assumptions!$B$60,IF(G$2=2029,Assumptions!$B$59,Assumptions!$B$58))*G53)*(1-Assumptions!$B$62*G53)</f>
        <v>197.5446910485679</v>
      </c>
      <c r="H62">
        <f>H61*H56/1000000*(1+IF(H$2=2030,Assumptions!$B$60,IF(H$2=2029,Assumptions!$B$59,Assumptions!$B$58))*H53)*(1-Assumptions!$B$62*H53)</f>
        <v>250.84145079198115</v>
      </c>
      <c r="I62">
        <f>I61*I56/1000000*(1+IF(I$2=2030,Assumptions!$B$60,IF(I$2=2029,Assumptions!$B$59,Assumptions!$B$58))*I53)*(1-Assumptions!$B$62*I53)</f>
        <v>229.33257195136903</v>
      </c>
      <c r="J62">
        <f>J61*J56/1000000*(1+IF(J$2=2030,Assumptions!$B$60,IF(J$2=2029,Assumptions!$B$59,Assumptions!$B$58))*J53)*(1-Assumptions!$B$62*J53)</f>
        <v>232.96445885450632</v>
      </c>
      <c r="K62">
        <f>K61*K56/1000000*(1+IF(K$2=2030,Assumptions!$B$60,IF(K$2=2029,Assumptions!$B$59,Assumptions!$B$58))*K53)*(1-Assumptions!$B$62*K53)</f>
        <v>302.39104730794344</v>
      </c>
      <c r="L62">
        <f>L61*L56/1000000*(1+IF(L$2=2030,Assumptions!$B$60,IF(L$2=2029,Assumptions!$B$59,Assumptions!$B$58))*L53)*(1-Assumptions!$B$62*L53)</f>
        <v>267.11299512062152</v>
      </c>
      <c r="M62">
        <f>M61*M56/1000000*(1+IF(M$2=2030,Assumptions!$B$60,IF(M$2=2029,Assumptions!$B$59,Assumptions!$B$58))*M53)*(1-Assumptions!$B$62*M53)</f>
        <v>298.47752203261138</v>
      </c>
      <c r="N62">
        <f>N61*N56/1000000*(1+IF(N$2=2030,Assumptions!$B$60,IF(N$2=2029,Assumptions!$B$59,Assumptions!$B$58))*N53)*(1-Assumptions!$B$62*N53)</f>
        <v>330.76848165676057</v>
      </c>
      <c r="O62">
        <f>O61*O56/1000000*(1+IF(O$2=2030,Assumptions!$B$60,IF(O$2=2029,Assumptions!$B$59,Assumptions!$B$58))*O53)*(1-Assumptions!$B$62*O53)</f>
        <v>277.14144431272075</v>
      </c>
      <c r="P62">
        <f>P61*P56/1000000*(1+IF(P$2=2030,Assumptions!$B$60,IF(P$2=2029,Assumptions!$B$59,Assumptions!$B$58))*P53)*(1-Assumptions!$B$62*P53)</f>
        <v>281.53046927045489</v>
      </c>
      <c r="Q62">
        <f>Q61*Q56/1000000*(1+IF(Q$2=2030,Assumptions!$B$60,IF(Q$2=2029,Assumptions!$B$59,Assumptions!$B$58))*Q53)*(1-Assumptions!$B$62*Q53)</f>
        <v>333.65383590160252</v>
      </c>
      <c r="R62">
        <f>R61*R56/1000000*(1+IF(R$2=2030,Assumptions!$B$60,IF(R$2=2029,Assumptions!$B$59,Assumptions!$B$58))*R53)*(1-Assumptions!$B$62*R53)</f>
        <v>355.07773141765557</v>
      </c>
      <c r="S62">
        <f>S61*S56/1000000*(1+IF(S$2=2030,Assumptions!$B$60,IF(S$2=2029,Assumptions!$B$59,Assumptions!$B$58))*S53)*(1-Assumptions!$B$62*S53)</f>
        <v>262.32801114877617</v>
      </c>
      <c r="T62">
        <f>T61*T56/1000000*(1+IF(T$2=2030,Assumptions!$B$60,IF(T$2=2029,Assumptions!$B$59,Assumptions!$B$58))*T53)*(1-Assumptions!$B$62*T53)</f>
        <v>333.10304898933441</v>
      </c>
      <c r="U62">
        <f>U61*U56/1000000*(1+IF(U$2=2030,Assumptions!$B$60,IF(U$2=2029,Assumptions!$B$59,Assumptions!$B$58))*U53)*(1-Assumptions!$B$62*U53)</f>
        <v>304.54049244403825</v>
      </c>
      <c r="V62">
        <f>V61*V56/1000000*(1+IF(V$2=2030,Assumptions!$B$60,IF(V$2=2029,Assumptions!$B$59,Assumptions!$B$58))*V53)*(1-Assumptions!$B$62*V53)</f>
        <v>309.3634297903173</v>
      </c>
      <c r="W62">
        <f>W61*W56/1000000*(1+IF(W$2=2030,Assumptions!$B$60,IF(W$2=2029,Assumptions!$B$59,Assumptions!$B$58))*W53)*(1-Assumptions!$B$62*W53)</f>
        <v>401.55795434657114</v>
      </c>
      <c r="X62">
        <f>X61*X56/1000000*(1+IF(X$2=2030,Assumptions!$B$60,IF(X$2=2029,Assumptions!$B$59,Assumptions!$B$58))*X53)*(1-Assumptions!$B$62*X53)</f>
        <v>354.71072591243603</v>
      </c>
      <c r="Y62">
        <f>Y61*Y56/1000000*(1+IF(Y$2=2030,Assumptions!$B$60,IF(Y$2=2029,Assumptions!$B$59,Assumptions!$B$58))*Y53)*(1-Assumptions!$B$62*Y53)</f>
        <v>396.36101740734489</v>
      </c>
      <c r="Z62">
        <f>Z61*Z56/1000000*(1+IF(Z$2=2030,Assumptions!$B$60,IF(Z$2=2029,Assumptions!$B$59,Assumptions!$B$58))*Z53)*(1-Assumptions!$B$62*Z53)</f>
        <v>439.24155836911586</v>
      </c>
      <c r="AA62">
        <f>AA61*AA56/1000000*(1+IF(AA$2=2030,Assumptions!$B$60,IF(AA$2=2029,Assumptions!$B$59,Assumptions!$B$58))*AA53)*(1-Assumptions!$B$62*AA53)</f>
        <v>364.94152483921482</v>
      </c>
      <c r="AB62">
        <f>AB61*AB56/1000000*(1+IF(AB$2=2030,Assumptions!$B$60,IF(AB$2=2029,Assumptions!$B$59,Assumptions!$B$58))*AB53)*(1-Assumptions!$B$62*AB53)</f>
        <v>370.72101936629633</v>
      </c>
      <c r="AC62">
        <f>AC61*AC56/1000000*(1+IF(AC$2=2030,Assumptions!$B$60,IF(AC$2=2029,Assumptions!$B$59,Assumptions!$B$58))*AC53)*(1-Assumptions!$B$62*AC53)</f>
        <v>439.35738281347687</v>
      </c>
      <c r="AD62">
        <f>AD61*AD56/1000000*(1+IF(AD$2=2030,Assumptions!$B$60,IF(AD$2=2029,Assumptions!$B$59,Assumptions!$B$58))*AD53)*(1-Assumptions!$B$62*AD53)</f>
        <v>467.56849760005588</v>
      </c>
      <c r="AE62">
        <f>AE61*AE56/1000000*(1+IF(AE$2=2030,Assumptions!$B$60,IF(AE$2=2029,Assumptions!$B$59,Assumptions!$B$58))*AE53)*(1-Assumptions!$B$62*AE53)</f>
        <v>345.43510673433678</v>
      </c>
      <c r="AF62">
        <f>AF61*AF56/1000000*(1+IF(AF$2=2030,Assumptions!$B$60,IF(AF$2=2029,Assumptions!$B$59,Assumptions!$B$58))*AF53)*(1-Assumptions!$B$62*AF53)</f>
        <v>438.63210328654418</v>
      </c>
      <c r="AG62">
        <f>AG61*AG56/1000000*(1+IF(AG$2=2030,Assumptions!$B$60,IF(AG$2=2029,Assumptions!$B$59,Assumptions!$B$58))*AG53)*(1-Assumptions!$B$62*AG53)</f>
        <v>401.02075661554665</v>
      </c>
      <c r="AH62">
        <f>AH61*AH56/1000000*(1+IF(AH$2=2030,Assumptions!$B$60,IF(AH$2=2029,Assumptions!$B$59,Assumptions!$B$58))*AH53)*(1-Assumptions!$B$62*AH53)</f>
        <v>407.37162959205108</v>
      </c>
      <c r="AI62">
        <f>AI61*AI56/1000000*(1+IF(AI$2=2030,Assumptions!$B$60,IF(AI$2=2029,Assumptions!$B$59,Assumptions!$B$58))*AI53)*(1-Assumptions!$B$62*AI53)</f>
        <v>528.77393539594459</v>
      </c>
      <c r="AJ62">
        <f>AJ61*AJ56/1000000*(1+IF(AJ$2=2030,Assumptions!$B$60,IF(AJ$2=2029,Assumptions!$B$59,Assumptions!$B$58))*AJ53)*(1-Assumptions!$B$62*AJ53)</f>
        <v>467.08522253799731</v>
      </c>
      <c r="AK62">
        <f>AK61*AK56/1000000*(1+IF(AK$2=2030,Assumptions!$B$60,IF(AK$2=2029,Assumptions!$B$59,Assumptions!$B$58))*AK53)*(1-Assumptions!$B$62*AK53)</f>
        <v>521.93057750049286</v>
      </c>
      <c r="AL62">
        <f>AL61*AL56/1000000*(1+IF(AL$2=2030,Assumptions!$B$60,IF(AL$2=2029,Assumptions!$B$59,Assumptions!$B$58))*AL53)*(1-Assumptions!$B$62*AL53)</f>
        <v>578.39593237849203</v>
      </c>
      <c r="AM62">
        <f>AM61*AM56/1000000*(1+IF(AM$2=2030,Assumptions!$B$60,IF(AM$2=2029,Assumptions!$B$59,Assumptions!$B$58))*AM53)*(1-Assumptions!$B$62*AM53)</f>
        <v>430.96525257052468</v>
      </c>
      <c r="AN62">
        <f>AN61*AN56/1000000*(1+IF(AN$2=2030,Assumptions!$B$60,IF(AN$2=2029,Assumptions!$B$59,Assumptions!$B$58))*AN53)*(1-Assumptions!$B$62*AN53)</f>
        <v>437.79034960405926</v>
      </c>
      <c r="AO62">
        <f>AO61*AO56/1000000*(1+IF(AO$2=2030,Assumptions!$B$60,IF(AO$2=2029,Assumptions!$B$59,Assumptions!$B$58))*AO53)*(1-Assumptions!$B$62*AO53)</f>
        <v>518.84412314098086</v>
      </c>
      <c r="AP62">
        <f>AP61*AP56/1000000*(1+IF(AP$2=2030,Assumptions!$B$60,IF(AP$2=2029,Assumptions!$B$59,Assumptions!$B$58))*AP53)*(1-Assumptions!$B$62*AP53)</f>
        <v>552.15907740564148</v>
      </c>
      <c r="AQ62">
        <f>AQ61*AQ56/1000000*(1+IF(AQ$2=2030,Assumptions!$B$60,IF(AQ$2=2029,Assumptions!$B$59,Assumptions!$B$58))*AQ53)*(1-Assumptions!$B$62*AQ53)</f>
        <v>407.92981310109519</v>
      </c>
      <c r="AR62">
        <f>AR61*AR56/1000000*(1+IF(AR$2=2030,Assumptions!$B$60,IF(AR$2=2029,Assumptions!$B$59,Assumptions!$B$58))*AR53)*(1-Assumptions!$B$62*AR53)</f>
        <v>517.98762900908775</v>
      </c>
      <c r="AS62">
        <f>AS61*AS56/1000000*(1+IF(AS$2=2030,Assumptions!$B$60,IF(AS$2=2029,Assumptions!$B$59,Assumptions!$B$58))*AS53)*(1-Assumptions!$B$62*AS53)</f>
        <v>473.57179136297339</v>
      </c>
      <c r="AT62">
        <f>AT61*AT56/1000000*(1+IF(AT$2=2030,Assumptions!$B$60,IF(AT$2=2029,Assumptions!$B$59,Assumptions!$B$58))*AT53)*(1-Assumptions!$B$62*AT53)</f>
        <v>481.07163829754302</v>
      </c>
      <c r="AU62">
        <f>AU61*AU56/1000000*(1+IF(AU$2=2030,Assumptions!$B$60,IF(AU$2=2029,Assumptions!$B$59,Assumptions!$B$58))*AU53)*(1-Assumptions!$B$62*AU53)</f>
        <v>624.43755262168088</v>
      </c>
      <c r="AV62">
        <f>AV61*AV56/1000000*(1+IF(AV$2=2030,Assumptions!$B$60,IF(AV$2=2029,Assumptions!$B$59,Assumptions!$B$58))*AV53)*(1-Assumptions!$B$62*AV53)</f>
        <v>551.58837019638963</v>
      </c>
      <c r="AW62">
        <f>AW61*AW56/1000000*(1+IF(AW$2=2030,Assumptions!$B$60,IF(AW$2=2029,Assumptions!$B$59,Assumptions!$B$58))*AW53)*(1-Assumptions!$B$62*AW53)</f>
        <v>616.35612241133856</v>
      </c>
      <c r="AX62">
        <f>AX61*AX56/1000000*(1+IF(AX$2=2030,Assumptions!$B$60,IF(AX$2=2029,Assumptions!$B$59,Assumptions!$B$58))*AX53)*(1-Assumptions!$B$62*AX53)</f>
        <v>683.03695829923208</v>
      </c>
      <c r="AY62">
        <f>AY61*AY56/1000000*(1+IF(AY$2=2030,Assumptions!$B$60,IF(AY$2=2029,Assumptions!$B$59,Assumptions!$B$58))*AY53)*(1-Assumptions!$B$62*AY53)</f>
        <v>509.95517993347187</v>
      </c>
      <c r="AZ62">
        <f>AZ61*AZ56/1000000*(1+IF(AZ$2=2030,Assumptions!$B$60,IF(AZ$2=2029,Assumptions!$B$59,Assumptions!$B$58))*AZ53)*(1-Assumptions!$B$62*AZ53)</f>
        <v>518.03122217826979</v>
      </c>
      <c r="BA62">
        <f>BA61*BA56/1000000*(1+IF(BA$2=2030,Assumptions!$B$60,IF(BA$2=2029,Assumptions!$B$59,Assumptions!$B$58))*BA53)*(1-Assumptions!$B$62*BA53)</f>
        <v>613.94102330903172</v>
      </c>
      <c r="BB62">
        <f>BB61*BB56/1000000*(1+IF(BB$2=2030,Assumptions!$B$60,IF(BB$2=2029,Assumptions!$B$59,Assumptions!$B$58))*BB53)*(1-Assumptions!$B$62*BB53)</f>
        <v>653.36214460634631</v>
      </c>
      <c r="BC62">
        <f>BC61*BC56/1000000*(1+IF(BC$2=2030,Assumptions!$B$60,IF(BC$2=2029,Assumptions!$B$59,Assumptions!$B$58))*BC53)*(1-Assumptions!$B$62*BC53)</f>
        <v>482.697665297632</v>
      </c>
      <c r="BD62">
        <f>BD61*BD56/1000000*(1+IF(BD$2=2030,Assumptions!$B$60,IF(BD$2=2029,Assumptions!$B$59,Assumptions!$B$58))*BD53)*(1-Assumptions!$B$62*BD53)</f>
        <v>612.92754573389936</v>
      </c>
      <c r="BE62">
        <f>BE61*BE56/1000000*(1+IF(BE$2=2030,Assumptions!$B$60,IF(BE$2=2029,Assumptions!$B$59,Assumptions!$B$58))*BE53)*(1-Assumptions!$B$62*BE53)</f>
        <v>560.37090376886397</v>
      </c>
      <c r="BF62">
        <f>BF61*BF56/1000000*(1+IF(BF$2=2030,Assumptions!$B$60,IF(BF$2=2029,Assumptions!$B$59,Assumptions!$B$58))*BF53)*(1-Assumptions!$B$62*BF53)</f>
        <v>569.2453681721538</v>
      </c>
      <c r="BG62">
        <f>BG61*BG56/1000000*(1+IF(BG$2=2030,Assumptions!$B$60,IF(BG$2=2029,Assumptions!$B$59,Assumptions!$B$58))*BG53)*(1-Assumptions!$B$62*BG53)</f>
        <v>738.88825747569103</v>
      </c>
      <c r="BH62">
        <f>BH61*BH56/1000000*(1+IF(BH$2=2030,Assumptions!$B$60,IF(BH$2=2029,Assumptions!$B$59,Assumptions!$B$58))*BH53)*(1-Assumptions!$B$62*BH53)</f>
        <v>652.68683471570557</v>
      </c>
      <c r="BI62">
        <f>BI61*BI56/1000000*(1+IF(BI$2=2030,Assumptions!$B$60,IF(BI$2=2029,Assumptions!$B$59,Assumptions!$B$58))*BI53)*(1-Assumptions!$B$62*BI53)</f>
        <v>729.32561368375218</v>
      </c>
      <c r="BJ62">
        <f>BJ61*BJ56/1000000*(1+IF(BJ$2=2030,Assumptions!$B$60,IF(BJ$2=2029,Assumptions!$B$59,Assumptions!$B$58))*BJ53)*(1-Assumptions!$B$62*BJ53)</f>
        <v>808.22811791235085</v>
      </c>
      <c r="BL62">
        <f t="shared" si="37"/>
        <v>3048.7836684882627</v>
      </c>
      <c r="BM62">
        <f t="shared" si="37"/>
        <v>4048.6097193103674</v>
      </c>
      <c r="BN62">
        <f t="shared" si="37"/>
        <v>5331.2336886604498</v>
      </c>
      <c r="BO62">
        <f t="shared" si="37"/>
        <v>6295.738678020547</v>
      </c>
      <c r="BP62">
        <f t="shared" si="37"/>
        <v>7449.6598767871674</v>
      </c>
      <c r="BQ62">
        <f>BL62+BM62+BN62+BO62+BP62</f>
        <v>26174.025631266799</v>
      </c>
    </row>
    <row r="63" spans="1:69" ht="13" customHeight="1">
      <c r="A63" t="s">
        <v>27</v>
      </c>
      <c r="B63" t="s">
        <v>87</v>
      </c>
      <c r="C63">
        <f t="shared" ref="C63:AH63" si="38">C33</f>
        <v>7.0000000000000007E-2</v>
      </c>
      <c r="D63">
        <f t="shared" si="38"/>
        <v>7.0000000000000007E-2</v>
      </c>
      <c r="E63">
        <f t="shared" si="38"/>
        <v>7.0000000000000007E-2</v>
      </c>
      <c r="F63">
        <f t="shared" si="38"/>
        <v>7.0000000000000007E-2</v>
      </c>
      <c r="G63">
        <f t="shared" si="38"/>
        <v>7.0000000000000007E-2</v>
      </c>
      <c r="H63">
        <f t="shared" si="38"/>
        <v>7.0000000000000007E-2</v>
      </c>
      <c r="I63">
        <f t="shared" si="38"/>
        <v>7.0000000000000007E-2</v>
      </c>
      <c r="J63">
        <f t="shared" si="38"/>
        <v>7.0000000000000007E-2</v>
      </c>
      <c r="K63">
        <f t="shared" si="38"/>
        <v>7.0000000000000007E-2</v>
      </c>
      <c r="L63">
        <f t="shared" si="38"/>
        <v>7.0000000000000007E-2</v>
      </c>
      <c r="M63">
        <f t="shared" si="38"/>
        <v>7.0000000000000007E-2</v>
      </c>
      <c r="N63">
        <f t="shared" si="38"/>
        <v>7.0000000000000007E-2</v>
      </c>
      <c r="O63">
        <f t="shared" si="38"/>
        <v>7.0000000000000007E-2</v>
      </c>
      <c r="P63">
        <f t="shared" si="38"/>
        <v>7.0000000000000007E-2</v>
      </c>
      <c r="Q63">
        <f t="shared" si="38"/>
        <v>7.0000000000000007E-2</v>
      </c>
      <c r="R63">
        <f t="shared" si="38"/>
        <v>7.0000000000000007E-2</v>
      </c>
      <c r="S63">
        <f t="shared" si="38"/>
        <v>7.0000000000000007E-2</v>
      </c>
      <c r="T63">
        <f t="shared" si="38"/>
        <v>7.0000000000000007E-2</v>
      </c>
      <c r="U63">
        <f t="shared" si="38"/>
        <v>7.0000000000000007E-2</v>
      </c>
      <c r="V63">
        <f t="shared" si="38"/>
        <v>7.0000000000000007E-2</v>
      </c>
      <c r="W63">
        <f t="shared" si="38"/>
        <v>7.0000000000000007E-2</v>
      </c>
      <c r="X63">
        <f t="shared" si="38"/>
        <v>7.0000000000000007E-2</v>
      </c>
      <c r="Y63">
        <f t="shared" si="38"/>
        <v>7.0000000000000007E-2</v>
      </c>
      <c r="Z63">
        <f t="shared" si="38"/>
        <v>7.0000000000000007E-2</v>
      </c>
      <c r="AA63">
        <f t="shared" si="38"/>
        <v>7.0000000000000007E-2</v>
      </c>
      <c r="AB63">
        <f t="shared" si="38"/>
        <v>7.0000000000000007E-2</v>
      </c>
      <c r="AC63">
        <f t="shared" si="38"/>
        <v>7.0000000000000007E-2</v>
      </c>
      <c r="AD63">
        <f t="shared" si="38"/>
        <v>7.0000000000000007E-2</v>
      </c>
      <c r="AE63">
        <f t="shared" si="38"/>
        <v>7.0000000000000007E-2</v>
      </c>
      <c r="AF63">
        <f t="shared" si="38"/>
        <v>7.0000000000000007E-2</v>
      </c>
      <c r="AG63">
        <f t="shared" si="38"/>
        <v>7.0000000000000007E-2</v>
      </c>
      <c r="AH63">
        <f t="shared" si="38"/>
        <v>7.0000000000000007E-2</v>
      </c>
      <c r="AI63">
        <f t="shared" ref="AI63:BJ63" si="39">AI33</f>
        <v>7.0000000000000007E-2</v>
      </c>
      <c r="AJ63">
        <f t="shared" si="39"/>
        <v>7.0000000000000007E-2</v>
      </c>
      <c r="AK63">
        <f t="shared" si="39"/>
        <v>7.0000000000000007E-2</v>
      </c>
      <c r="AL63">
        <f t="shared" si="39"/>
        <v>7.0000000000000007E-2</v>
      </c>
      <c r="AM63">
        <f t="shared" si="39"/>
        <v>7.0000000000000007E-2</v>
      </c>
      <c r="AN63">
        <f t="shared" si="39"/>
        <v>7.0000000000000007E-2</v>
      </c>
      <c r="AO63">
        <f t="shared" si="39"/>
        <v>7.0000000000000007E-2</v>
      </c>
      <c r="AP63">
        <f t="shared" si="39"/>
        <v>7.0000000000000007E-2</v>
      </c>
      <c r="AQ63">
        <f t="shared" si="39"/>
        <v>7.0000000000000007E-2</v>
      </c>
      <c r="AR63">
        <f t="shared" si="39"/>
        <v>7.0000000000000007E-2</v>
      </c>
      <c r="AS63">
        <f t="shared" si="39"/>
        <v>7.0000000000000007E-2</v>
      </c>
      <c r="AT63">
        <f t="shared" si="39"/>
        <v>7.0000000000000007E-2</v>
      </c>
      <c r="AU63">
        <f t="shared" si="39"/>
        <v>7.0000000000000007E-2</v>
      </c>
      <c r="AV63">
        <f t="shared" si="39"/>
        <v>7.0000000000000007E-2</v>
      </c>
      <c r="AW63">
        <f t="shared" si="39"/>
        <v>7.0000000000000007E-2</v>
      </c>
      <c r="AX63">
        <f t="shared" si="39"/>
        <v>7.0000000000000007E-2</v>
      </c>
      <c r="AY63">
        <f t="shared" si="39"/>
        <v>7.0000000000000007E-2</v>
      </c>
      <c r="AZ63">
        <f t="shared" si="39"/>
        <v>7.0000000000000007E-2</v>
      </c>
      <c r="BA63">
        <f t="shared" si="39"/>
        <v>7.0000000000000007E-2</v>
      </c>
      <c r="BB63">
        <f t="shared" si="39"/>
        <v>7.0000000000000007E-2</v>
      </c>
      <c r="BC63">
        <f t="shared" si="39"/>
        <v>7.0000000000000007E-2</v>
      </c>
      <c r="BD63">
        <f t="shared" si="39"/>
        <v>7.0000000000000007E-2</v>
      </c>
      <c r="BE63">
        <f t="shared" si="39"/>
        <v>7.0000000000000007E-2</v>
      </c>
      <c r="BF63">
        <f t="shared" si="39"/>
        <v>7.0000000000000007E-2</v>
      </c>
      <c r="BG63">
        <f t="shared" si="39"/>
        <v>7.0000000000000007E-2</v>
      </c>
      <c r="BH63">
        <f t="shared" si="39"/>
        <v>7.0000000000000007E-2</v>
      </c>
      <c r="BI63">
        <f t="shared" si="39"/>
        <v>7.0000000000000007E-2</v>
      </c>
      <c r="BJ63">
        <f t="shared" si="39"/>
        <v>7.0000000000000007E-2</v>
      </c>
      <c r="BL63">
        <f t="shared" ref="BL63:BP64" si="40">AVERAGEIFS($C63:$BJ63,$C$2:$BJ$2,BL$2)</f>
        <v>7.0000000000000021E-2</v>
      </c>
      <c r="BM63">
        <f t="shared" si="40"/>
        <v>7.0000000000000021E-2</v>
      </c>
      <c r="BN63">
        <f t="shared" si="40"/>
        <v>7.0000000000000021E-2</v>
      </c>
      <c r="BO63">
        <f t="shared" si="40"/>
        <v>7.0000000000000021E-2</v>
      </c>
      <c r="BP63">
        <f t="shared" si="40"/>
        <v>7.0000000000000021E-2</v>
      </c>
      <c r="BQ63">
        <f>AVERAGE(BL63:BP63)</f>
        <v>7.0000000000000021E-2</v>
      </c>
    </row>
    <row r="64" spans="1:69" ht="13" customHeight="1">
      <c r="A64" t="s">
        <v>258</v>
      </c>
      <c r="B64" t="s">
        <v>259</v>
      </c>
      <c r="C64">
        <f t="shared" ref="C64:AH64" si="41">1+C50*MIN(C48,C53)</f>
        <v>1.002</v>
      </c>
      <c r="D64">
        <f t="shared" si="41"/>
        <v>1.002</v>
      </c>
      <c r="E64">
        <f t="shared" si="41"/>
        <v>1.002</v>
      </c>
      <c r="F64">
        <f t="shared" si="41"/>
        <v>1.002</v>
      </c>
      <c r="G64">
        <f t="shared" si="41"/>
        <v>1.002</v>
      </c>
      <c r="H64">
        <f t="shared" si="41"/>
        <v>1.002</v>
      </c>
      <c r="I64">
        <f t="shared" si="41"/>
        <v>1.002</v>
      </c>
      <c r="J64">
        <f t="shared" si="41"/>
        <v>1.002</v>
      </c>
      <c r="K64">
        <f t="shared" si="41"/>
        <v>1.002</v>
      </c>
      <c r="L64">
        <f t="shared" si="41"/>
        <v>1.002</v>
      </c>
      <c r="M64">
        <f t="shared" si="41"/>
        <v>1.002</v>
      </c>
      <c r="N64">
        <f t="shared" si="41"/>
        <v>1.002</v>
      </c>
      <c r="O64">
        <f t="shared" si="41"/>
        <v>1.01</v>
      </c>
      <c r="P64">
        <f t="shared" si="41"/>
        <v>1.01</v>
      </c>
      <c r="Q64">
        <f t="shared" si="41"/>
        <v>1.01</v>
      </c>
      <c r="R64">
        <f t="shared" si="41"/>
        <v>1.01</v>
      </c>
      <c r="S64">
        <f t="shared" si="41"/>
        <v>1.01</v>
      </c>
      <c r="T64">
        <f t="shared" si="41"/>
        <v>1.01</v>
      </c>
      <c r="U64">
        <f t="shared" si="41"/>
        <v>1.01</v>
      </c>
      <c r="V64">
        <f t="shared" si="41"/>
        <v>1.01</v>
      </c>
      <c r="W64">
        <f t="shared" si="41"/>
        <v>1.01</v>
      </c>
      <c r="X64">
        <f t="shared" si="41"/>
        <v>1.01</v>
      </c>
      <c r="Y64">
        <f t="shared" si="41"/>
        <v>1.01</v>
      </c>
      <c r="Z64">
        <f t="shared" si="41"/>
        <v>1.01</v>
      </c>
      <c r="AA64">
        <f t="shared" si="41"/>
        <v>1.02</v>
      </c>
      <c r="AB64">
        <f t="shared" si="41"/>
        <v>1.02</v>
      </c>
      <c r="AC64">
        <f t="shared" si="41"/>
        <v>1.02</v>
      </c>
      <c r="AD64">
        <f t="shared" si="41"/>
        <v>1.02</v>
      </c>
      <c r="AE64">
        <f t="shared" si="41"/>
        <v>1.02</v>
      </c>
      <c r="AF64">
        <f t="shared" si="41"/>
        <v>1.02</v>
      </c>
      <c r="AG64">
        <f t="shared" si="41"/>
        <v>1.02</v>
      </c>
      <c r="AH64">
        <f t="shared" si="41"/>
        <v>1.02</v>
      </c>
      <c r="AI64">
        <f t="shared" ref="AI64:BJ64" si="42">1+AI50*MIN(AI48,AI53)</f>
        <v>1.02</v>
      </c>
      <c r="AJ64">
        <f t="shared" si="42"/>
        <v>1.02</v>
      </c>
      <c r="AK64">
        <f t="shared" si="42"/>
        <v>1.02</v>
      </c>
      <c r="AL64">
        <f t="shared" si="42"/>
        <v>1.02</v>
      </c>
      <c r="AM64">
        <f t="shared" si="42"/>
        <v>1.02</v>
      </c>
      <c r="AN64">
        <f t="shared" si="42"/>
        <v>1.02</v>
      </c>
      <c r="AO64">
        <f t="shared" si="42"/>
        <v>1.02</v>
      </c>
      <c r="AP64">
        <f t="shared" si="42"/>
        <v>1.02</v>
      </c>
      <c r="AQ64">
        <f t="shared" si="42"/>
        <v>1.02</v>
      </c>
      <c r="AR64">
        <f t="shared" si="42"/>
        <v>1.02</v>
      </c>
      <c r="AS64">
        <f t="shared" si="42"/>
        <v>1.02</v>
      </c>
      <c r="AT64">
        <f t="shared" si="42"/>
        <v>1.02</v>
      </c>
      <c r="AU64">
        <f t="shared" si="42"/>
        <v>1.02</v>
      </c>
      <c r="AV64">
        <f t="shared" si="42"/>
        <v>1.02</v>
      </c>
      <c r="AW64">
        <f t="shared" si="42"/>
        <v>1.02</v>
      </c>
      <c r="AX64">
        <f t="shared" si="42"/>
        <v>1.02</v>
      </c>
      <c r="AY64">
        <f t="shared" si="42"/>
        <v>1.02</v>
      </c>
      <c r="AZ64">
        <f t="shared" si="42"/>
        <v>1.02</v>
      </c>
      <c r="BA64">
        <f t="shared" si="42"/>
        <v>1.02</v>
      </c>
      <c r="BB64">
        <f t="shared" si="42"/>
        <v>1.02</v>
      </c>
      <c r="BC64">
        <f t="shared" si="42"/>
        <v>1.02</v>
      </c>
      <c r="BD64">
        <f t="shared" si="42"/>
        <v>1.02</v>
      </c>
      <c r="BE64">
        <f t="shared" si="42"/>
        <v>1.02</v>
      </c>
      <c r="BF64">
        <f t="shared" si="42"/>
        <v>1.02</v>
      </c>
      <c r="BG64">
        <f t="shared" si="42"/>
        <v>1.02</v>
      </c>
      <c r="BH64">
        <f t="shared" si="42"/>
        <v>1.02</v>
      </c>
      <c r="BI64">
        <f t="shared" si="42"/>
        <v>1.02</v>
      </c>
      <c r="BJ64">
        <f t="shared" si="42"/>
        <v>1.02</v>
      </c>
      <c r="BL64">
        <f t="shared" si="40"/>
        <v>1.0020000000000002</v>
      </c>
      <c r="BM64">
        <f t="shared" si="40"/>
        <v>1.01</v>
      </c>
      <c r="BN64">
        <f t="shared" si="40"/>
        <v>1.0199999999999998</v>
      </c>
      <c r="BO64">
        <f t="shared" si="40"/>
        <v>1.0199999999999998</v>
      </c>
      <c r="BP64">
        <f t="shared" si="40"/>
        <v>1.0199999999999998</v>
      </c>
      <c r="BQ64">
        <f>AVERAGE(BL64:BP64)</f>
        <v>1.0143999999999997</v>
      </c>
    </row>
    <row r="65" spans="1:69" ht="13" customHeight="1">
      <c r="A65" t="s">
        <v>260</v>
      </c>
      <c r="B65" t="s">
        <v>238</v>
      </c>
      <c r="C65">
        <f t="shared" ref="C65:AH65" si="43">C62*C63*C64</f>
        <v>14.63820865971875</v>
      </c>
      <c r="D65">
        <f t="shared" si="43"/>
        <v>14.870030584813181</v>
      </c>
      <c r="E65">
        <f t="shared" si="43"/>
        <v>17.623111123474214</v>
      </c>
      <c r="F65">
        <f t="shared" si="43"/>
        <v>18.75469017562828</v>
      </c>
      <c r="G65">
        <f t="shared" si="43"/>
        <v>13.855784630146555</v>
      </c>
      <c r="H65">
        <f t="shared" si="43"/>
        <v>17.594019358549559</v>
      </c>
      <c r="I65">
        <f t="shared" si="43"/>
        <v>16.085386596669025</v>
      </c>
      <c r="J65">
        <f t="shared" si="43"/>
        <v>16.340127144055078</v>
      </c>
      <c r="K65">
        <f t="shared" si="43"/>
        <v>21.209708058179153</v>
      </c>
      <c r="L65">
        <f t="shared" si="43"/>
        <v>18.735305477760395</v>
      </c>
      <c r="M65">
        <f t="shared" si="43"/>
        <v>20.935213395367366</v>
      </c>
      <c r="N65">
        <f t="shared" si="43"/>
        <v>23.200101303405191</v>
      </c>
      <c r="O65">
        <f t="shared" si="43"/>
        <v>19.593900112909356</v>
      </c>
      <c r="P65">
        <f t="shared" si="43"/>
        <v>19.904204177421164</v>
      </c>
      <c r="Q65">
        <f t="shared" si="43"/>
        <v>23.589326198243299</v>
      </c>
      <c r="R65">
        <f t="shared" si="43"/>
        <v>25.10399561122825</v>
      </c>
      <c r="S65">
        <f t="shared" si="43"/>
        <v>18.546590388218476</v>
      </c>
      <c r="T65">
        <f t="shared" si="43"/>
        <v>23.550385563545944</v>
      </c>
      <c r="U65">
        <f t="shared" si="43"/>
        <v>21.531012815793506</v>
      </c>
      <c r="V65">
        <f t="shared" si="43"/>
        <v>21.871994486175435</v>
      </c>
      <c r="W65">
        <f t="shared" si="43"/>
        <v>28.390147372302582</v>
      </c>
      <c r="X65">
        <f t="shared" si="43"/>
        <v>25.078048322009231</v>
      </c>
      <c r="Y65">
        <f t="shared" si="43"/>
        <v>28.022723930699286</v>
      </c>
      <c r="Z65">
        <f t="shared" si="43"/>
        <v>31.054378176696492</v>
      </c>
      <c r="AA65">
        <f t="shared" si="43"/>
        <v>26.05682487351994</v>
      </c>
      <c r="AB65">
        <f t="shared" si="43"/>
        <v>26.469480782753564</v>
      </c>
      <c r="AC65">
        <f t="shared" si="43"/>
        <v>31.370117132882253</v>
      </c>
      <c r="AD65">
        <f t="shared" si="43"/>
        <v>33.384390728643993</v>
      </c>
      <c r="AE65">
        <f t="shared" si="43"/>
        <v>24.664066620831651</v>
      </c>
      <c r="AF65">
        <f t="shared" si="43"/>
        <v>31.318332174659258</v>
      </c>
      <c r="AG65">
        <f t="shared" si="43"/>
        <v>28.632882022350035</v>
      </c>
      <c r="AH65">
        <f t="shared" si="43"/>
        <v>29.086334352872452</v>
      </c>
      <c r="AI65">
        <f t="shared" ref="AI65:BN65" si="44">AI62*AI63*AI64</f>
        <v>37.754458987270446</v>
      </c>
      <c r="AJ65">
        <f t="shared" si="44"/>
        <v>33.349884889213008</v>
      </c>
      <c r="AK65">
        <f t="shared" si="44"/>
        <v>37.265843233535193</v>
      </c>
      <c r="AL65">
        <f t="shared" si="44"/>
        <v>41.297469571824337</v>
      </c>
      <c r="AM65">
        <f t="shared" si="44"/>
        <v>30.770919033535467</v>
      </c>
      <c r="AN65">
        <f t="shared" si="44"/>
        <v>31.258230961729836</v>
      </c>
      <c r="AO65">
        <f t="shared" si="44"/>
        <v>37.04547039226604</v>
      </c>
      <c r="AP65">
        <f t="shared" si="44"/>
        <v>39.424158126762805</v>
      </c>
      <c r="AQ65">
        <f t="shared" si="44"/>
        <v>29.126188655418197</v>
      </c>
      <c r="AR65">
        <f t="shared" si="44"/>
        <v>36.984316711248873</v>
      </c>
      <c r="AS65">
        <f t="shared" si="44"/>
        <v>33.813025903316309</v>
      </c>
      <c r="AT65">
        <f t="shared" si="44"/>
        <v>34.348514974444576</v>
      </c>
      <c r="AU65">
        <f t="shared" si="44"/>
        <v>44.584841257188025</v>
      </c>
      <c r="AV65">
        <f t="shared" si="44"/>
        <v>39.383409632022222</v>
      </c>
      <c r="AW65">
        <f t="shared" si="44"/>
        <v>44.007827140169574</v>
      </c>
      <c r="AX65">
        <f t="shared" si="44"/>
        <v>48.768838822565179</v>
      </c>
      <c r="AY65">
        <f t="shared" si="44"/>
        <v>36.410799847249898</v>
      </c>
      <c r="AZ65">
        <f t="shared" si="44"/>
        <v>36.987429263528469</v>
      </c>
      <c r="BA65">
        <f t="shared" si="44"/>
        <v>43.835389064264866</v>
      </c>
      <c r="BB65">
        <f t="shared" si="44"/>
        <v>46.650057124893131</v>
      </c>
      <c r="BC65">
        <f t="shared" si="44"/>
        <v>34.464613302250925</v>
      </c>
      <c r="BD65">
        <f t="shared" si="44"/>
        <v>43.763026765400419</v>
      </c>
      <c r="BE65">
        <f t="shared" si="44"/>
        <v>40.01048252909689</v>
      </c>
      <c r="BF65">
        <f t="shared" si="44"/>
        <v>40.644119287491783</v>
      </c>
      <c r="BG65">
        <f t="shared" si="44"/>
        <v>52.756621583764343</v>
      </c>
      <c r="BH65">
        <f t="shared" si="44"/>
        <v>46.601839998701386</v>
      </c>
      <c r="BI65">
        <f t="shared" si="44"/>
        <v>52.073848817019908</v>
      </c>
      <c r="BJ65">
        <f t="shared" si="44"/>
        <v>57.707487618941862</v>
      </c>
      <c r="BL65">
        <f t="shared" ref="BL65:BP67" si="45">SUMIF($C$2:$BJ$2,BL$2,$C65:$BJ65)</f>
        <v>213.84168650776672</v>
      </c>
      <c r="BM65">
        <f t="shared" si="45"/>
        <v>286.23670715524304</v>
      </c>
      <c r="BN65">
        <f t="shared" si="45"/>
        <v>380.65008537035612</v>
      </c>
      <c r="BO65">
        <f t="shared" si="45"/>
        <v>449.51574161066708</v>
      </c>
      <c r="BP65">
        <f t="shared" si="45"/>
        <v>531.90571520260391</v>
      </c>
      <c r="BQ65">
        <f>BL65+BM65+BN65+BO65+BP65</f>
        <v>1862.1499358466367</v>
      </c>
    </row>
    <row r="66" spans="1:69" ht="13" customHeight="1">
      <c r="A66" t="s">
        <v>261</v>
      </c>
      <c r="B66" t="s">
        <v>238</v>
      </c>
      <c r="C66">
        <f>C36*(1-Assumptions!$B$63*C53)</f>
        <v>898.82540999999992</v>
      </c>
      <c r="D66">
        <f>D36*(1-Assumptions!$B$63*D53)</f>
        <v>902.48733598022886</v>
      </c>
      <c r="E66">
        <f>E36*(1-Assumptions!$B$63*E53)</f>
        <v>1057.191544616885</v>
      </c>
      <c r="F66">
        <f>F36*(1-Assumptions!$B$63*F53)</f>
        <v>1112.0462297294753</v>
      </c>
      <c r="G66">
        <f>G36*(1-Assumptions!$B$63*G53)</f>
        <v>812.05588634365984</v>
      </c>
      <c r="H66">
        <f>H36*(1-Assumptions!$B$63*H53)</f>
        <v>1019.2053781798303</v>
      </c>
      <c r="I66">
        <f>I36*(1-Assumptions!$B$63*I53)</f>
        <v>921.02197234634548</v>
      </c>
      <c r="J66">
        <f>J36*(1-Assumptions!$B$63*J53)</f>
        <v>924.77432986914437</v>
      </c>
      <c r="K66">
        <f>K36*(1-Assumptions!$B$63*K53)</f>
        <v>1186.4703013390194</v>
      </c>
      <c r="L66">
        <f>L36*(1-Assumptions!$B$63*L53)</f>
        <v>1035.9166332280845</v>
      </c>
      <c r="M66">
        <f>M36*(1-Assumptions!$B$63*M53)</f>
        <v>1144.1507944035357</v>
      </c>
      <c r="N66">
        <f>N36*(1-Assumptions!$B$63*N53)</f>
        <v>1253.2496796731946</v>
      </c>
      <c r="O66">
        <f>O36*(1-Assumptions!$B$63*O53)</f>
        <v>935.24722200000053</v>
      </c>
      <c r="P66">
        <f>P36*(1-Assumptions!$B$63*P53)</f>
        <v>939.0575349507418</v>
      </c>
      <c r="Q66">
        <f>Q36*(1-Assumptions!$B$63*Q53)</f>
        <v>1100.0306001861152</v>
      </c>
      <c r="R66">
        <f>R36*(1-Assumptions!$B$63*R53)</f>
        <v>1157.1080829702687</v>
      </c>
      <c r="S66">
        <f>S36*(1-Assumptions!$B$63*S53)</f>
        <v>844.96166147734505</v>
      </c>
      <c r="T66">
        <f>T36*(1-Assumptions!$B$63*T53)</f>
        <v>1060.5051748483013</v>
      </c>
      <c r="U66">
        <f>U36*(1-Assumptions!$B$63*U53)</f>
        <v>958.34322378344962</v>
      </c>
      <c r="V66">
        <f>V36*(1-Assumptions!$B$63*V53)</f>
        <v>962.24763270436404</v>
      </c>
      <c r="W66">
        <f>W36*(1-Assumptions!$B$63*W53)</f>
        <v>1234.5479344123362</v>
      </c>
      <c r="X66">
        <f>X36*(1-Assumptions!$B$63*X53)</f>
        <v>1077.8935960991128</v>
      </c>
      <c r="Y66">
        <f>Y36*(1-Assumptions!$B$63*Y53)</f>
        <v>1190.5135748387447</v>
      </c>
      <c r="Z66">
        <f>Z36*(1-Assumptions!$B$63*Z53)</f>
        <v>1304.0333176459105</v>
      </c>
      <c r="AA66">
        <f>AA36*(1-Assumptions!$B$63*AA53)</f>
        <v>974.0580885000013</v>
      </c>
      <c r="AB66">
        <f>AB36*(1-Assumptions!$B$63*AB53)</f>
        <v>978.02652172501416</v>
      </c>
      <c r="AC66">
        <f>AC36*(1-Assumptions!$B$63*AC53)</f>
        <v>1145.6796433112486</v>
      </c>
      <c r="AD66">
        <f>AD36*(1-Assumptions!$B$63*AD53)</f>
        <v>1205.1257260894813</v>
      </c>
      <c r="AE66">
        <f>AE36*(1-Assumptions!$B$63*AE53)</f>
        <v>880.02585997994822</v>
      </c>
      <c r="AF66">
        <f>AF36*(1-Assumptions!$B$63*AF53)</f>
        <v>1104.5139928328974</v>
      </c>
      <c r="AG66">
        <f>AG36*(1-Assumptions!$B$63*AG53)</f>
        <v>998.11252760442335</v>
      </c>
      <c r="AH66">
        <f>AH36*(1-Assumptions!$B$63*AH53)</f>
        <v>1002.1789615918939</v>
      </c>
      <c r="AI66">
        <f>AI36*(1-Assumptions!$B$63*AI53)</f>
        <v>1285.7791746055616</v>
      </c>
      <c r="AJ66">
        <f>AJ36*(1-Assumptions!$B$63*AJ53)</f>
        <v>1122.6239983663845</v>
      </c>
      <c r="AK66">
        <f>AK36*(1-Assumptions!$B$63*AK53)</f>
        <v>1239.9174782480457</v>
      </c>
      <c r="AL66">
        <f>AL36*(1-Assumptions!$B$63*AL53)</f>
        <v>1358.1480605846589</v>
      </c>
      <c r="AM66">
        <f>AM36*(1-Assumptions!$B$63*AM53)</f>
        <v>1022.760992925002</v>
      </c>
      <c r="AN66">
        <f>AN36*(1-Assumptions!$B$63*AN53)</f>
        <v>1026.9278478112658</v>
      </c>
      <c r="AO66">
        <f>AO36*(1-Assumptions!$B$63*AO53)</f>
        <v>1202.963625476812</v>
      </c>
      <c r="AP66">
        <f>AP36*(1-Assumptions!$B$63*AP53)</f>
        <v>1265.3820123939563</v>
      </c>
      <c r="AQ66">
        <f>AQ36*(1-Assumptions!$B$63*AQ53)</f>
        <v>924.02715297894622</v>
      </c>
      <c r="AR66">
        <f>AR36*(1-Assumptions!$B$63*AR53)</f>
        <v>1159.7396924745433</v>
      </c>
      <c r="AS66">
        <f>AS36*(1-Assumptions!$B$63*AS53)</f>
        <v>1048.0181539846453</v>
      </c>
      <c r="AT66">
        <f>AT36*(1-Assumptions!$B$63*AT53)</f>
        <v>1052.2879096714896</v>
      </c>
      <c r="AU66">
        <f>AU36*(1-Assumptions!$B$63*AU53)</f>
        <v>1350.0681333358409</v>
      </c>
      <c r="AV66">
        <f>AV36*(1-Assumptions!$B$63*AV53)</f>
        <v>1178.7551982847046</v>
      </c>
      <c r="AW66">
        <f>AW36*(1-Assumptions!$B$63*AW53)</f>
        <v>1301.913352160449</v>
      </c>
      <c r="AX66">
        <f>AX36*(1-Assumptions!$B$63*AX53)</f>
        <v>1426.0554636138929</v>
      </c>
      <c r="AY66">
        <f>AY36*(1-Assumptions!$B$63*AY53)</f>
        <v>1073.8990425712527</v>
      </c>
      <c r="AZ66">
        <f>AZ36*(1-Assumptions!$B$63*AZ53)</f>
        <v>1078.2742402018296</v>
      </c>
      <c r="BA66">
        <f>BA36*(1-Assumptions!$B$63*BA53)</f>
        <v>1263.1118067506534</v>
      </c>
      <c r="BB66">
        <f>BB36*(1-Assumptions!$B$63*BB53)</f>
        <v>1328.6511130136548</v>
      </c>
      <c r="BC66">
        <f>BC36*(1-Assumptions!$B$63*BC53)</f>
        <v>970.22851062789437</v>
      </c>
      <c r="BD66">
        <f>BD36*(1-Assumptions!$B$63*BD53)</f>
        <v>1217.7266770982715</v>
      </c>
      <c r="BE66">
        <f>BE36*(1-Assumptions!$B$63*BE53)</f>
        <v>1100.4190616838785</v>
      </c>
      <c r="BF66">
        <f>BF36*(1-Assumptions!$B$63*BF53)</f>
        <v>1104.9023051550648</v>
      </c>
      <c r="BG66">
        <f>BG36*(1-Assumptions!$B$63*BG53)</f>
        <v>1417.5715400026336</v>
      </c>
      <c r="BH66">
        <f>BH36*(1-Assumptions!$B$63*BH53)</f>
        <v>1237.6929581989407</v>
      </c>
      <c r="BI66">
        <f>BI36*(1-Assumptions!$B$63*BI53)</f>
        <v>1367.0090197684724</v>
      </c>
      <c r="BJ66">
        <f>BJ36*(1-Assumptions!$B$63*BJ53)</f>
        <v>1497.3582367945885</v>
      </c>
      <c r="BL66">
        <f t="shared" si="45"/>
        <v>12267.395495709403</v>
      </c>
      <c r="BM66">
        <f t="shared" si="45"/>
        <v>12764.489555916691</v>
      </c>
      <c r="BN66">
        <f t="shared" si="45"/>
        <v>13294.190033439556</v>
      </c>
      <c r="BO66">
        <f t="shared" si="45"/>
        <v>13958.899535111548</v>
      </c>
      <c r="BP66">
        <f t="shared" si="45"/>
        <v>14656.844511867135</v>
      </c>
      <c r="BQ66">
        <f>BL66+BM66+BN66+BO66+BP66</f>
        <v>66941.819132044329</v>
      </c>
    </row>
    <row r="67" spans="1:69" ht="16" customHeight="1">
      <c r="A67" s="119" t="s">
        <v>262</v>
      </c>
      <c r="B67" t="s">
        <v>238</v>
      </c>
      <c r="C67">
        <f t="shared" ref="C67:AH67" si="46">C65+C66</f>
        <v>913.46361865971869</v>
      </c>
      <c r="D67">
        <f t="shared" si="46"/>
        <v>917.35736656504207</v>
      </c>
      <c r="E67">
        <f t="shared" si="46"/>
        <v>1074.8146557403593</v>
      </c>
      <c r="F67">
        <f t="shared" si="46"/>
        <v>1130.8009199051035</v>
      </c>
      <c r="G67">
        <f t="shared" si="46"/>
        <v>825.91167097380639</v>
      </c>
      <c r="H67">
        <f t="shared" si="46"/>
        <v>1036.7993975383799</v>
      </c>
      <c r="I67">
        <f t="shared" si="46"/>
        <v>937.10735894301456</v>
      </c>
      <c r="J67">
        <f t="shared" si="46"/>
        <v>941.1144570131994</v>
      </c>
      <c r="K67">
        <f t="shared" si="46"/>
        <v>1207.6800093971985</v>
      </c>
      <c r="L67">
        <f t="shared" si="46"/>
        <v>1054.6519387058449</v>
      </c>
      <c r="M67">
        <f t="shared" si="46"/>
        <v>1165.086007798903</v>
      </c>
      <c r="N67">
        <f t="shared" si="46"/>
        <v>1276.4497809765999</v>
      </c>
      <c r="O67">
        <f t="shared" si="46"/>
        <v>954.84112211290994</v>
      </c>
      <c r="P67">
        <f t="shared" si="46"/>
        <v>958.961739128163</v>
      </c>
      <c r="Q67">
        <f t="shared" si="46"/>
        <v>1123.6199263843585</v>
      </c>
      <c r="R67">
        <f t="shared" si="46"/>
        <v>1182.2120785814971</v>
      </c>
      <c r="S67">
        <f t="shared" si="46"/>
        <v>863.50825186556358</v>
      </c>
      <c r="T67">
        <f t="shared" si="46"/>
        <v>1084.0555604118472</v>
      </c>
      <c r="U67">
        <f t="shared" si="46"/>
        <v>979.87423659924309</v>
      </c>
      <c r="V67">
        <f t="shared" si="46"/>
        <v>984.11962719053952</v>
      </c>
      <c r="W67">
        <f t="shared" si="46"/>
        <v>1262.9380817846388</v>
      </c>
      <c r="X67">
        <f t="shared" si="46"/>
        <v>1102.9716444211219</v>
      </c>
      <c r="Y67">
        <f t="shared" si="46"/>
        <v>1218.5362987694441</v>
      </c>
      <c r="Z67">
        <f t="shared" si="46"/>
        <v>1335.087695822607</v>
      </c>
      <c r="AA67">
        <f t="shared" si="46"/>
        <v>1000.1149133735213</v>
      </c>
      <c r="AB67">
        <f t="shared" si="46"/>
        <v>1004.4960025077677</v>
      </c>
      <c r="AC67">
        <f t="shared" si="46"/>
        <v>1177.0497604441309</v>
      </c>
      <c r="AD67">
        <f t="shared" si="46"/>
        <v>1238.5101168181252</v>
      </c>
      <c r="AE67">
        <f t="shared" si="46"/>
        <v>904.68992660077993</v>
      </c>
      <c r="AF67">
        <f t="shared" si="46"/>
        <v>1135.8323250075566</v>
      </c>
      <c r="AG67">
        <f t="shared" si="46"/>
        <v>1026.7454096267734</v>
      </c>
      <c r="AH67">
        <f t="shared" si="46"/>
        <v>1031.2652959447664</v>
      </c>
      <c r="AI67">
        <f t="shared" ref="AI67:BN67" si="47">AI65+AI66</f>
        <v>1323.5336335928321</v>
      </c>
      <c r="AJ67">
        <f t="shared" si="47"/>
        <v>1155.9738832555975</v>
      </c>
      <c r="AK67">
        <f t="shared" si="47"/>
        <v>1277.1833214815808</v>
      </c>
      <c r="AL67">
        <f t="shared" si="47"/>
        <v>1399.4455301564833</v>
      </c>
      <c r="AM67">
        <f t="shared" si="47"/>
        <v>1053.5319119585374</v>
      </c>
      <c r="AN67">
        <f t="shared" si="47"/>
        <v>1058.1860787729956</v>
      </c>
      <c r="AO67">
        <f t="shared" si="47"/>
        <v>1240.009095869078</v>
      </c>
      <c r="AP67">
        <f t="shared" si="47"/>
        <v>1304.8061705207192</v>
      </c>
      <c r="AQ67">
        <f t="shared" si="47"/>
        <v>953.15334163436444</v>
      </c>
      <c r="AR67">
        <f t="shared" si="47"/>
        <v>1196.7240091857921</v>
      </c>
      <c r="AS67">
        <f t="shared" si="47"/>
        <v>1081.8311798879615</v>
      </c>
      <c r="AT67">
        <f t="shared" si="47"/>
        <v>1086.6364246459341</v>
      </c>
      <c r="AU67">
        <f t="shared" si="47"/>
        <v>1394.6529745930288</v>
      </c>
      <c r="AV67">
        <f t="shared" si="47"/>
        <v>1218.1386079167269</v>
      </c>
      <c r="AW67">
        <f t="shared" si="47"/>
        <v>1345.9211793006186</v>
      </c>
      <c r="AX67">
        <f t="shared" si="47"/>
        <v>1474.8243024364581</v>
      </c>
      <c r="AY67">
        <f t="shared" si="47"/>
        <v>1110.3098424185025</v>
      </c>
      <c r="AZ67">
        <f t="shared" si="47"/>
        <v>1115.261669465358</v>
      </c>
      <c r="BA67">
        <f t="shared" si="47"/>
        <v>1306.9471958149184</v>
      </c>
      <c r="BB67">
        <f t="shared" si="47"/>
        <v>1375.3011701385481</v>
      </c>
      <c r="BC67">
        <f t="shared" si="47"/>
        <v>1004.6931239301452</v>
      </c>
      <c r="BD67">
        <f t="shared" si="47"/>
        <v>1261.4897038636718</v>
      </c>
      <c r="BE67">
        <f t="shared" si="47"/>
        <v>1140.4295442129753</v>
      </c>
      <c r="BF67">
        <f t="shared" si="47"/>
        <v>1145.5464244425566</v>
      </c>
      <c r="BG67">
        <f t="shared" si="47"/>
        <v>1470.328161586398</v>
      </c>
      <c r="BH67">
        <f t="shared" si="47"/>
        <v>1284.294798197642</v>
      </c>
      <c r="BI67">
        <f t="shared" si="47"/>
        <v>1419.0828685854924</v>
      </c>
      <c r="BJ67">
        <f t="shared" si="47"/>
        <v>1555.0657244135305</v>
      </c>
      <c r="BL67">
        <f t="shared" si="45"/>
        <v>12481.23718221717</v>
      </c>
      <c r="BM67">
        <f t="shared" si="45"/>
        <v>13050.726263071934</v>
      </c>
      <c r="BN67">
        <f t="shared" si="45"/>
        <v>13674.840118809914</v>
      </c>
      <c r="BO67">
        <f t="shared" si="45"/>
        <v>14408.415276722213</v>
      </c>
      <c r="BP67">
        <f t="shared" si="45"/>
        <v>15188.750227069739</v>
      </c>
      <c r="BQ67">
        <f>BL67+BM67+BN67+BO67+BP67</f>
        <v>68803.969067890968</v>
      </c>
    </row>
    <row r="68" spans="1:69" ht="13" customHeight="1">
      <c r="A68" t="s">
        <v>263</v>
      </c>
    </row>
    <row r="69" spans="1:69" ht="13" customHeight="1">
      <c r="A69" t="s">
        <v>264</v>
      </c>
      <c r="B69" t="s">
        <v>238</v>
      </c>
      <c r="C69">
        <f t="shared" ref="C69:AH69" si="48">C62-C31</f>
        <v>6.4023668337431729</v>
      </c>
      <c r="D69">
        <f t="shared" si="48"/>
        <v>6.5037596365827142</v>
      </c>
      <c r="E69">
        <f t="shared" si="48"/>
        <v>7.7078845360898072</v>
      </c>
      <c r="F69">
        <f t="shared" si="48"/>
        <v>8.2028074027932121</v>
      </c>
      <c r="G69">
        <f t="shared" si="48"/>
        <v>6.0601551756567744</v>
      </c>
      <c r="H69">
        <f t="shared" si="48"/>
        <v>7.6951605645152199</v>
      </c>
      <c r="I69">
        <f t="shared" si="48"/>
        <v>7.0353243384105326</v>
      </c>
      <c r="J69">
        <f t="shared" si="48"/>
        <v>7.1467411428643572</v>
      </c>
      <c r="K69">
        <f t="shared" si="48"/>
        <v>9.2765675487830208</v>
      </c>
      <c r="L69">
        <f t="shared" si="48"/>
        <v>8.1943290466228973</v>
      </c>
      <c r="M69">
        <f t="shared" si="48"/>
        <v>9.1565108146512557</v>
      </c>
      <c r="N69">
        <f t="shared" si="48"/>
        <v>10.147113118638799</v>
      </c>
      <c r="O69">
        <f t="shared" si="48"/>
        <v>32.867213062720339</v>
      </c>
      <c r="P69">
        <f t="shared" si="48"/>
        <v>33.387723514634729</v>
      </c>
      <c r="Q69">
        <f t="shared" si="48"/>
        <v>39.569223365227856</v>
      </c>
      <c r="R69">
        <f t="shared" si="48"/>
        <v>42.109961147358376</v>
      </c>
      <c r="S69">
        <f t="shared" si="48"/>
        <v>31.110434082235628</v>
      </c>
      <c r="T69">
        <f t="shared" si="48"/>
        <v>39.503903539668784</v>
      </c>
      <c r="U69">
        <f t="shared" si="48"/>
        <v>36.116565951390385</v>
      </c>
      <c r="V69">
        <f t="shared" si="48"/>
        <v>36.688535653509064</v>
      </c>
      <c r="W69">
        <f t="shared" si="48"/>
        <v>47.622220037384238</v>
      </c>
      <c r="X69">
        <f t="shared" si="48"/>
        <v>42.066436628082045</v>
      </c>
      <c r="Y69">
        <f t="shared" si="48"/>
        <v>47.005896361657335</v>
      </c>
      <c r="Z69">
        <f t="shared" si="48"/>
        <v>52.091255859332932</v>
      </c>
      <c r="AA69">
        <f t="shared" si="48"/>
        <v>69.980390604838647</v>
      </c>
      <c r="AB69">
        <f t="shared" si="48"/>
        <v>71.088653866142863</v>
      </c>
      <c r="AC69">
        <f t="shared" si="48"/>
        <v>84.250213175803594</v>
      </c>
      <c r="AD69">
        <f t="shared" si="48"/>
        <v>89.659914998671184</v>
      </c>
      <c r="AE69">
        <f t="shared" si="48"/>
        <v>66.239882426488464</v>
      </c>
      <c r="AF69">
        <f t="shared" si="48"/>
        <v>84.111135156072237</v>
      </c>
      <c r="AG69">
        <f t="shared" si="48"/>
        <v>76.898865375673608</v>
      </c>
      <c r="AH69">
        <f t="shared" si="48"/>
        <v>78.11669492185456</v>
      </c>
      <c r="AI69">
        <f t="shared" ref="AI69:BJ69" si="49">AI62-AI31</f>
        <v>101.39653621760073</v>
      </c>
      <c r="AJ69">
        <f t="shared" si="49"/>
        <v>89.567243227139102</v>
      </c>
      <c r="AK69">
        <f t="shared" si="49"/>
        <v>100.08426883782425</v>
      </c>
      <c r="AL69">
        <f t="shared" si="49"/>
        <v>110.91194209792837</v>
      </c>
      <c r="AM69">
        <f t="shared" si="49"/>
        <v>74.799682982514867</v>
      </c>
      <c r="AN69">
        <f t="shared" si="49"/>
        <v>75.984268262623289</v>
      </c>
      <c r="AO69">
        <f t="shared" si="49"/>
        <v>90.052215803489503</v>
      </c>
      <c r="AP69">
        <f t="shared" si="49"/>
        <v>95.834463914468643</v>
      </c>
      <c r="AQ69">
        <f t="shared" si="49"/>
        <v>70.801579749367704</v>
      </c>
      <c r="AR69">
        <f t="shared" si="49"/>
        <v>89.903559991542068</v>
      </c>
      <c r="AS69">
        <f t="shared" si="49"/>
        <v>82.19460769082599</v>
      </c>
      <c r="AT69">
        <f t="shared" si="49"/>
        <v>83.496304683280016</v>
      </c>
      <c r="AU69">
        <f t="shared" si="49"/>
        <v>108.37934311382946</v>
      </c>
      <c r="AV69">
        <f t="shared" si="49"/>
        <v>95.735410178527673</v>
      </c>
      <c r="AW69">
        <f t="shared" si="49"/>
        <v>106.97670470116549</v>
      </c>
      <c r="AX69">
        <f t="shared" si="49"/>
        <v>118.55004003545037</v>
      </c>
      <c r="AY69">
        <f t="shared" si="49"/>
        <v>79.885254655949325</v>
      </c>
      <c r="AZ69">
        <f t="shared" si="49"/>
        <v>81.150378958485192</v>
      </c>
      <c r="BA69">
        <f t="shared" si="49"/>
        <v>96.174795199010191</v>
      </c>
      <c r="BB69">
        <f t="shared" si="49"/>
        <v>102.35017381575426</v>
      </c>
      <c r="BC69">
        <f t="shared" si="49"/>
        <v>75.615323525420422</v>
      </c>
      <c r="BD69">
        <f t="shared" si="49"/>
        <v>96.016032395211937</v>
      </c>
      <c r="BE69">
        <f t="shared" si="49"/>
        <v>87.782954484745176</v>
      </c>
      <c r="BF69">
        <f t="shared" si="49"/>
        <v>89.173152832930441</v>
      </c>
      <c r="BG69">
        <f t="shared" si="49"/>
        <v>115.74796949495965</v>
      </c>
      <c r="BH69">
        <f t="shared" si="49"/>
        <v>102.2443854941364</v>
      </c>
      <c r="BI69">
        <f t="shared" si="49"/>
        <v>114.2499667987172</v>
      </c>
      <c r="BJ69">
        <f t="shared" si="49"/>
        <v>126.61016410883349</v>
      </c>
      <c r="BL69">
        <f t="shared" ref="BL69:BP70" si="50">SUMIF($C$2:$BJ$2,BL$2,$C69:$BJ69)</f>
        <v>93.528720159351764</v>
      </c>
      <c r="BM69">
        <f t="shared" si="50"/>
        <v>480.13936920320174</v>
      </c>
      <c r="BN69">
        <f t="shared" si="50"/>
        <v>1022.3057409060375</v>
      </c>
      <c r="BO69">
        <f t="shared" si="50"/>
        <v>1092.708181107085</v>
      </c>
      <c r="BP69">
        <f t="shared" si="50"/>
        <v>1167.0005517641537</v>
      </c>
      <c r="BQ69">
        <f>BL69+BM69+BN69+BO69+BP69</f>
        <v>3855.6825631398297</v>
      </c>
    </row>
    <row r="70" spans="1:69" ht="13" customHeight="1">
      <c r="A70" t="s">
        <v>265</v>
      </c>
      <c r="B70" t="s">
        <v>238</v>
      </c>
      <c r="C70">
        <f t="shared" ref="C70:AH70" si="51">C67-C37</f>
        <v>-2.2272063402813274</v>
      </c>
      <c r="D70">
        <f t="shared" si="51"/>
        <v>-2.2306649601130175</v>
      </c>
      <c r="E70">
        <f t="shared" si="51"/>
        <v>-2.6063901997817993</v>
      </c>
      <c r="F70">
        <f t="shared" si="51"/>
        <v>-2.7345461913268991</v>
      </c>
      <c r="G70">
        <f t="shared" si="51"/>
        <v>-1.9916310344486874</v>
      </c>
      <c r="H70">
        <f t="shared" si="51"/>
        <v>-2.4930375416654442</v>
      </c>
      <c r="I70">
        <f t="shared" si="51"/>
        <v>-2.2468007934486423</v>
      </c>
      <c r="J70">
        <f t="shared" si="51"/>
        <v>-2.249784098375244</v>
      </c>
      <c r="K70">
        <f t="shared" si="51"/>
        <v>-2.8784267927826477</v>
      </c>
      <c r="L70">
        <f t="shared" si="51"/>
        <v>-2.5061023507137179</v>
      </c>
      <c r="M70">
        <f t="shared" si="51"/>
        <v>-2.7600381152765294</v>
      </c>
      <c r="N70">
        <f t="shared" si="51"/>
        <v>-3.0144567199597532</v>
      </c>
      <c r="O70">
        <f t="shared" si="51"/>
        <v>-8.8645740745906778</v>
      </c>
      <c r="P70">
        <f t="shared" si="51"/>
        <v>-8.8713451301510986</v>
      </c>
      <c r="Q70">
        <f t="shared" si="51"/>
        <v>-10.357292228122105</v>
      </c>
      <c r="R70">
        <f t="shared" si="51"/>
        <v>-10.857692635266631</v>
      </c>
      <c r="S70">
        <f t="shared" si="51"/>
        <v>-7.9013322511034403</v>
      </c>
      <c r="T70">
        <f t="shared" si="51"/>
        <v>-9.882184271958522</v>
      </c>
      <c r="U70">
        <f t="shared" si="51"/>
        <v>-8.8984582789767046</v>
      </c>
      <c r="V70">
        <f t="shared" si="51"/>
        <v>-8.9024663143852649</v>
      </c>
      <c r="W70">
        <f t="shared" si="51"/>
        <v>-11.379863354186682</v>
      </c>
      <c r="X70">
        <f t="shared" si="51"/>
        <v>-9.898876981731064</v>
      </c>
      <c r="Y70">
        <f t="shared" si="51"/>
        <v>-10.891813589123103</v>
      </c>
      <c r="Z70">
        <f t="shared" si="51"/>
        <v>-11.884604346914557</v>
      </c>
      <c r="AA70">
        <f t="shared" si="51"/>
        <v>-14.469191022886434</v>
      </c>
      <c r="AB70">
        <f t="shared" si="51"/>
        <v>-14.464509735420734</v>
      </c>
      <c r="AC70">
        <f t="shared" si="51"/>
        <v>-16.868601952188556</v>
      </c>
      <c r="AD70">
        <f t="shared" si="51"/>
        <v>-17.663612626707618</v>
      </c>
      <c r="AE70">
        <f t="shared" si="51"/>
        <v>-12.839310508879862</v>
      </c>
      <c r="AF70">
        <f t="shared" si="51"/>
        <v>-16.039237489022753</v>
      </c>
      <c r="AG70">
        <f t="shared" si="51"/>
        <v>-14.42529378493964</v>
      </c>
      <c r="AH70">
        <f t="shared" si="51"/>
        <v>-14.414142943263641</v>
      </c>
      <c r="AI70">
        <f t="shared" ref="AI70:BJ70" si="52">AI67-AI37</f>
        <v>-18.40235027369431</v>
      </c>
      <c r="AJ70">
        <f t="shared" si="52"/>
        <v>-15.987067506759104</v>
      </c>
      <c r="AK70">
        <f t="shared" si="52"/>
        <v>-17.567836704444517</v>
      </c>
      <c r="AL70">
        <f t="shared" si="52"/>
        <v>-19.143717106685699</v>
      </c>
      <c r="AM70">
        <f t="shared" si="52"/>
        <v>-15.033344162625326</v>
      </c>
      <c r="AN70">
        <f t="shared" si="52"/>
        <v>-15.025905911992368</v>
      </c>
      <c r="AO70">
        <f t="shared" si="52"/>
        <v>-17.520241192313733</v>
      </c>
      <c r="AP70">
        <f t="shared" si="52"/>
        <v>-18.342687519536639</v>
      </c>
      <c r="AQ70">
        <f t="shared" si="52"/>
        <v>-13.330484678773018</v>
      </c>
      <c r="AR70">
        <f t="shared" si="52"/>
        <v>-16.649725109255769</v>
      </c>
      <c r="AS70">
        <f t="shared" si="52"/>
        <v>-14.971502545257636</v>
      </c>
      <c r="AT70">
        <f t="shared" si="52"/>
        <v>-14.957021841237292</v>
      </c>
      <c r="AU70">
        <f t="shared" si="52"/>
        <v>-19.091644292766659</v>
      </c>
      <c r="AV70">
        <f t="shared" si="52"/>
        <v>-16.582526105650686</v>
      </c>
      <c r="AW70">
        <f t="shared" si="52"/>
        <v>-18.218392347715053</v>
      </c>
      <c r="AX70">
        <f t="shared" si="52"/>
        <v>-19.848418182713658</v>
      </c>
      <c r="AY70">
        <f t="shared" si="52"/>
        <v>-15.61040191342704</v>
      </c>
      <c r="AZ70">
        <f t="shared" si="52"/>
        <v>-15.599826500669451</v>
      </c>
      <c r="BA70">
        <f t="shared" si="52"/>
        <v>-18.186038877939609</v>
      </c>
      <c r="BB70">
        <f t="shared" si="52"/>
        <v>-19.03610966746146</v>
      </c>
      <c r="BC70">
        <f t="shared" si="52"/>
        <v>-13.83173247135278</v>
      </c>
      <c r="BD70">
        <f t="shared" si="52"/>
        <v>-17.272344007047877</v>
      </c>
      <c r="BE70">
        <f t="shared" si="52"/>
        <v>-15.528205791890969</v>
      </c>
      <c r="BF70">
        <f t="shared" si="52"/>
        <v>-15.509962422071567</v>
      </c>
      <c r="BG70">
        <f t="shared" si="52"/>
        <v>-19.793230003512008</v>
      </c>
      <c r="BH70">
        <f t="shared" si="52"/>
        <v>-17.188171410052064</v>
      </c>
      <c r="BI70">
        <f t="shared" si="52"/>
        <v>-18.87958972551337</v>
      </c>
      <c r="BJ70">
        <f t="shared" si="52"/>
        <v>-20.564100510458957</v>
      </c>
      <c r="BL70">
        <f t="shared" si="50"/>
        <v>-29.939085138173709</v>
      </c>
      <c r="BM70">
        <f t="shared" si="50"/>
        <v>-118.59050345650985</v>
      </c>
      <c r="BN70">
        <f t="shared" si="50"/>
        <v>-192.28487165489287</v>
      </c>
      <c r="BO70">
        <f t="shared" si="50"/>
        <v>-199.57189388983784</v>
      </c>
      <c r="BP70">
        <f t="shared" si="50"/>
        <v>-206.99971330139715</v>
      </c>
      <c r="BQ70">
        <f>BL70+BM70+BN70+BO70+BP70</f>
        <v>-747.38606744081142</v>
      </c>
    </row>
    <row r="71" spans="1:69" ht="13" customHeight="1">
      <c r="A71" t="s">
        <v>266</v>
      </c>
      <c r="B71" t="s">
        <v>87</v>
      </c>
      <c r="C71">
        <f t="shared" ref="C71:AH71" si="53">IF(C37=0,0,C70/C37)</f>
        <v>-2.4322689268851494E-3</v>
      </c>
      <c r="D71">
        <f t="shared" si="53"/>
        <v>-2.4257220447001853E-3</v>
      </c>
      <c r="E71">
        <f t="shared" si="53"/>
        <v>-2.4191008794593417E-3</v>
      </c>
      <c r="F71">
        <f t="shared" si="53"/>
        <v>-2.4124046164553533E-3</v>
      </c>
      <c r="G71">
        <f t="shared" si="53"/>
        <v>-2.4056324326978329E-3</v>
      </c>
      <c r="H71">
        <f t="shared" si="53"/>
        <v>-2.3987834968445939E-3</v>
      </c>
      <c r="I71">
        <f t="shared" si="53"/>
        <v>-2.3918569691318389E-3</v>
      </c>
      <c r="J71">
        <f t="shared" si="53"/>
        <v>-2.3848520013057765E-3</v>
      </c>
      <c r="K71">
        <f t="shared" si="53"/>
        <v>-2.3777677365513948E-3</v>
      </c>
      <c r="L71">
        <f t="shared" si="53"/>
        <v>-2.3706033094248011E-3</v>
      </c>
      <c r="M71">
        <f t="shared" si="53"/>
        <v>-2.3633578457818009E-3</v>
      </c>
      <c r="N71">
        <f t="shared" si="53"/>
        <v>-2.3560304627089296E-3</v>
      </c>
      <c r="O71">
        <f t="shared" si="53"/>
        <v>-9.1984244875377048E-3</v>
      </c>
      <c r="P71">
        <f t="shared" si="53"/>
        <v>-9.1661932976279011E-3</v>
      </c>
      <c r="Q71">
        <f t="shared" si="53"/>
        <v>-9.1335981518175027E-3</v>
      </c>
      <c r="R71">
        <f t="shared" si="53"/>
        <v>-9.1006350988117896E-3</v>
      </c>
      <c r="S71">
        <f t="shared" si="53"/>
        <v>-9.0673001480846525E-3</v>
      </c>
      <c r="T71">
        <f t="shared" si="53"/>
        <v>-9.0335892695748345E-3</v>
      </c>
      <c r="U71">
        <f t="shared" si="53"/>
        <v>-8.9994983933821774E-3</v>
      </c>
      <c r="V71">
        <f t="shared" si="53"/>
        <v>-8.9650234094626555E-3</v>
      </c>
      <c r="W71">
        <f t="shared" si="53"/>
        <v>-8.9301601673253909E-3</v>
      </c>
      <c r="X71">
        <f t="shared" si="53"/>
        <v>-8.8949044757271681E-3</v>
      </c>
      <c r="Y71">
        <f t="shared" si="53"/>
        <v>-8.8592521023681172E-3</v>
      </c>
      <c r="Z71">
        <f t="shared" si="53"/>
        <v>-8.8231987735893566E-3</v>
      </c>
      <c r="AA71">
        <f t="shared" si="53"/>
        <v>-1.4261204132992393E-2</v>
      </c>
      <c r="AB71">
        <f t="shared" si="53"/>
        <v>-1.4195358467403088E-2</v>
      </c>
      <c r="AC71">
        <f t="shared" si="53"/>
        <v>-1.4128773359621927E-2</v>
      </c>
      <c r="AD71">
        <f t="shared" si="53"/>
        <v>-1.4061440876107216E-2</v>
      </c>
      <c r="AE71">
        <f t="shared" si="53"/>
        <v>-1.3993353006739505E-2</v>
      </c>
      <c r="AF71">
        <f t="shared" si="53"/>
        <v>-1.3924501664282022E-2</v>
      </c>
      <c r="AG71">
        <f t="shared" si="53"/>
        <v>-1.385487868384192E-2</v>
      </c>
      <c r="AH71">
        <f t="shared" si="53"/>
        <v>-1.3784475822333817E-2</v>
      </c>
      <c r="AI71">
        <f t="shared" ref="AI71:BN71" si="54">IF(AI37=0,0,AI70/AI37)</f>
        <v>-1.3713284757944663E-2</v>
      </c>
      <c r="AJ71">
        <f t="shared" si="54"/>
        <v>-1.3641297089599762E-2</v>
      </c>
      <c r="AK71">
        <f t="shared" si="54"/>
        <v>-1.3568504336429742E-2</v>
      </c>
      <c r="AL71">
        <f t="shared" si="54"/>
        <v>-1.3494897937242196E-2</v>
      </c>
      <c r="AM71">
        <f t="shared" si="54"/>
        <v>-1.4068718851289998E-2</v>
      </c>
      <c r="AN71">
        <f t="shared" si="54"/>
        <v>-1.4000874129636943E-2</v>
      </c>
      <c r="AO71">
        <f t="shared" si="54"/>
        <v>-1.3932272334302135E-2</v>
      </c>
      <c r="AP71">
        <f t="shared" si="54"/>
        <v>-1.3862905453211354E-2</v>
      </c>
      <c r="AQ71">
        <f t="shared" si="54"/>
        <v>-1.3792765399525668E-2</v>
      </c>
      <c r="AR71">
        <f t="shared" si="54"/>
        <v>-1.3721844011176831E-2</v>
      </c>
      <c r="AS71">
        <f t="shared" si="54"/>
        <v>-1.3650133050407819E-2</v>
      </c>
      <c r="AT71">
        <f t="shared" si="54"/>
        <v>-1.3577624203314898E-2</v>
      </c>
      <c r="AU71">
        <f t="shared" si="54"/>
        <v>-1.3504309079395982E-2</v>
      </c>
      <c r="AV71">
        <f t="shared" si="54"/>
        <v>-1.3430179211098002E-2</v>
      </c>
      <c r="AW71">
        <f t="shared" si="54"/>
        <v>-1.3355226053373104E-2</v>
      </c>
      <c r="AX71">
        <f t="shared" si="54"/>
        <v>-1.3279440983235047E-2</v>
      </c>
      <c r="AY71">
        <f t="shared" si="54"/>
        <v>-1.3864571662169154E-2</v>
      </c>
      <c r="AZ71">
        <f t="shared" si="54"/>
        <v>-1.3794639357973234E-2</v>
      </c>
      <c r="BA71">
        <f t="shared" si="54"/>
        <v>-1.3723932357756317E-2</v>
      </c>
      <c r="BB71">
        <f t="shared" si="54"/>
        <v>-1.3652442592734739E-2</v>
      </c>
      <c r="BC71">
        <f t="shared" si="54"/>
        <v>-1.3580161921841572E-2</v>
      </c>
      <c r="BD71">
        <f t="shared" si="54"/>
        <v>-1.3507082131353711E-2</v>
      </c>
      <c r="BE71">
        <f t="shared" si="54"/>
        <v>-1.3433194934525591E-2</v>
      </c>
      <c r="BF71">
        <f t="shared" si="54"/>
        <v>-1.3358491971225796E-2</v>
      </c>
      <c r="BG71">
        <f t="shared" si="54"/>
        <v>-1.3282964807580736E-2</v>
      </c>
      <c r="BH71">
        <f t="shared" si="54"/>
        <v>-1.3206604935624392E-2</v>
      </c>
      <c r="BI71">
        <f t="shared" si="54"/>
        <v>-1.3129403772953055E-2</v>
      </c>
      <c r="BJ71">
        <f t="shared" si="54"/>
        <v>-1.3051352662387562E-2</v>
      </c>
      <c r="BL71">
        <f>AVERAGEIFS($C71:$BJ71,$C$2:$BJ$2,BL$2)</f>
        <v>-2.3948650601622497E-3</v>
      </c>
      <c r="BM71">
        <f>AVERAGEIFS($C71:$BJ71,$C$2:$BJ$2,BM$2)</f>
        <v>-9.0143148146091048E-3</v>
      </c>
      <c r="BN71">
        <f>AVERAGEIFS($C71:$BJ71,$C$2:$BJ$2,BN$2)</f>
        <v>-1.388516417787819E-2</v>
      </c>
      <c r="BO71">
        <f>AVERAGEIFS($C71:$BJ71,$C$2:$BJ$2,BO$2)</f>
        <v>-1.3681357729997318E-2</v>
      </c>
      <c r="BP71">
        <f>AVERAGEIFS($C71:$BJ71,$C$2:$BJ$2,BP$2)</f>
        <v>-1.3465403592343819E-2</v>
      </c>
      <c r="BQ71">
        <f>AVERAGE(BL71:BP71)</f>
        <v>-1.0488221074998137E-2</v>
      </c>
    </row>
    <row r="72" spans="1:69" ht="13" customHeight="1"/>
    <row r="73" spans="1:69" ht="13" customHeight="1"/>
    <row r="74" spans="1:69" ht="13" customHeight="1"/>
    <row r="75" spans="1:69" ht="13" customHeight="1"/>
    <row r="76" spans="1:69" ht="13" customHeight="1"/>
    <row r="77" spans="1:69" ht="13" customHeight="1"/>
    <row r="78" spans="1:69" ht="13" customHeight="1"/>
    <row r="79" spans="1:69" ht="13" customHeight="1"/>
    <row r="80" spans="1:69" ht="13" customHeight="1"/>
    <row r="81" ht="13" customHeight="1"/>
    <row r="82" ht="13" customHeight="1"/>
    <row r="83" ht="13" customHeight="1"/>
    <row r="84" ht="13" customHeight="1"/>
    <row r="85" ht="13" customHeight="1"/>
    <row r="86" ht="13" customHeight="1"/>
    <row r="87" ht="13" customHeight="1"/>
    <row r="88" ht="13" customHeight="1"/>
    <row r="89" ht="13" customHeight="1"/>
    <row r="90" ht="13" customHeight="1"/>
    <row r="91" ht="13" customHeight="1"/>
    <row r="92" ht="13" customHeight="1"/>
    <row r="93" ht="13" customHeight="1"/>
    <row r="94" ht="13" customHeight="1"/>
    <row r="95" ht="13" customHeight="1"/>
    <row r="96" ht="13" customHeight="1"/>
    <row r="97" ht="13" customHeight="1"/>
    <row r="98" ht="13" customHeight="1"/>
    <row r="99" ht="13" customHeight="1"/>
    <row r="100" ht="13" customHeight="1"/>
    <row r="101" ht="13" customHeight="1"/>
    <row r="102" ht="13" customHeight="1"/>
    <row r="103" ht="13" customHeight="1"/>
    <row r="104" ht="13" customHeight="1"/>
    <row r="105" ht="13" customHeight="1"/>
    <row r="106" ht="13" customHeight="1"/>
    <row r="107" ht="13" customHeight="1"/>
    <row r="108" ht="13" customHeight="1"/>
    <row r="109" ht="13" customHeight="1"/>
    <row r="110" ht="13" customHeight="1"/>
    <row r="111" ht="13" customHeight="1"/>
    <row r="112" ht="13" customHeight="1"/>
    <row r="113" ht="13" customHeight="1"/>
    <row r="114" ht="13" customHeight="1"/>
    <row r="115" ht="13" customHeight="1"/>
    <row r="116" ht="13" customHeight="1"/>
    <row r="117" ht="13" customHeight="1"/>
    <row r="118" ht="13" customHeight="1"/>
    <row r="119" ht="13" customHeight="1"/>
    <row r="120" ht="13" customHeight="1"/>
    <row r="121" ht="13" customHeight="1"/>
    <row r="122" ht="13" customHeight="1"/>
    <row r="123" ht="13" customHeight="1"/>
    <row r="124" ht="13" customHeight="1"/>
    <row r="125" ht="13" customHeight="1"/>
    <row r="126" ht="13" customHeight="1"/>
    <row r="127" ht="13" customHeight="1"/>
    <row r="128" ht="13" customHeight="1"/>
    <row r="129" ht="13" customHeight="1"/>
    <row r="130" ht="13" customHeight="1"/>
    <row r="131" ht="13" customHeight="1"/>
    <row r="132" ht="13" customHeight="1"/>
    <row r="133" ht="13" customHeight="1"/>
    <row r="134" ht="13" customHeight="1"/>
    <row r="135" ht="13" customHeight="1"/>
    <row r="136" ht="13" customHeight="1"/>
    <row r="137" ht="13" customHeight="1"/>
    <row r="138" ht="13" customHeight="1"/>
    <row r="139" ht="13" customHeight="1"/>
    <row r="140" ht="13" customHeight="1"/>
    <row r="141" ht="13" customHeight="1"/>
    <row r="142" ht="13" customHeight="1"/>
    <row r="143" ht="13" customHeight="1"/>
    <row r="144" ht="13" customHeight="1"/>
    <row r="145" ht="13" customHeight="1"/>
    <row r="146" ht="13" customHeight="1"/>
    <row r="147" ht="13" customHeight="1"/>
    <row r="148" ht="13" customHeight="1"/>
    <row r="149" ht="13" customHeight="1"/>
    <row r="150" ht="13" customHeight="1"/>
    <row r="151" ht="13" customHeight="1"/>
    <row r="152" ht="13" customHeight="1"/>
    <row r="153" ht="13" customHeight="1"/>
    <row r="154" ht="13" customHeight="1"/>
    <row r="155" ht="13" customHeight="1"/>
    <row r="156" ht="13" customHeight="1"/>
    <row r="157" ht="13" customHeight="1"/>
    <row r="158" ht="13" customHeight="1"/>
    <row r="159" ht="13" customHeight="1"/>
    <row r="160" ht="13" customHeight="1"/>
    <row r="161" ht="13" customHeight="1"/>
    <row r="162" ht="13" customHeight="1"/>
    <row r="163" ht="13" customHeight="1"/>
    <row r="164" ht="13" customHeight="1"/>
    <row r="165" ht="13" customHeight="1"/>
    <row r="166" ht="13" customHeight="1"/>
    <row r="167" ht="13" customHeight="1"/>
    <row r="168" ht="13" customHeight="1"/>
    <row r="169" ht="13" customHeight="1"/>
    <row r="170" ht="13" customHeight="1"/>
    <row r="171" ht="13" customHeight="1"/>
    <row r="172" ht="13" customHeight="1"/>
    <row r="173" ht="13" customHeight="1"/>
    <row r="174" ht="13" customHeight="1"/>
    <row r="175" ht="13" customHeight="1"/>
    <row r="176" ht="13" customHeight="1"/>
    <row r="177" ht="13" customHeight="1"/>
    <row r="178" ht="13" customHeight="1"/>
    <row r="179" ht="13" customHeight="1"/>
    <row r="180" ht="13" customHeight="1"/>
    <row r="181" ht="13" customHeight="1"/>
    <row r="182" ht="13" customHeight="1"/>
    <row r="183" ht="13" customHeight="1"/>
    <row r="184" ht="13" customHeight="1"/>
    <row r="185" ht="13" customHeight="1"/>
    <row r="186" ht="13" customHeight="1"/>
    <row r="187" ht="13" customHeight="1"/>
    <row r="188" ht="13" customHeight="1"/>
    <row r="189" ht="13" customHeight="1"/>
    <row r="190" ht="13" customHeight="1"/>
    <row r="191" ht="13" customHeight="1"/>
    <row r="192" ht="13" customHeight="1"/>
    <row r="193" ht="13" customHeight="1"/>
    <row r="194" ht="13" customHeight="1"/>
    <row r="195" ht="13" customHeight="1"/>
    <row r="196" ht="13" customHeight="1"/>
    <row r="197" ht="13" customHeight="1"/>
    <row r="198" ht="13" customHeight="1"/>
    <row r="199" ht="13" customHeight="1"/>
    <row r="200" ht="13" customHeight="1"/>
    <row r="201" ht="13" customHeight="1"/>
    <row r="202" ht="13" customHeight="1"/>
    <row r="203" ht="13" customHeight="1"/>
    <row r="204" ht="13" customHeight="1"/>
    <row r="205" ht="13" customHeight="1"/>
    <row r="206" ht="13" customHeight="1"/>
    <row r="207" ht="13" customHeight="1"/>
    <row r="208" ht="13" customHeight="1"/>
    <row r="209" ht="13" customHeight="1"/>
    <row r="210" ht="13" customHeight="1"/>
    <row r="211" ht="13" customHeight="1"/>
    <row r="212" ht="13" customHeight="1"/>
    <row r="213" ht="13" customHeight="1"/>
    <row r="214" ht="13" customHeight="1"/>
    <row r="215" ht="13" customHeight="1"/>
    <row r="216" ht="13" customHeight="1"/>
    <row r="217" ht="13" customHeight="1"/>
    <row r="218" ht="13" customHeight="1"/>
    <row r="219" ht="13" customHeight="1"/>
    <row r="220" ht="13" customHeight="1"/>
    <row r="221" ht="13" customHeight="1"/>
    <row r="222" ht="13" customHeight="1"/>
    <row r="223" ht="13" customHeight="1"/>
    <row r="224" ht="13" customHeight="1"/>
    <row r="225" ht="13" customHeight="1"/>
    <row r="226" ht="13" customHeight="1"/>
    <row r="227" ht="13" customHeight="1"/>
    <row r="228" ht="13" customHeight="1"/>
    <row r="229" ht="13" customHeight="1"/>
    <row r="230" ht="13" customHeight="1"/>
    <row r="231" ht="13" customHeight="1"/>
    <row r="232" ht="13" customHeight="1"/>
    <row r="233" ht="13" customHeight="1"/>
    <row r="234" ht="13" customHeight="1"/>
    <row r="235" ht="13" customHeight="1"/>
    <row r="236" ht="13" customHeight="1"/>
    <row r="237" ht="13" customHeight="1"/>
    <row r="238" ht="13" customHeight="1"/>
    <row r="239" ht="13" customHeight="1"/>
    <row r="240" ht="13" customHeight="1"/>
    <row r="241" ht="13" customHeight="1"/>
    <row r="242" ht="13" customHeight="1"/>
    <row r="243" ht="13" customHeight="1"/>
    <row r="244" ht="13" customHeight="1"/>
    <row r="245" ht="13" customHeight="1"/>
    <row r="246" ht="13" customHeight="1"/>
    <row r="247" ht="13" customHeight="1"/>
    <row r="248" ht="13" customHeight="1"/>
    <row r="249" ht="13" customHeight="1"/>
    <row r="250" ht="13" customHeight="1"/>
    <row r="251" ht="13" customHeight="1"/>
    <row r="252" ht="13" customHeight="1"/>
    <row r="253" ht="13" customHeight="1"/>
    <row r="254" ht="13" customHeight="1"/>
    <row r="255" ht="13" customHeight="1"/>
    <row r="256" ht="13" customHeight="1"/>
    <row r="257" ht="13" customHeight="1"/>
    <row r="258" ht="13" customHeight="1"/>
    <row r="259" ht="13" customHeight="1"/>
    <row r="260" ht="13" customHeight="1"/>
    <row r="261" ht="13" customHeight="1"/>
    <row r="262" ht="13" customHeight="1"/>
    <row r="263" ht="13" customHeight="1"/>
    <row r="264" ht="13" customHeight="1"/>
    <row r="265" ht="13" customHeight="1"/>
    <row r="266" ht="13" customHeight="1"/>
    <row r="267" ht="13" customHeight="1"/>
    <row r="268" ht="13" customHeight="1"/>
    <row r="269" ht="13" customHeight="1"/>
    <row r="270" ht="13" customHeight="1"/>
    <row r="271" ht="13" customHeight="1"/>
    <row r="272" ht="13" customHeight="1"/>
    <row r="273" ht="13" customHeight="1"/>
    <row r="274" ht="13" customHeight="1"/>
    <row r="275" ht="13" customHeight="1"/>
    <row r="276" ht="13" customHeight="1"/>
    <row r="277" ht="13" customHeight="1"/>
    <row r="278" ht="13" customHeight="1"/>
    <row r="279" ht="13" customHeight="1"/>
    <row r="280" ht="13" customHeight="1"/>
    <row r="281" ht="13" customHeight="1"/>
    <row r="282" ht="13" customHeight="1"/>
    <row r="283" ht="13" customHeight="1"/>
    <row r="284" ht="13" customHeight="1"/>
    <row r="285" ht="13" customHeight="1"/>
    <row r="286" ht="13" customHeight="1"/>
    <row r="287" ht="13" customHeight="1"/>
    <row r="288" ht="13" customHeight="1"/>
    <row r="289" ht="13" customHeight="1"/>
    <row r="290" ht="13" customHeight="1"/>
    <row r="291" ht="13" customHeight="1"/>
    <row r="292" ht="13" customHeight="1"/>
    <row r="293" ht="13" customHeight="1"/>
    <row r="294" ht="13" customHeight="1"/>
    <row r="295" ht="13" customHeight="1"/>
    <row r="296" ht="13" customHeight="1"/>
    <row r="297" ht="13" customHeight="1"/>
    <row r="298" ht="13" customHeight="1"/>
    <row r="299" ht="13" customHeight="1"/>
    <row r="300" ht="13" customHeight="1"/>
    <row r="301" ht="13" customHeight="1"/>
    <row r="302" ht="13" customHeight="1"/>
    <row r="303" ht="13" customHeight="1"/>
    <row r="304" ht="13" customHeight="1"/>
    <row r="305" ht="13" customHeight="1"/>
    <row r="306" ht="13" customHeight="1"/>
    <row r="307" ht="13" customHeight="1"/>
    <row r="308" ht="13" customHeight="1"/>
    <row r="309" ht="13" customHeight="1"/>
    <row r="310" ht="13" customHeight="1"/>
    <row r="311" ht="13" customHeight="1"/>
    <row r="312" ht="13" customHeight="1"/>
    <row r="313" ht="13" customHeight="1"/>
    <row r="314" ht="13" customHeight="1"/>
    <row r="315" ht="13" customHeight="1"/>
    <row r="316" ht="13" customHeight="1"/>
    <row r="317" ht="13" customHeight="1"/>
    <row r="318" ht="13" customHeight="1"/>
    <row r="319" ht="13" customHeight="1"/>
    <row r="320" ht="13" customHeight="1"/>
    <row r="321" ht="13" customHeight="1"/>
    <row r="322" ht="13" customHeight="1"/>
    <row r="323" ht="13" customHeight="1"/>
    <row r="324" ht="13" customHeight="1"/>
    <row r="325" ht="13" customHeight="1"/>
    <row r="326" ht="13" customHeight="1"/>
    <row r="327" ht="13" customHeight="1"/>
    <row r="328" ht="13" customHeight="1"/>
    <row r="329" ht="13" customHeight="1"/>
    <row r="330" ht="13" customHeight="1"/>
    <row r="331" ht="13" customHeight="1"/>
    <row r="332" ht="13" customHeight="1"/>
    <row r="333" ht="13" customHeight="1"/>
    <row r="334" ht="13" customHeight="1"/>
    <row r="335" ht="13" customHeight="1"/>
    <row r="336" ht="13" customHeight="1"/>
    <row r="337" ht="13" customHeight="1"/>
    <row r="338" ht="13" customHeight="1"/>
    <row r="339" ht="13" customHeight="1"/>
    <row r="340" ht="13" customHeight="1"/>
    <row r="341" ht="13" customHeight="1"/>
    <row r="342" ht="13" customHeight="1"/>
    <row r="343" ht="13" customHeight="1"/>
    <row r="344" ht="13" customHeight="1"/>
    <row r="345" ht="13" customHeight="1"/>
    <row r="346" ht="13" customHeight="1"/>
    <row r="347" ht="13" customHeight="1"/>
    <row r="348" ht="13" customHeight="1"/>
    <row r="349" ht="13" customHeight="1"/>
    <row r="350" ht="13" customHeight="1"/>
    <row r="351" ht="13" customHeight="1"/>
    <row r="352" ht="13" customHeight="1"/>
    <row r="353" ht="13" customHeight="1"/>
    <row r="354" ht="13" customHeight="1"/>
    <row r="355" ht="13" customHeight="1"/>
    <row r="356" ht="13" customHeight="1"/>
    <row r="357" ht="13" customHeight="1"/>
    <row r="358" ht="13" customHeight="1"/>
    <row r="359" ht="13" customHeight="1"/>
    <row r="360" ht="13" customHeight="1"/>
    <row r="361" ht="13" customHeight="1"/>
    <row r="362" ht="13" customHeight="1"/>
    <row r="363" ht="13" customHeight="1"/>
    <row r="364" ht="13" customHeight="1"/>
    <row r="365" ht="13" customHeight="1"/>
    <row r="366" ht="13" customHeight="1"/>
    <row r="367" ht="13" customHeight="1"/>
    <row r="368" ht="13" customHeight="1"/>
    <row r="369" ht="13" customHeight="1"/>
    <row r="370" ht="13" customHeight="1"/>
    <row r="371" ht="13" customHeight="1"/>
    <row r="372" ht="13" customHeight="1"/>
    <row r="373" ht="13" customHeight="1"/>
    <row r="374" ht="13" customHeight="1"/>
    <row r="375" ht="13" customHeight="1"/>
    <row r="376" ht="13" customHeight="1"/>
    <row r="377" ht="13" customHeight="1"/>
    <row r="378" ht="13" customHeight="1"/>
    <row r="379" ht="13" customHeight="1"/>
    <row r="380" ht="13" customHeight="1"/>
    <row r="381" ht="13" customHeight="1"/>
    <row r="382" ht="13" customHeight="1"/>
    <row r="383" ht="13" customHeight="1"/>
    <row r="384" ht="13" customHeight="1"/>
    <row r="385" ht="13" customHeight="1"/>
    <row r="386" ht="13" customHeight="1"/>
    <row r="387" ht="13" customHeight="1"/>
    <row r="388" ht="13" customHeight="1"/>
    <row r="389" ht="13" customHeight="1"/>
    <row r="390" ht="13" customHeight="1"/>
    <row r="391" ht="13" customHeight="1"/>
    <row r="392" ht="13" customHeight="1"/>
    <row r="393" ht="13" customHeight="1"/>
    <row r="394" ht="13" customHeight="1"/>
    <row r="395" ht="13" customHeight="1"/>
    <row r="396" ht="13" customHeight="1"/>
    <row r="397" ht="13" customHeight="1"/>
    <row r="398" ht="13" customHeight="1"/>
    <row r="399" ht="13" customHeight="1"/>
    <row r="400" ht="13" customHeight="1"/>
    <row r="401" ht="13" customHeight="1"/>
    <row r="402" ht="13" customHeight="1"/>
    <row r="403" ht="13" customHeight="1"/>
    <row r="404" ht="13" customHeight="1"/>
    <row r="405" ht="13" customHeight="1"/>
    <row r="406" ht="13" customHeight="1"/>
    <row r="407" ht="13" customHeight="1"/>
    <row r="408" ht="13" customHeight="1"/>
    <row r="409" ht="13" customHeight="1"/>
    <row r="410" ht="13" customHeight="1"/>
    <row r="411" ht="13" customHeight="1"/>
    <row r="412" ht="13" customHeight="1"/>
    <row r="413" ht="13" customHeight="1"/>
    <row r="414" ht="13" customHeight="1"/>
    <row r="415" ht="13" customHeight="1"/>
    <row r="416" ht="13" customHeight="1"/>
    <row r="417" ht="13" customHeight="1"/>
    <row r="418" ht="13" customHeight="1"/>
    <row r="419" ht="13" customHeight="1"/>
    <row r="420" ht="13" customHeight="1"/>
    <row r="421" ht="13" customHeight="1"/>
    <row r="422" ht="13" customHeight="1"/>
    <row r="423" ht="13" customHeight="1"/>
    <row r="424" ht="13" customHeight="1"/>
    <row r="425" ht="13" customHeight="1"/>
    <row r="426" ht="13" customHeight="1"/>
    <row r="427" ht="13" customHeight="1"/>
    <row r="428" ht="13" customHeight="1"/>
    <row r="429" ht="13" customHeight="1"/>
    <row r="430" ht="13" customHeight="1"/>
    <row r="431" ht="13" customHeight="1"/>
    <row r="432" ht="13" customHeight="1"/>
    <row r="433" spans="1:81" ht="13" customHeight="1"/>
    <row r="434" spans="1:81" ht="13" customHeight="1"/>
    <row r="435" spans="1:81" ht="13" customHeight="1"/>
    <row r="436" spans="1:81" ht="13" customHeight="1"/>
    <row r="437" spans="1:81" ht="13" customHeight="1"/>
    <row r="438" spans="1:81" ht="16" customHeight="1">
      <c r="A438" s="109"/>
      <c r="C438" s="110"/>
      <c r="D438" s="110"/>
      <c r="E438" s="110"/>
      <c r="F438" s="110"/>
      <c r="G438" s="110"/>
      <c r="H438" s="110"/>
      <c r="I438" s="110"/>
      <c r="J438" s="110"/>
      <c r="K438" s="110"/>
      <c r="L438" s="110"/>
      <c r="M438" s="110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  <c r="AA438" s="110"/>
      <c r="AB438" s="110"/>
      <c r="AC438" s="110"/>
      <c r="AD438" s="110"/>
      <c r="AE438" s="110"/>
      <c r="AF438" s="110"/>
      <c r="AG438" s="110"/>
      <c r="AH438" s="110"/>
      <c r="AI438" s="110"/>
      <c r="AJ438" s="110"/>
      <c r="AK438" s="110"/>
      <c r="AL438" s="110"/>
      <c r="AM438" s="110"/>
      <c r="AN438" s="110"/>
      <c r="AO438" s="110"/>
      <c r="AP438" s="110"/>
      <c r="AQ438" s="110"/>
      <c r="AR438" s="110"/>
      <c r="AS438" s="110"/>
      <c r="AT438" s="110"/>
      <c r="AU438" s="110"/>
      <c r="AV438" s="110"/>
      <c r="AW438" s="110"/>
      <c r="AX438" s="110"/>
      <c r="AY438" s="110"/>
      <c r="AZ438" s="110"/>
      <c r="BA438" s="110"/>
      <c r="BB438" s="110"/>
      <c r="BC438" s="110"/>
      <c r="BD438" s="110"/>
      <c r="BE438" s="110"/>
      <c r="BF438" s="110"/>
      <c r="BG438" s="110"/>
      <c r="BH438" s="110"/>
      <c r="BI438" s="110"/>
      <c r="BJ438" s="110"/>
      <c r="BK438" s="110"/>
      <c r="BL438" s="110"/>
      <c r="BM438" s="110"/>
      <c r="BN438" s="110"/>
      <c r="BO438" s="110"/>
      <c r="BP438" s="110"/>
      <c r="BQ438" s="110"/>
      <c r="BR438" s="110"/>
      <c r="BS438" s="110"/>
      <c r="BT438" s="110"/>
      <c r="BU438" s="110"/>
      <c r="BV438" s="110"/>
      <c r="BW438" s="110"/>
      <c r="BX438" s="110"/>
      <c r="BY438" s="110"/>
      <c r="BZ438" s="110"/>
      <c r="CA438" s="110"/>
      <c r="CB438" s="110"/>
      <c r="CC438" s="110"/>
    </row>
    <row r="439" spans="1:81" ht="13" customHeight="1"/>
    <row r="440" spans="1:81" ht="13" customHeight="1">
      <c r="A440" s="26"/>
      <c r="B440" s="26"/>
      <c r="C440" s="111"/>
      <c r="D440" s="111"/>
      <c r="E440" s="111"/>
      <c r="F440" s="111"/>
      <c r="G440" s="111"/>
      <c r="H440" s="111"/>
      <c r="I440" s="111"/>
      <c r="J440" s="111"/>
      <c r="K440" s="111"/>
      <c r="L440" s="111"/>
      <c r="M440" s="111"/>
      <c r="N440" s="111"/>
      <c r="O440" s="111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  <c r="AA440" s="111"/>
      <c r="AB440" s="111"/>
      <c r="AC440" s="111"/>
      <c r="AD440" s="111"/>
      <c r="AE440" s="111"/>
      <c r="AF440" s="111"/>
      <c r="AG440" s="111"/>
      <c r="AH440" s="111"/>
      <c r="AI440" s="111"/>
      <c r="AJ440" s="111"/>
      <c r="AK440" s="111"/>
      <c r="AL440" s="111"/>
      <c r="AM440" s="111"/>
      <c r="AN440" s="111"/>
      <c r="AO440" s="111"/>
      <c r="AP440" s="111"/>
      <c r="AQ440" s="111"/>
      <c r="AR440" s="111"/>
      <c r="AS440" s="111"/>
      <c r="AT440" s="111"/>
      <c r="AU440" s="111"/>
      <c r="AV440" s="111"/>
      <c r="AW440" s="111"/>
      <c r="AX440" s="111"/>
      <c r="AY440" s="111"/>
      <c r="AZ440" s="111"/>
      <c r="BA440" s="111"/>
      <c r="BB440" s="111"/>
      <c r="BC440" s="111"/>
      <c r="BD440" s="111"/>
      <c r="BE440" s="111"/>
      <c r="BF440" s="111"/>
      <c r="BG440" s="111"/>
      <c r="BH440" s="111"/>
      <c r="BI440" s="111"/>
      <c r="BJ440" s="111"/>
    </row>
    <row r="441" spans="1:81" ht="13" customHeight="1">
      <c r="A441" s="26"/>
      <c r="B441" s="26"/>
      <c r="C441" s="111"/>
      <c r="D441" s="111"/>
      <c r="E441" s="111"/>
      <c r="F441" s="111"/>
      <c r="G441" s="111"/>
      <c r="H441" s="112"/>
      <c r="I441" s="112"/>
      <c r="J441" s="112"/>
      <c r="K441" s="112"/>
      <c r="L441" s="112"/>
      <c r="M441" s="112"/>
      <c r="N441" s="112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  <c r="AA441" s="111"/>
      <c r="AB441" s="111"/>
      <c r="AC441" s="111"/>
      <c r="AD441" s="111"/>
      <c r="AE441" s="111"/>
      <c r="AF441" s="111"/>
      <c r="AG441" s="111"/>
      <c r="AH441" s="111"/>
      <c r="AI441" s="111"/>
      <c r="AJ441" s="111"/>
      <c r="AK441" s="111"/>
      <c r="AL441" s="111"/>
      <c r="AM441" s="111"/>
      <c r="AN441" s="111"/>
      <c r="AO441" s="111"/>
      <c r="AP441" s="111"/>
      <c r="AQ441" s="111"/>
      <c r="AR441" s="111"/>
      <c r="AS441" s="111"/>
      <c r="AT441" s="111"/>
      <c r="AU441" s="111"/>
      <c r="AV441" s="111"/>
      <c r="AW441" s="111"/>
      <c r="AX441" s="111"/>
      <c r="AY441" s="111"/>
      <c r="AZ441" s="111"/>
      <c r="BA441" s="111"/>
      <c r="BB441" s="111"/>
      <c r="BC441" s="111"/>
      <c r="BD441" s="111"/>
      <c r="BE441" s="111"/>
      <c r="BF441" s="111"/>
      <c r="BG441" s="111"/>
      <c r="BH441" s="111"/>
      <c r="BI441" s="111"/>
      <c r="BJ441" s="111"/>
    </row>
    <row r="442" spans="1:81" ht="13" customHeight="1"/>
    <row r="443" spans="1:81" ht="13" customHeight="1">
      <c r="A443" s="26"/>
      <c r="B443" s="26"/>
      <c r="C443" s="111"/>
      <c r="D443" s="111"/>
      <c r="E443" s="111"/>
      <c r="F443" s="111"/>
      <c r="G443" s="111"/>
      <c r="H443" s="111"/>
      <c r="I443" s="111"/>
      <c r="J443" s="111"/>
      <c r="K443" s="111"/>
      <c r="L443" s="111"/>
      <c r="M443" s="111"/>
      <c r="N443" s="111"/>
      <c r="O443" s="111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/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/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/>
      <c r="BB443" s="111"/>
      <c r="BC443" s="111"/>
      <c r="BD443" s="111"/>
      <c r="BE443" s="111"/>
      <c r="BF443" s="111"/>
      <c r="BG443" s="111"/>
      <c r="BH443" s="111"/>
      <c r="BI443" s="111"/>
      <c r="BJ443" s="111"/>
    </row>
    <row r="444" spans="1:81" ht="13" customHeight="1">
      <c r="A444" s="26"/>
      <c r="B444" s="26"/>
      <c r="C444" s="111"/>
      <c r="D444" s="111"/>
      <c r="E444" s="111"/>
      <c r="F444" s="111"/>
      <c r="G444" s="111"/>
      <c r="H444" s="111"/>
      <c r="I444" s="111"/>
      <c r="J444" s="111"/>
      <c r="K444" s="111"/>
      <c r="L444" s="111"/>
      <c r="M444" s="111"/>
      <c r="N444" s="111"/>
      <c r="O444" s="111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  <c r="AA444" s="111"/>
      <c r="AB444" s="111"/>
      <c r="AC444" s="111"/>
      <c r="AD444" s="111"/>
      <c r="AE444" s="111"/>
      <c r="AF444" s="111"/>
      <c r="AG444" s="111"/>
      <c r="AH444" s="111"/>
      <c r="AI444" s="111"/>
      <c r="AJ444" s="111"/>
      <c r="AK444" s="111"/>
      <c r="AL444" s="111"/>
      <c r="AM444" s="111"/>
      <c r="AN444" s="111"/>
      <c r="AO444" s="111"/>
      <c r="AP444" s="111"/>
      <c r="AQ444" s="111"/>
      <c r="AR444" s="111"/>
      <c r="AS444" s="111"/>
      <c r="AT444" s="111"/>
      <c r="AU444" s="111"/>
      <c r="AV444" s="111"/>
      <c r="AW444" s="111"/>
      <c r="AX444" s="111"/>
      <c r="AY444" s="111"/>
      <c r="AZ444" s="111"/>
      <c r="BA444" s="111"/>
      <c r="BB444" s="111"/>
      <c r="BC444" s="111"/>
      <c r="BD444" s="111"/>
      <c r="BE444" s="111"/>
      <c r="BF444" s="111"/>
      <c r="BG444" s="111"/>
      <c r="BH444" s="111"/>
      <c r="BI444" s="111"/>
      <c r="BJ444" s="111"/>
    </row>
    <row r="445" spans="1:81" ht="13" customHeight="1"/>
    <row r="446" spans="1:81" ht="16" customHeight="1">
      <c r="A446" s="109"/>
      <c r="C446" s="110"/>
      <c r="D446" s="110"/>
      <c r="E446" s="110"/>
      <c r="F446" s="110"/>
      <c r="G446" s="110"/>
      <c r="H446" s="110"/>
      <c r="I446" s="110"/>
      <c r="J446" s="110"/>
      <c r="K446" s="110"/>
      <c r="L446" s="110"/>
      <c r="M446" s="110"/>
      <c r="N446" s="11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  <c r="AA446" s="110"/>
      <c r="AB446" s="110"/>
      <c r="AC446" s="110"/>
      <c r="AD446" s="110"/>
      <c r="AE446" s="110"/>
      <c r="AF446" s="110"/>
      <c r="AG446" s="110"/>
      <c r="AH446" s="110"/>
      <c r="AI446" s="110"/>
      <c r="AJ446" s="110"/>
      <c r="AK446" s="110"/>
      <c r="AL446" s="110"/>
      <c r="AM446" s="110"/>
      <c r="AN446" s="110"/>
      <c r="AO446" s="110"/>
      <c r="AP446" s="110"/>
      <c r="AQ446" s="110"/>
      <c r="AR446" s="110"/>
      <c r="AS446" s="110"/>
      <c r="AT446" s="110"/>
      <c r="AU446" s="110"/>
      <c r="AV446" s="110"/>
      <c r="AW446" s="110"/>
      <c r="AX446" s="110"/>
      <c r="AY446" s="110"/>
      <c r="AZ446" s="110"/>
      <c r="BA446" s="110"/>
      <c r="BB446" s="110"/>
      <c r="BC446" s="110"/>
      <c r="BD446" s="110"/>
      <c r="BE446" s="110"/>
      <c r="BF446" s="110"/>
      <c r="BG446" s="110"/>
      <c r="BH446" s="110"/>
      <c r="BI446" s="110"/>
      <c r="BJ446" s="110"/>
      <c r="BK446" s="110"/>
      <c r="BL446" s="110"/>
      <c r="BM446" s="110"/>
      <c r="BN446" s="110"/>
      <c r="BO446" s="110"/>
      <c r="BP446" s="110"/>
      <c r="BQ446" s="110"/>
      <c r="BR446" s="110"/>
      <c r="BS446" s="110"/>
      <c r="BT446" s="110"/>
      <c r="BU446" s="110"/>
      <c r="BV446" s="110"/>
      <c r="BW446" s="110"/>
      <c r="BX446" s="110"/>
      <c r="BY446" s="110"/>
      <c r="BZ446" s="110"/>
      <c r="CA446" s="110"/>
      <c r="CB446" s="110"/>
      <c r="CC446" s="110"/>
    </row>
    <row r="447" spans="1:81" ht="16" customHeight="1">
      <c r="A447" s="80"/>
      <c r="B447" s="58"/>
      <c r="C447" s="81"/>
      <c r="D447" s="81"/>
      <c r="E447" s="81"/>
      <c r="F447" s="81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  <c r="AA447" s="81"/>
      <c r="AB447" s="81"/>
      <c r="AC447" s="81"/>
      <c r="AD447" s="81"/>
      <c r="AE447" s="81"/>
      <c r="AF447" s="81"/>
      <c r="AG447" s="81"/>
      <c r="AH447" s="81"/>
      <c r="AI447" s="81"/>
      <c r="AJ447" s="81"/>
      <c r="AK447" s="81"/>
      <c r="AL447" s="81"/>
      <c r="AM447" s="81"/>
      <c r="AN447" s="81"/>
      <c r="AO447" s="81"/>
      <c r="AP447" s="81"/>
      <c r="AQ447" s="81"/>
      <c r="AR447" s="81"/>
      <c r="AS447" s="81"/>
      <c r="AT447" s="81"/>
      <c r="AU447" s="81"/>
      <c r="AV447" s="81"/>
      <c r="AW447" s="81"/>
      <c r="AX447" s="81"/>
      <c r="AY447" s="81"/>
      <c r="AZ447" s="81"/>
      <c r="BA447" s="81"/>
      <c r="BB447" s="81"/>
      <c r="BC447" s="81"/>
      <c r="BD447" s="81"/>
      <c r="BE447" s="81"/>
      <c r="BF447" s="81"/>
      <c r="BG447" s="81"/>
      <c r="BH447" s="81"/>
      <c r="BI447" s="81"/>
      <c r="BJ447" s="81"/>
      <c r="BK447" s="42"/>
      <c r="BL447" s="82"/>
      <c r="BM447" s="82"/>
      <c r="BN447" s="82"/>
      <c r="BO447" s="82"/>
      <c r="BP447" s="82"/>
      <c r="BQ447" s="82"/>
      <c r="BR447" s="42"/>
      <c r="BS447" s="42"/>
      <c r="BT447" s="42"/>
      <c r="BU447" s="42"/>
      <c r="BV447" s="42"/>
      <c r="BW447" s="42"/>
      <c r="BX447" s="42"/>
      <c r="BY447" s="42"/>
      <c r="BZ447" s="42"/>
      <c r="CA447" s="42"/>
      <c r="CB447" s="42"/>
      <c r="CC447" s="42"/>
    </row>
    <row r="448" spans="1:81" ht="16" customHeight="1">
      <c r="A448" s="64"/>
      <c r="B448" s="58"/>
      <c r="C448" s="54"/>
      <c r="D448" s="113"/>
      <c r="E448" s="113"/>
      <c r="F448" s="113"/>
      <c r="G448" s="113"/>
      <c r="H448" s="113"/>
      <c r="I448" s="113"/>
      <c r="J448" s="113"/>
      <c r="K448" s="113"/>
      <c r="L448" s="113"/>
      <c r="M448" s="113"/>
      <c r="N448" s="113"/>
      <c r="O448" s="113"/>
      <c r="P448" s="113"/>
      <c r="Q448" s="113"/>
      <c r="R448" s="113"/>
      <c r="S448" s="113"/>
      <c r="T448" s="113"/>
      <c r="U448" s="113"/>
      <c r="V448" s="113"/>
      <c r="W448" s="113"/>
      <c r="X448" s="113"/>
      <c r="Y448" s="113"/>
      <c r="Z448" s="113"/>
      <c r="AA448" s="113"/>
      <c r="AB448" s="113"/>
      <c r="AC448" s="113"/>
      <c r="AD448" s="113"/>
      <c r="AE448" s="113"/>
      <c r="AF448" s="113"/>
      <c r="AG448" s="113"/>
      <c r="AH448" s="113"/>
      <c r="AI448" s="113"/>
      <c r="AJ448" s="113"/>
      <c r="AK448" s="113"/>
      <c r="AL448" s="113"/>
      <c r="AM448" s="113"/>
      <c r="AN448" s="113"/>
      <c r="AO448" s="113"/>
      <c r="AP448" s="113"/>
      <c r="AQ448" s="113"/>
      <c r="AR448" s="113"/>
      <c r="AS448" s="113"/>
      <c r="AT448" s="113"/>
      <c r="AU448" s="113"/>
      <c r="AV448" s="113"/>
      <c r="AW448" s="113"/>
      <c r="AX448" s="113"/>
      <c r="AY448" s="113"/>
      <c r="AZ448" s="113"/>
      <c r="BA448" s="113"/>
      <c r="BB448" s="113"/>
      <c r="BC448" s="113"/>
      <c r="BD448" s="113"/>
      <c r="BE448" s="113"/>
      <c r="BF448" s="113"/>
      <c r="BG448" s="113"/>
      <c r="BH448" s="113"/>
      <c r="BI448" s="113"/>
      <c r="BJ448" s="113"/>
      <c r="BK448" s="42"/>
      <c r="BL448" s="84"/>
      <c r="BM448" s="84"/>
      <c r="BN448" s="84"/>
      <c r="BO448" s="84"/>
      <c r="BP448" s="84"/>
      <c r="BQ448" s="84"/>
      <c r="BR448" s="42"/>
      <c r="BS448" s="42"/>
      <c r="BT448" s="42"/>
      <c r="BU448" s="42"/>
      <c r="BV448" s="42"/>
      <c r="BW448" s="42"/>
      <c r="BX448" s="42"/>
      <c r="BY448" s="42"/>
      <c r="BZ448" s="42"/>
      <c r="CA448" s="42"/>
      <c r="CB448" s="42"/>
      <c r="CC448" s="42"/>
    </row>
    <row r="449" spans="1:81" ht="16" customHeight="1">
      <c r="A449" s="64"/>
      <c r="B449" s="58"/>
      <c r="C449" s="85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58"/>
      <c r="O449" s="85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58"/>
      <c r="AA449" s="85"/>
      <c r="AB449" s="42"/>
      <c r="AC449" s="42"/>
      <c r="AD449" s="42"/>
      <c r="AE449" s="42"/>
      <c r="AF449" s="42"/>
      <c r="AG449" s="42"/>
      <c r="AH449" s="42"/>
      <c r="AI449" s="42"/>
      <c r="AJ449" s="42"/>
      <c r="AK449" s="42"/>
      <c r="AL449" s="58"/>
      <c r="AM449" s="85"/>
      <c r="AN449" s="42"/>
      <c r="AO449" s="42"/>
      <c r="AP449" s="42"/>
      <c r="AQ449" s="42"/>
      <c r="AR449" s="42"/>
      <c r="AS449" s="42"/>
      <c r="AT449" s="42"/>
      <c r="AU449" s="42"/>
      <c r="AV449" s="42"/>
      <c r="AW449" s="42"/>
      <c r="AX449" s="58"/>
      <c r="AY449" s="85"/>
      <c r="AZ449" s="42"/>
      <c r="BA449" s="42"/>
      <c r="BB449" s="42"/>
      <c r="BC449" s="42"/>
      <c r="BD449" s="42"/>
      <c r="BE449" s="42"/>
      <c r="BF449" s="42"/>
      <c r="BG449" s="42"/>
      <c r="BH449" s="42"/>
      <c r="BI449" s="42"/>
      <c r="BJ449" s="58"/>
      <c r="BK449" s="42"/>
      <c r="BL449" s="66"/>
      <c r="BM449" s="66"/>
      <c r="BN449" s="66"/>
      <c r="BO449" s="66"/>
      <c r="BP449" s="66"/>
      <c r="BQ449" s="66"/>
      <c r="BR449" s="42"/>
      <c r="BS449" s="42"/>
      <c r="BT449" s="42"/>
      <c r="BU449" s="42"/>
      <c r="BV449" s="42"/>
      <c r="BW449" s="42"/>
      <c r="BX449" s="42"/>
      <c r="BY449" s="42"/>
      <c r="BZ449" s="42"/>
      <c r="CA449" s="42"/>
      <c r="CB449" s="42"/>
      <c r="CC449" s="42"/>
    </row>
    <row r="450" spans="1:81" ht="16" customHeight="1">
      <c r="A450" s="64"/>
      <c r="B450" s="58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  <c r="AQ450" s="86"/>
      <c r="AR450" s="86"/>
      <c r="AS450" s="86"/>
      <c r="AT450" s="86"/>
      <c r="AU450" s="86"/>
      <c r="AV450" s="86"/>
      <c r="AW450" s="86"/>
      <c r="AX450" s="86"/>
      <c r="AY450" s="86"/>
      <c r="AZ450" s="86"/>
      <c r="BA450" s="86"/>
      <c r="BB450" s="86"/>
      <c r="BC450" s="86"/>
      <c r="BD450" s="86"/>
      <c r="BE450" s="86"/>
      <c r="BF450" s="86"/>
      <c r="BG450" s="86"/>
      <c r="BH450" s="86"/>
      <c r="BI450" s="86"/>
      <c r="BJ450" s="86"/>
      <c r="BK450" s="42"/>
      <c r="BL450" s="66"/>
      <c r="BM450" s="66"/>
      <c r="BN450" s="66"/>
      <c r="BO450" s="66"/>
      <c r="BP450" s="66"/>
      <c r="BQ450" s="66"/>
      <c r="BR450" s="42"/>
      <c r="BS450" s="42"/>
      <c r="BT450" s="42"/>
      <c r="BU450" s="42"/>
      <c r="BV450" s="42"/>
      <c r="BW450" s="42"/>
      <c r="BX450" s="42"/>
      <c r="BY450" s="42"/>
      <c r="BZ450" s="42"/>
      <c r="CA450" s="42"/>
      <c r="CB450" s="42"/>
      <c r="CC450" s="42"/>
    </row>
    <row r="451" spans="1:81" ht="16" customHeight="1">
      <c r="A451" s="64"/>
      <c r="B451" s="58"/>
      <c r="C451" s="85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58"/>
      <c r="O451" s="85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58"/>
      <c r="AA451" s="85"/>
      <c r="AB451" s="42"/>
      <c r="AC451" s="42"/>
      <c r="AD451" s="42"/>
      <c r="AE451" s="42"/>
      <c r="AF451" s="42"/>
      <c r="AG451" s="42"/>
      <c r="AH451" s="42"/>
      <c r="AI451" s="42"/>
      <c r="AJ451" s="42"/>
      <c r="AK451" s="42"/>
      <c r="AL451" s="58"/>
      <c r="AM451" s="85"/>
      <c r="AN451" s="42"/>
      <c r="AO451" s="42"/>
      <c r="AP451" s="42"/>
      <c r="AQ451" s="42"/>
      <c r="AR451" s="42"/>
      <c r="AS451" s="42"/>
      <c r="AT451" s="42"/>
      <c r="AU451" s="42"/>
      <c r="AV451" s="42"/>
      <c r="AW451" s="42"/>
      <c r="AX451" s="58"/>
      <c r="AY451" s="85"/>
      <c r="AZ451" s="42"/>
      <c r="BA451" s="42"/>
      <c r="BB451" s="42"/>
      <c r="BC451" s="42"/>
      <c r="BD451" s="42"/>
      <c r="BE451" s="42"/>
      <c r="BF451" s="42"/>
      <c r="BG451" s="42"/>
      <c r="BH451" s="42"/>
      <c r="BI451" s="42"/>
      <c r="BJ451" s="58"/>
      <c r="BK451" s="42"/>
      <c r="BL451" s="66"/>
      <c r="BM451" s="66"/>
      <c r="BN451" s="66"/>
      <c r="BO451" s="66"/>
      <c r="BP451" s="66"/>
      <c r="BQ451" s="66"/>
      <c r="BR451" s="42"/>
      <c r="BS451" s="42"/>
      <c r="BT451" s="42"/>
      <c r="BU451" s="42"/>
      <c r="BV451" s="42"/>
      <c r="BW451" s="42"/>
      <c r="BX451" s="42"/>
      <c r="BY451" s="42"/>
      <c r="BZ451" s="42"/>
      <c r="CA451" s="42"/>
      <c r="CB451" s="42"/>
      <c r="CC451" s="42"/>
    </row>
    <row r="452" spans="1:81" ht="16" customHeight="1">
      <c r="A452" s="89"/>
      <c r="B452" s="58"/>
      <c r="C452" s="90"/>
      <c r="D452" s="90"/>
      <c r="E452" s="90"/>
      <c r="F452" s="90"/>
      <c r="G452" s="90"/>
      <c r="H452" s="90"/>
      <c r="I452" s="90"/>
      <c r="J452" s="90"/>
      <c r="K452" s="90"/>
      <c r="L452" s="90"/>
      <c r="M452" s="90"/>
      <c r="N452" s="91"/>
      <c r="O452" s="90"/>
      <c r="P452" s="90"/>
      <c r="Q452" s="90"/>
      <c r="R452" s="90"/>
      <c r="S452" s="90"/>
      <c r="T452" s="90"/>
      <c r="U452" s="90"/>
      <c r="V452" s="90"/>
      <c r="W452" s="90"/>
      <c r="X452" s="90"/>
      <c r="Y452" s="90"/>
      <c r="Z452" s="91"/>
      <c r="AA452" s="90"/>
      <c r="AB452" s="90"/>
      <c r="AC452" s="90"/>
      <c r="AD452" s="90"/>
      <c r="AE452" s="90"/>
      <c r="AF452" s="90"/>
      <c r="AG452" s="90"/>
      <c r="AH452" s="90"/>
      <c r="AI452" s="90"/>
      <c r="AJ452" s="90"/>
      <c r="AK452" s="90"/>
      <c r="AL452" s="91"/>
      <c r="AM452" s="90"/>
      <c r="AN452" s="90"/>
      <c r="AO452" s="90"/>
      <c r="AP452" s="90"/>
      <c r="AQ452" s="90"/>
      <c r="AR452" s="90"/>
      <c r="AS452" s="90"/>
      <c r="AT452" s="90"/>
      <c r="AU452" s="90"/>
      <c r="AV452" s="90"/>
      <c r="AW452" s="90"/>
      <c r="AX452" s="91"/>
      <c r="AY452" s="90"/>
      <c r="AZ452" s="90"/>
      <c r="BA452" s="90"/>
      <c r="BB452" s="90"/>
      <c r="BC452" s="90"/>
      <c r="BD452" s="90"/>
      <c r="BE452" s="90"/>
      <c r="BF452" s="90"/>
      <c r="BG452" s="90"/>
      <c r="BH452" s="90"/>
      <c r="BI452" s="90"/>
      <c r="BJ452" s="91"/>
      <c r="BK452" s="42"/>
      <c r="BL452" s="92"/>
      <c r="BM452" s="92"/>
      <c r="BN452" s="92"/>
      <c r="BO452" s="92"/>
      <c r="BP452" s="92"/>
      <c r="BQ452" s="92"/>
      <c r="BR452" s="42"/>
      <c r="BS452" s="42"/>
      <c r="BT452" s="42"/>
      <c r="BU452" s="42"/>
      <c r="BV452" s="42"/>
      <c r="BW452" s="42"/>
      <c r="BX452" s="42"/>
      <c r="BY452" s="42"/>
      <c r="BZ452" s="42"/>
      <c r="CA452" s="42"/>
      <c r="CB452" s="42"/>
      <c r="CC452" s="42"/>
    </row>
    <row r="453" spans="1:81" ht="16" customHeight="1">
      <c r="A453" s="85"/>
      <c r="B453" s="58"/>
      <c r="C453" s="85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58"/>
      <c r="O453" s="85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58"/>
      <c r="AA453" s="85"/>
      <c r="AB453" s="42"/>
      <c r="AC453" s="42"/>
      <c r="AD453" s="42"/>
      <c r="AE453" s="42"/>
      <c r="AF453" s="42"/>
      <c r="AG453" s="42"/>
      <c r="AH453" s="42"/>
      <c r="AI453" s="42"/>
      <c r="AJ453" s="42"/>
      <c r="AK453" s="42"/>
      <c r="AL453" s="58"/>
      <c r="AM453" s="85"/>
      <c r="AN453" s="42"/>
      <c r="AO453" s="42"/>
      <c r="AP453" s="42"/>
      <c r="AQ453" s="42"/>
      <c r="AR453" s="42"/>
      <c r="AS453" s="42"/>
      <c r="AT453" s="42"/>
      <c r="AU453" s="42"/>
      <c r="AV453" s="42"/>
      <c r="AW453" s="42"/>
      <c r="AX453" s="58"/>
      <c r="AY453" s="85"/>
      <c r="AZ453" s="42"/>
      <c r="BA453" s="42"/>
      <c r="BB453" s="42"/>
      <c r="BC453" s="42"/>
      <c r="BD453" s="42"/>
      <c r="BE453" s="42"/>
      <c r="BF453" s="42"/>
      <c r="BG453" s="42"/>
      <c r="BH453" s="42"/>
      <c r="BI453" s="42"/>
      <c r="BJ453" s="58"/>
      <c r="BK453" s="42"/>
      <c r="BL453" s="66"/>
      <c r="BM453" s="66"/>
      <c r="BN453" s="66"/>
      <c r="BO453" s="66"/>
      <c r="BP453" s="66"/>
      <c r="BQ453" s="66"/>
      <c r="BR453" s="42"/>
      <c r="BS453" s="42"/>
      <c r="BT453" s="42"/>
      <c r="BU453" s="42"/>
      <c r="BV453" s="42"/>
      <c r="BW453" s="42"/>
      <c r="BX453" s="42"/>
      <c r="BY453" s="42"/>
      <c r="BZ453" s="42"/>
      <c r="CA453" s="42"/>
      <c r="CB453" s="42"/>
      <c r="CC453" s="42"/>
    </row>
    <row r="454" spans="1:81" ht="16" customHeight="1">
      <c r="A454" s="89"/>
      <c r="B454" s="58"/>
      <c r="C454" s="93"/>
      <c r="D454" s="93"/>
      <c r="E454" s="93"/>
      <c r="F454" s="93"/>
      <c r="G454" s="93"/>
      <c r="H454" s="93"/>
      <c r="I454" s="93"/>
      <c r="J454" s="93"/>
      <c r="K454" s="93"/>
      <c r="L454" s="93"/>
      <c r="M454" s="93"/>
      <c r="N454" s="94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4"/>
      <c r="AA454" s="93"/>
      <c r="AB454" s="93"/>
      <c r="AC454" s="93"/>
      <c r="AD454" s="93"/>
      <c r="AE454" s="93"/>
      <c r="AF454" s="93"/>
      <c r="AG454" s="93"/>
      <c r="AH454" s="93"/>
      <c r="AI454" s="93"/>
      <c r="AJ454" s="93"/>
      <c r="AK454" s="93"/>
      <c r="AL454" s="94"/>
      <c r="AM454" s="93"/>
      <c r="AN454" s="93"/>
      <c r="AO454" s="93"/>
      <c r="AP454" s="93"/>
      <c r="AQ454" s="93"/>
      <c r="AR454" s="93"/>
      <c r="AS454" s="93"/>
      <c r="AT454" s="93"/>
      <c r="AU454" s="93"/>
      <c r="AV454" s="93"/>
      <c r="AW454" s="93"/>
      <c r="AX454" s="94"/>
      <c r="AY454" s="93"/>
      <c r="AZ454" s="93"/>
      <c r="BA454" s="93"/>
      <c r="BB454" s="93"/>
      <c r="BC454" s="93"/>
      <c r="BD454" s="93"/>
      <c r="BE454" s="93"/>
      <c r="BF454" s="93"/>
      <c r="BG454" s="93"/>
      <c r="BH454" s="93"/>
      <c r="BI454" s="93"/>
      <c r="BJ454" s="94"/>
      <c r="BK454" s="42"/>
      <c r="BL454" s="95"/>
      <c r="BM454" s="96"/>
      <c r="BN454" s="96"/>
      <c r="BO454" s="96"/>
      <c r="BP454" s="96"/>
      <c r="BQ454" s="96"/>
      <c r="BR454" s="42"/>
      <c r="BS454" s="42"/>
      <c r="BT454" s="42"/>
      <c r="BU454" s="42"/>
      <c r="BV454" s="42"/>
      <c r="BW454" s="42"/>
      <c r="BX454" s="42"/>
      <c r="BY454" s="42"/>
      <c r="BZ454" s="42"/>
      <c r="CA454" s="42"/>
      <c r="CB454" s="42"/>
      <c r="CC454" s="42"/>
    </row>
    <row r="455" spans="1:81" ht="16" customHeight="1">
      <c r="A455" s="89"/>
      <c r="B455" s="58"/>
      <c r="C455" s="97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1"/>
      <c r="O455" s="59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1"/>
      <c r="AA455" s="59"/>
      <c r="AB455" s="60"/>
      <c r="AC455" s="60"/>
      <c r="AD455" s="60"/>
      <c r="AE455" s="60"/>
      <c r="AF455" s="60"/>
      <c r="AG455" s="60"/>
      <c r="AH455" s="60"/>
      <c r="AI455" s="60"/>
      <c r="AJ455" s="60"/>
      <c r="AK455" s="60"/>
      <c r="AL455" s="61"/>
      <c r="AM455" s="59"/>
      <c r="AN455" s="60"/>
      <c r="AO455" s="60"/>
      <c r="AP455" s="60"/>
      <c r="AQ455" s="60"/>
      <c r="AR455" s="60"/>
      <c r="AS455" s="60"/>
      <c r="AT455" s="60"/>
      <c r="AU455" s="60"/>
      <c r="AV455" s="60"/>
      <c r="AW455" s="60"/>
      <c r="AX455" s="61"/>
      <c r="AY455" s="59"/>
      <c r="AZ455" s="60"/>
      <c r="BA455" s="60"/>
      <c r="BB455" s="60"/>
      <c r="BC455" s="60"/>
      <c r="BD455" s="60"/>
      <c r="BE455" s="60"/>
      <c r="BF455" s="60"/>
      <c r="BG455" s="60"/>
      <c r="BH455" s="60"/>
      <c r="BI455" s="60"/>
      <c r="BJ455" s="61"/>
      <c r="BK455" s="42"/>
      <c r="BL455" s="95"/>
      <c r="BM455" s="95"/>
      <c r="BN455" s="95"/>
      <c r="BO455" s="95"/>
      <c r="BP455" s="95"/>
      <c r="BQ455" s="95"/>
      <c r="BR455" s="42"/>
      <c r="BS455" s="42"/>
      <c r="BT455" s="42"/>
      <c r="BU455" s="42"/>
      <c r="BV455" s="42"/>
      <c r="BW455" s="42"/>
      <c r="BX455" s="42"/>
      <c r="BY455" s="42"/>
      <c r="BZ455" s="42"/>
      <c r="CA455" s="42"/>
      <c r="CB455" s="42"/>
      <c r="CC455" s="42"/>
    </row>
    <row r="456" spans="1:81" ht="16" customHeight="1">
      <c r="A456" s="98"/>
      <c r="B456" s="99"/>
      <c r="C456" s="93"/>
      <c r="D456" s="93"/>
      <c r="E456" s="93"/>
      <c r="F456" s="93"/>
      <c r="G456" s="93"/>
      <c r="H456" s="93"/>
      <c r="I456" s="93"/>
      <c r="J456" s="93"/>
      <c r="K456" s="93"/>
      <c r="L456" s="93"/>
      <c r="M456" s="93"/>
      <c r="N456" s="94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4"/>
      <c r="AA456" s="93"/>
      <c r="AB456" s="93"/>
      <c r="AC456" s="93"/>
      <c r="AD456" s="93"/>
      <c r="AE456" s="93"/>
      <c r="AF456" s="93"/>
      <c r="AG456" s="93"/>
      <c r="AH456" s="93"/>
      <c r="AI456" s="93"/>
      <c r="AJ456" s="93"/>
      <c r="AK456" s="93"/>
      <c r="AL456" s="94"/>
      <c r="AM456" s="93"/>
      <c r="AN456" s="93"/>
      <c r="AO456" s="93"/>
      <c r="AP456" s="93"/>
      <c r="AQ456" s="93"/>
      <c r="AR456" s="93"/>
      <c r="AS456" s="93"/>
      <c r="AT456" s="93"/>
      <c r="AU456" s="93"/>
      <c r="AV456" s="93"/>
      <c r="AW456" s="93"/>
      <c r="AX456" s="94"/>
      <c r="AY456" s="93"/>
      <c r="AZ456" s="93"/>
      <c r="BA456" s="93"/>
      <c r="BB456" s="93"/>
      <c r="BC456" s="93"/>
      <c r="BD456" s="93"/>
      <c r="BE456" s="93"/>
      <c r="BF456" s="93"/>
      <c r="BG456" s="93"/>
      <c r="BH456" s="93"/>
      <c r="BI456" s="93"/>
      <c r="BJ456" s="94"/>
      <c r="BK456" s="100"/>
      <c r="BL456" s="101"/>
      <c r="BM456" s="101"/>
      <c r="BN456" s="101"/>
      <c r="BO456" s="101"/>
      <c r="BP456" s="101"/>
      <c r="BQ456" s="101"/>
      <c r="BR456" s="100"/>
      <c r="BS456" s="100"/>
      <c r="BT456" s="100"/>
      <c r="BU456" s="100"/>
      <c r="BV456" s="100"/>
      <c r="BW456" s="100"/>
      <c r="BX456" s="100"/>
      <c r="BY456" s="100"/>
      <c r="BZ456" s="100"/>
      <c r="CA456" s="100"/>
      <c r="CB456" s="100"/>
      <c r="CC456" s="100"/>
    </row>
    <row r="457" spans="1:81" ht="16" customHeight="1">
      <c r="A457" s="89"/>
      <c r="B457" s="58"/>
      <c r="C457" s="59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1"/>
      <c r="O457" s="59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1"/>
      <c r="AA457" s="59"/>
      <c r="AB457" s="60"/>
      <c r="AC457" s="60"/>
      <c r="AD457" s="60"/>
      <c r="AE457" s="60"/>
      <c r="AF457" s="60"/>
      <c r="AG457" s="60"/>
      <c r="AH457" s="60"/>
      <c r="AI457" s="60"/>
      <c r="AJ457" s="60"/>
      <c r="AK457" s="60"/>
      <c r="AL457" s="61"/>
      <c r="AM457" s="59"/>
      <c r="AN457" s="60"/>
      <c r="AO457" s="60"/>
      <c r="AP457" s="60"/>
      <c r="AQ457" s="60"/>
      <c r="AR457" s="60"/>
      <c r="AS457" s="60"/>
      <c r="AT457" s="60"/>
      <c r="AU457" s="60"/>
      <c r="AV457" s="60"/>
      <c r="AW457" s="60"/>
      <c r="AX457" s="61"/>
      <c r="AY457" s="59"/>
      <c r="AZ457" s="60"/>
      <c r="BA457" s="60"/>
      <c r="BB457" s="60"/>
      <c r="BC457" s="60"/>
      <c r="BD457" s="60"/>
      <c r="BE457" s="60"/>
      <c r="BF457" s="60"/>
      <c r="BG457" s="60"/>
      <c r="BH457" s="60"/>
      <c r="BI457" s="60"/>
      <c r="BJ457" s="61"/>
      <c r="BK457" s="42"/>
      <c r="BL457" s="96"/>
      <c r="BM457" s="96"/>
      <c r="BN457" s="96"/>
      <c r="BO457" s="96"/>
      <c r="BP457" s="96"/>
      <c r="BQ457" s="96"/>
      <c r="BR457" s="42"/>
      <c r="BS457" s="42"/>
      <c r="BT457" s="42"/>
      <c r="BU457" s="42"/>
      <c r="BV457" s="42"/>
      <c r="BW457" s="42"/>
      <c r="BX457" s="42"/>
      <c r="BY457" s="42"/>
      <c r="BZ457" s="42"/>
      <c r="CA457" s="42"/>
      <c r="CB457" s="42"/>
      <c r="CC457" s="42"/>
    </row>
    <row r="458" spans="1:81" ht="16" customHeight="1">
      <c r="A458" s="89"/>
      <c r="B458" s="58"/>
      <c r="C458" s="90"/>
      <c r="D458" s="90"/>
      <c r="E458" s="90"/>
      <c r="F458" s="90"/>
      <c r="G458" s="90"/>
      <c r="H458" s="90"/>
      <c r="I458" s="90"/>
      <c r="J458" s="90"/>
      <c r="K458" s="90"/>
      <c r="L458" s="90"/>
      <c r="M458" s="90"/>
      <c r="N458" s="91"/>
      <c r="O458" s="90"/>
      <c r="P458" s="90"/>
      <c r="Q458" s="90"/>
      <c r="R458" s="90"/>
      <c r="S458" s="90"/>
      <c r="T458" s="90"/>
      <c r="U458" s="90"/>
      <c r="V458" s="90"/>
      <c r="W458" s="90"/>
      <c r="X458" s="90"/>
      <c r="Y458" s="90"/>
      <c r="Z458" s="91"/>
      <c r="AA458" s="90"/>
      <c r="AB458" s="90"/>
      <c r="AC458" s="90"/>
      <c r="AD458" s="90"/>
      <c r="AE458" s="90"/>
      <c r="AF458" s="90"/>
      <c r="AG458" s="90"/>
      <c r="AH458" s="90"/>
      <c r="AI458" s="90"/>
      <c r="AJ458" s="90"/>
      <c r="AK458" s="90"/>
      <c r="AL458" s="91"/>
      <c r="AM458" s="90"/>
      <c r="AN458" s="90"/>
      <c r="AO458" s="90"/>
      <c r="AP458" s="90"/>
      <c r="AQ458" s="90"/>
      <c r="AR458" s="90"/>
      <c r="AS458" s="90"/>
      <c r="AT458" s="90"/>
      <c r="AU458" s="90"/>
      <c r="AV458" s="90"/>
      <c r="AW458" s="90"/>
      <c r="AX458" s="91"/>
      <c r="AY458" s="90"/>
      <c r="AZ458" s="90"/>
      <c r="BA458" s="90"/>
      <c r="BB458" s="90"/>
      <c r="BC458" s="90"/>
      <c r="BD458" s="90"/>
      <c r="BE458" s="90"/>
      <c r="BF458" s="90"/>
      <c r="BG458" s="90"/>
      <c r="BH458" s="90"/>
      <c r="BI458" s="90"/>
      <c r="BJ458" s="91"/>
      <c r="BK458" s="42"/>
      <c r="BL458" s="102"/>
      <c r="BM458" s="102"/>
      <c r="BN458" s="102"/>
      <c r="BO458" s="102"/>
      <c r="BP458" s="102"/>
      <c r="BQ458" s="102"/>
      <c r="BR458" s="42"/>
      <c r="BS458" s="42"/>
      <c r="BT458" s="42"/>
      <c r="BU458" s="42"/>
      <c r="BV458" s="42"/>
      <c r="BW458" s="42"/>
      <c r="BX458" s="42"/>
      <c r="BY458" s="42"/>
      <c r="BZ458" s="42"/>
      <c r="CA458" s="42"/>
      <c r="CB458" s="42"/>
      <c r="CC458" s="42"/>
    </row>
    <row r="459" spans="1:81" ht="16" customHeight="1">
      <c r="A459" s="89"/>
      <c r="B459" s="58"/>
      <c r="C459" s="59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1"/>
      <c r="O459" s="59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1"/>
      <c r="AA459" s="59"/>
      <c r="AB459" s="60"/>
      <c r="AC459" s="60"/>
      <c r="AD459" s="60"/>
      <c r="AE459" s="60"/>
      <c r="AF459" s="60"/>
      <c r="AG459" s="60"/>
      <c r="AH459" s="60"/>
      <c r="AI459" s="60"/>
      <c r="AJ459" s="60"/>
      <c r="AK459" s="60"/>
      <c r="AL459" s="61"/>
      <c r="AM459" s="59"/>
      <c r="AN459" s="60"/>
      <c r="AO459" s="60"/>
      <c r="AP459" s="60"/>
      <c r="AQ459" s="60"/>
      <c r="AR459" s="60"/>
      <c r="AS459" s="60"/>
      <c r="AT459" s="60"/>
      <c r="AU459" s="60"/>
      <c r="AV459" s="60"/>
      <c r="AW459" s="60"/>
      <c r="AX459" s="61"/>
      <c r="AY459" s="59"/>
      <c r="AZ459" s="60"/>
      <c r="BA459" s="60"/>
      <c r="BB459" s="60"/>
      <c r="BC459" s="60"/>
      <c r="BD459" s="60"/>
      <c r="BE459" s="60"/>
      <c r="BF459" s="60"/>
      <c r="BG459" s="60"/>
      <c r="BH459" s="60"/>
      <c r="BI459" s="60"/>
      <c r="BJ459" s="61"/>
      <c r="BK459" s="42"/>
      <c r="BL459" s="96"/>
      <c r="BM459" s="96"/>
      <c r="BN459" s="96"/>
      <c r="BO459" s="96"/>
      <c r="BP459" s="96"/>
      <c r="BQ459" s="96"/>
      <c r="BR459" s="42"/>
      <c r="BS459" s="42"/>
      <c r="BT459" s="42"/>
      <c r="BU459" s="42"/>
      <c r="BV459" s="42"/>
      <c r="BW459" s="42"/>
      <c r="BX459" s="42"/>
      <c r="BY459" s="42"/>
      <c r="BZ459" s="42"/>
      <c r="CA459" s="42"/>
      <c r="CB459" s="42"/>
      <c r="CC459" s="42"/>
    </row>
    <row r="460" spans="1:81" ht="16" customHeight="1">
      <c r="A460" s="98"/>
      <c r="B460" s="99"/>
      <c r="C460" s="93"/>
      <c r="D460" s="93"/>
      <c r="E460" s="93"/>
      <c r="F460" s="93"/>
      <c r="G460" s="93"/>
      <c r="H460" s="93"/>
      <c r="I460" s="93"/>
      <c r="J460" s="93"/>
      <c r="K460" s="93"/>
      <c r="L460" s="93"/>
      <c r="M460" s="93"/>
      <c r="N460" s="94"/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94"/>
      <c r="AA460" s="93"/>
      <c r="AB460" s="93"/>
      <c r="AC460" s="93"/>
      <c r="AD460" s="93"/>
      <c r="AE460" s="93"/>
      <c r="AF460" s="93"/>
      <c r="AG460" s="93"/>
      <c r="AH460" s="93"/>
      <c r="AI460" s="93"/>
      <c r="AJ460" s="93"/>
      <c r="AK460" s="93"/>
      <c r="AL460" s="94"/>
      <c r="AM460" s="93"/>
      <c r="AN460" s="93"/>
      <c r="AO460" s="93"/>
      <c r="AP460" s="93"/>
      <c r="AQ460" s="93"/>
      <c r="AR460" s="93"/>
      <c r="AS460" s="93"/>
      <c r="AT460" s="93"/>
      <c r="AU460" s="93"/>
      <c r="AV460" s="93"/>
      <c r="AW460" s="93"/>
      <c r="AX460" s="94"/>
      <c r="AY460" s="93"/>
      <c r="AZ460" s="93"/>
      <c r="BA460" s="93"/>
      <c r="BB460" s="93"/>
      <c r="BC460" s="93"/>
      <c r="BD460" s="93"/>
      <c r="BE460" s="93"/>
      <c r="BF460" s="93"/>
      <c r="BG460" s="93"/>
      <c r="BH460" s="93"/>
      <c r="BI460" s="93"/>
      <c r="BJ460" s="94"/>
      <c r="BK460" s="100"/>
      <c r="BL460" s="101"/>
      <c r="BM460" s="101"/>
      <c r="BN460" s="101"/>
      <c r="BO460" s="101"/>
      <c r="BP460" s="101"/>
      <c r="BQ460" s="101"/>
      <c r="BR460" s="100"/>
      <c r="BS460" s="100"/>
      <c r="BT460" s="100"/>
      <c r="BU460" s="100"/>
      <c r="BV460" s="100"/>
      <c r="BW460" s="100"/>
      <c r="BX460" s="100"/>
      <c r="BY460" s="100"/>
      <c r="BZ460" s="100"/>
      <c r="CA460" s="100"/>
      <c r="CB460" s="100"/>
      <c r="CC460" s="100"/>
    </row>
    <row r="461" spans="1:81" ht="16" customHeight="1">
      <c r="A461" s="89"/>
      <c r="B461" s="58"/>
      <c r="C461" s="59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1"/>
      <c r="O461" s="59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1"/>
      <c r="AA461" s="59"/>
      <c r="AB461" s="60"/>
      <c r="AC461" s="60"/>
      <c r="AD461" s="60"/>
      <c r="AE461" s="60"/>
      <c r="AF461" s="60"/>
      <c r="AG461" s="60"/>
      <c r="AH461" s="60"/>
      <c r="AI461" s="60"/>
      <c r="AJ461" s="60"/>
      <c r="AK461" s="60"/>
      <c r="AL461" s="61"/>
      <c r="AM461" s="59"/>
      <c r="AN461" s="60"/>
      <c r="AO461" s="60"/>
      <c r="AP461" s="60"/>
      <c r="AQ461" s="60"/>
      <c r="AR461" s="60"/>
      <c r="AS461" s="60"/>
      <c r="AT461" s="60"/>
      <c r="AU461" s="60"/>
      <c r="AV461" s="60"/>
      <c r="AW461" s="60"/>
      <c r="AX461" s="61"/>
      <c r="AY461" s="59"/>
      <c r="AZ461" s="60"/>
      <c r="BA461" s="60"/>
      <c r="BB461" s="60"/>
      <c r="BC461" s="60"/>
      <c r="BD461" s="60"/>
      <c r="BE461" s="60"/>
      <c r="BF461" s="60"/>
      <c r="BG461" s="60"/>
      <c r="BH461" s="60"/>
      <c r="BI461" s="60"/>
      <c r="BJ461" s="61"/>
      <c r="BK461" s="42"/>
      <c r="BL461" s="96"/>
      <c r="BM461" s="96"/>
      <c r="BN461" s="96"/>
      <c r="BO461" s="96"/>
      <c r="BP461" s="96"/>
      <c r="BQ461" s="96"/>
      <c r="BR461" s="42"/>
      <c r="BS461" s="42"/>
      <c r="BT461" s="42"/>
      <c r="BU461" s="42"/>
      <c r="BV461" s="42"/>
      <c r="BW461" s="42"/>
      <c r="BX461" s="42"/>
      <c r="BY461" s="42"/>
      <c r="BZ461" s="42"/>
      <c r="CA461" s="42"/>
      <c r="CB461" s="42"/>
      <c r="CC461" s="42"/>
    </row>
    <row r="462" spans="1:81" ht="16" customHeight="1">
      <c r="A462" s="98"/>
      <c r="B462" s="99"/>
      <c r="C462" s="93"/>
      <c r="D462" s="93"/>
      <c r="E462" s="93"/>
      <c r="F462" s="93"/>
      <c r="G462" s="93"/>
      <c r="H462" s="93"/>
      <c r="I462" s="93"/>
      <c r="J462" s="93"/>
      <c r="K462" s="93"/>
      <c r="L462" s="93"/>
      <c r="M462" s="93"/>
      <c r="N462" s="94"/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4"/>
      <c r="AA462" s="93"/>
      <c r="AB462" s="93"/>
      <c r="AC462" s="93"/>
      <c r="AD462" s="93"/>
      <c r="AE462" s="93"/>
      <c r="AF462" s="93"/>
      <c r="AG462" s="93"/>
      <c r="AH462" s="93"/>
      <c r="AI462" s="93"/>
      <c r="AJ462" s="93"/>
      <c r="AK462" s="93"/>
      <c r="AL462" s="94"/>
      <c r="AM462" s="93"/>
      <c r="AN462" s="93"/>
      <c r="AO462" s="93"/>
      <c r="AP462" s="93"/>
      <c r="AQ462" s="93"/>
      <c r="AR462" s="93"/>
      <c r="AS462" s="93"/>
      <c r="AT462" s="93"/>
      <c r="AU462" s="93"/>
      <c r="AV462" s="93"/>
      <c r="AW462" s="93"/>
      <c r="AX462" s="94"/>
      <c r="AY462" s="93"/>
      <c r="AZ462" s="93"/>
      <c r="BA462" s="93"/>
      <c r="BB462" s="93"/>
      <c r="BC462" s="93"/>
      <c r="BD462" s="93"/>
      <c r="BE462" s="93"/>
      <c r="BF462" s="93"/>
      <c r="BG462" s="93"/>
      <c r="BH462" s="93"/>
      <c r="BI462" s="93"/>
      <c r="BJ462" s="94"/>
      <c r="BK462" s="100"/>
      <c r="BL462" s="101"/>
      <c r="BM462" s="101"/>
      <c r="BN462" s="101"/>
      <c r="BO462" s="101"/>
      <c r="BP462" s="101"/>
      <c r="BQ462" s="101"/>
      <c r="BR462" s="100"/>
      <c r="BS462" s="100"/>
      <c r="BT462" s="100"/>
      <c r="BU462" s="100"/>
      <c r="BV462" s="100"/>
      <c r="BW462" s="100"/>
      <c r="BX462" s="100"/>
      <c r="BY462" s="100"/>
      <c r="BZ462" s="100"/>
      <c r="CA462" s="100"/>
      <c r="CB462" s="100"/>
      <c r="CC462" s="100"/>
    </row>
    <row r="463" spans="1:81" ht="16" customHeight="1">
      <c r="A463" s="89"/>
      <c r="B463" s="58"/>
      <c r="C463" s="59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1"/>
      <c r="O463" s="59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1"/>
      <c r="AA463" s="59"/>
      <c r="AB463" s="60"/>
      <c r="AC463" s="60"/>
      <c r="AD463" s="60"/>
      <c r="AE463" s="60"/>
      <c r="AF463" s="60"/>
      <c r="AG463" s="60"/>
      <c r="AH463" s="60"/>
      <c r="AI463" s="60"/>
      <c r="AJ463" s="60"/>
      <c r="AK463" s="60"/>
      <c r="AL463" s="61"/>
      <c r="AM463" s="59"/>
      <c r="AN463" s="60"/>
      <c r="AO463" s="60"/>
      <c r="AP463" s="60"/>
      <c r="AQ463" s="60"/>
      <c r="AR463" s="60"/>
      <c r="AS463" s="60"/>
      <c r="AT463" s="60"/>
      <c r="AU463" s="60"/>
      <c r="AV463" s="60"/>
      <c r="AW463" s="60"/>
      <c r="AX463" s="61"/>
      <c r="AY463" s="59"/>
      <c r="AZ463" s="60"/>
      <c r="BA463" s="60"/>
      <c r="BB463" s="60"/>
      <c r="BC463" s="60"/>
      <c r="BD463" s="60"/>
      <c r="BE463" s="60"/>
      <c r="BF463" s="60"/>
      <c r="BG463" s="60"/>
      <c r="BH463" s="60"/>
      <c r="BI463" s="60"/>
      <c r="BJ463" s="61"/>
      <c r="BK463" s="42"/>
      <c r="BL463" s="96"/>
      <c r="BM463" s="96"/>
      <c r="BN463" s="96"/>
      <c r="BO463" s="96"/>
      <c r="BP463" s="96"/>
      <c r="BQ463" s="96"/>
      <c r="BR463" s="42"/>
      <c r="BS463" s="42"/>
      <c r="BT463" s="42"/>
      <c r="BU463" s="42"/>
      <c r="BV463" s="42"/>
      <c r="BW463" s="42"/>
      <c r="BX463" s="42"/>
      <c r="BY463" s="42"/>
      <c r="BZ463" s="42"/>
      <c r="CA463" s="42"/>
      <c r="CB463" s="42"/>
      <c r="CC463" s="42"/>
    </row>
    <row r="464" spans="1:81" ht="16" customHeight="1">
      <c r="A464" s="89"/>
      <c r="B464" s="58"/>
      <c r="C464" s="103"/>
      <c r="D464" s="103"/>
      <c r="E464" s="103"/>
      <c r="F464" s="103"/>
      <c r="G464" s="103"/>
      <c r="H464" s="103"/>
      <c r="I464" s="103"/>
      <c r="J464" s="103"/>
      <c r="K464" s="103"/>
      <c r="L464" s="103"/>
      <c r="M464" s="103"/>
      <c r="N464" s="103"/>
      <c r="O464" s="103"/>
      <c r="P464" s="103"/>
      <c r="Q464" s="103"/>
      <c r="R464" s="103"/>
      <c r="S464" s="103"/>
      <c r="T464" s="103"/>
      <c r="U464" s="103"/>
      <c r="V464" s="103"/>
      <c r="W464" s="103"/>
      <c r="X464" s="103"/>
      <c r="Y464" s="103"/>
      <c r="Z464" s="103"/>
      <c r="AA464" s="103"/>
      <c r="AB464" s="103"/>
      <c r="AC464" s="103"/>
      <c r="AD464" s="103"/>
      <c r="AE464" s="103"/>
      <c r="AF464" s="103"/>
      <c r="AG464" s="103"/>
      <c r="AH464" s="103"/>
      <c r="AI464" s="103"/>
      <c r="AJ464" s="103"/>
      <c r="AK464" s="103"/>
      <c r="AL464" s="103"/>
      <c r="AM464" s="103"/>
      <c r="AN464" s="103"/>
      <c r="AO464" s="103"/>
      <c r="AP464" s="103"/>
      <c r="AQ464" s="103"/>
      <c r="AR464" s="103"/>
      <c r="AS464" s="103"/>
      <c r="AT464" s="103"/>
      <c r="AU464" s="103"/>
      <c r="AV464" s="103"/>
      <c r="AW464" s="103"/>
      <c r="AX464" s="103"/>
      <c r="AY464" s="103"/>
      <c r="AZ464" s="103"/>
      <c r="BA464" s="103"/>
      <c r="BB464" s="103"/>
      <c r="BC464" s="103"/>
      <c r="BD464" s="103"/>
      <c r="BE464" s="103"/>
      <c r="BF464" s="103"/>
      <c r="BG464" s="103"/>
      <c r="BH464" s="103"/>
      <c r="BI464" s="103"/>
      <c r="BJ464" s="103"/>
      <c r="BK464" s="42"/>
      <c r="BL464" s="102"/>
      <c r="BM464" s="102"/>
      <c r="BN464" s="102"/>
      <c r="BO464" s="102"/>
      <c r="BP464" s="102"/>
      <c r="BQ464" s="102"/>
      <c r="BR464" s="42"/>
      <c r="BS464" s="42"/>
      <c r="BT464" s="42"/>
      <c r="BU464" s="42"/>
      <c r="BV464" s="42"/>
      <c r="BW464" s="42"/>
      <c r="BX464" s="42"/>
      <c r="BY464" s="42"/>
      <c r="BZ464" s="42"/>
      <c r="CA464" s="42"/>
      <c r="CB464" s="42"/>
      <c r="CC464" s="42"/>
    </row>
    <row r="465" spans="1:81" ht="16" customHeight="1">
      <c r="A465" s="85"/>
      <c r="B465" s="58"/>
      <c r="C465" s="85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58"/>
      <c r="O465" s="85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58"/>
      <c r="AA465" s="85"/>
      <c r="AB465" s="42"/>
      <c r="AC465" s="42"/>
      <c r="AD465" s="42"/>
      <c r="AE465" s="42"/>
      <c r="AF465" s="42"/>
      <c r="AG465" s="42"/>
      <c r="AH465" s="42"/>
      <c r="AI465" s="42"/>
      <c r="AJ465" s="42"/>
      <c r="AK465" s="42"/>
      <c r="AL465" s="58"/>
      <c r="AM465" s="85"/>
      <c r="AN465" s="42"/>
      <c r="AO465" s="42"/>
      <c r="AP465" s="42"/>
      <c r="AQ465" s="42"/>
      <c r="AR465" s="42"/>
      <c r="AS465" s="42"/>
      <c r="AT465" s="42"/>
      <c r="AU465" s="42"/>
      <c r="AV465" s="42"/>
      <c r="AW465" s="42"/>
      <c r="AX465" s="58"/>
      <c r="AY465" s="85"/>
      <c r="AZ465" s="42"/>
      <c r="BA465" s="42"/>
      <c r="BB465" s="42"/>
      <c r="BC465" s="42"/>
      <c r="BD465" s="42"/>
      <c r="BE465" s="42"/>
      <c r="BF465" s="42"/>
      <c r="BG465" s="42"/>
      <c r="BH465" s="42"/>
      <c r="BI465" s="42"/>
      <c r="BJ465" s="58"/>
      <c r="BK465" s="42"/>
      <c r="BL465" s="66"/>
      <c r="BM465" s="66"/>
      <c r="BN465" s="66"/>
      <c r="BO465" s="66"/>
      <c r="BP465" s="66"/>
      <c r="BQ465" s="66"/>
      <c r="BR465" s="42"/>
      <c r="BS465" s="42"/>
      <c r="BT465" s="42"/>
      <c r="BU465" s="42"/>
      <c r="BV465" s="42"/>
      <c r="BW465" s="42"/>
      <c r="BX465" s="42"/>
      <c r="BY465" s="42"/>
      <c r="BZ465" s="42"/>
      <c r="CA465" s="42"/>
      <c r="CB465" s="42"/>
      <c r="CC465" s="42"/>
    </row>
    <row r="466" spans="1:81" ht="16" customHeight="1">
      <c r="A466" s="105"/>
      <c r="B466" s="69"/>
      <c r="C466" s="106"/>
      <c r="D466" s="106"/>
      <c r="E466" s="106"/>
      <c r="F466" s="106"/>
      <c r="G466" s="106"/>
      <c r="H466" s="106"/>
      <c r="I466" s="106"/>
      <c r="J466" s="106"/>
      <c r="K466" s="106"/>
      <c r="L466" s="106"/>
      <c r="M466" s="106"/>
      <c r="N466" s="107"/>
      <c r="O466" s="106"/>
      <c r="P466" s="106"/>
      <c r="Q466" s="106"/>
      <c r="R466" s="106"/>
      <c r="S466" s="106"/>
      <c r="T466" s="106"/>
      <c r="U466" s="106"/>
      <c r="V466" s="106"/>
      <c r="W466" s="106"/>
      <c r="X466" s="106"/>
      <c r="Y466" s="106"/>
      <c r="Z466" s="107"/>
      <c r="AA466" s="106"/>
      <c r="AB466" s="106"/>
      <c r="AC466" s="106"/>
      <c r="AD466" s="106"/>
      <c r="AE466" s="106"/>
      <c r="AF466" s="106"/>
      <c r="AG466" s="106"/>
      <c r="AH466" s="106"/>
      <c r="AI466" s="106"/>
      <c r="AJ466" s="106"/>
      <c r="AK466" s="106"/>
      <c r="AL466" s="107"/>
      <c r="AM466" s="106"/>
      <c r="AN466" s="106"/>
      <c r="AO466" s="106"/>
      <c r="AP466" s="106"/>
      <c r="AQ466" s="106"/>
      <c r="AR466" s="106"/>
      <c r="AS466" s="106"/>
      <c r="AT466" s="106"/>
      <c r="AU466" s="106"/>
      <c r="AV466" s="106"/>
      <c r="AW466" s="106"/>
      <c r="AX466" s="107"/>
      <c r="AY466" s="106"/>
      <c r="AZ466" s="106"/>
      <c r="BA466" s="106"/>
      <c r="BB466" s="106"/>
      <c r="BC466" s="106"/>
      <c r="BD466" s="106"/>
      <c r="BE466" s="106"/>
      <c r="BF466" s="106"/>
      <c r="BG466" s="106"/>
      <c r="BH466" s="106"/>
      <c r="BI466" s="106"/>
      <c r="BJ466" s="107"/>
      <c r="BK466" s="42"/>
      <c r="BL466" s="108"/>
      <c r="BM466" s="108"/>
      <c r="BN466" s="108"/>
      <c r="BO466" s="108"/>
      <c r="BP466" s="108"/>
      <c r="BQ466" s="108"/>
      <c r="BR466" s="71"/>
      <c r="BS466" s="71"/>
      <c r="BT466" s="71"/>
      <c r="BU466" s="71"/>
      <c r="BV466" s="71"/>
      <c r="BW466" s="71"/>
      <c r="BX466" s="71"/>
      <c r="BY466" s="71"/>
      <c r="BZ466" s="71"/>
      <c r="CA466" s="71"/>
      <c r="CB466" s="71"/>
      <c r="CC466" s="71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2"/>
  <sheetViews>
    <sheetView zoomScale="91" workbookViewId="0">
      <selection activeCell="D22" sqref="D22"/>
    </sheetView>
  </sheetViews>
  <sheetFormatPr baseColWidth="10" defaultColWidth="8.83203125" defaultRowHeight="13"/>
  <cols>
    <col min="1" max="1" width="59.5" customWidth="1"/>
    <col min="2" max="3" width="15" customWidth="1"/>
    <col min="4" max="4" width="96.6640625" customWidth="1"/>
    <col min="5" max="7" width="15" customWidth="1"/>
    <col min="8" max="8" width="50" customWidth="1"/>
  </cols>
  <sheetData>
    <row r="1" spans="1:7" ht="16" customHeight="1">
      <c r="A1" s="119" t="s">
        <v>267</v>
      </c>
    </row>
    <row r="3" spans="1:7">
      <c r="A3" s="120" t="s">
        <v>268</v>
      </c>
      <c r="B3" s="120" t="s">
        <v>269</v>
      </c>
      <c r="C3" s="120" t="s">
        <v>270</v>
      </c>
      <c r="D3" s="120" t="s">
        <v>186</v>
      </c>
    </row>
    <row r="4" spans="1:7" ht="28" customHeight="1">
      <c r="A4" s="127" t="s">
        <v>271</v>
      </c>
      <c r="B4">
        <v>0.92500000000000004</v>
      </c>
      <c r="C4" t="s">
        <v>87</v>
      </c>
      <c r="D4" s="122" t="s">
        <v>272</v>
      </c>
    </row>
    <row r="5" spans="1:7" ht="14" customHeight="1">
      <c r="A5" s="121" t="s">
        <v>273</v>
      </c>
      <c r="B5">
        <f>1-B4</f>
        <v>7.4999999999999956E-2</v>
      </c>
      <c r="C5" t="s">
        <v>87</v>
      </c>
      <c r="D5" s="126" t="s">
        <v>274</v>
      </c>
    </row>
    <row r="6" spans="1:7" ht="14" customHeight="1">
      <c r="A6" s="121" t="s">
        <v>275</v>
      </c>
      <c r="B6">
        <f>1/B5</f>
        <v>13.333333333333341</v>
      </c>
      <c r="C6" t="s">
        <v>276</v>
      </c>
      <c r="D6" s="126" t="s">
        <v>277</v>
      </c>
    </row>
    <row r="7" spans="1:7" ht="56" customHeight="1">
      <c r="A7" s="127" t="s">
        <v>278</v>
      </c>
      <c r="B7">
        <f>Assumptions!$B$65</f>
        <v>250</v>
      </c>
      <c r="C7" t="s">
        <v>110</v>
      </c>
      <c r="D7" s="122" t="s">
        <v>279</v>
      </c>
    </row>
    <row r="8" spans="1:7" ht="14" customHeight="1">
      <c r="A8" s="127" t="s">
        <v>280</v>
      </c>
      <c r="B8">
        <v>4</v>
      </c>
      <c r="C8" t="s">
        <v>281</v>
      </c>
      <c r="D8" s="122" t="s">
        <v>282</v>
      </c>
    </row>
    <row r="9" spans="1:7" ht="14" customHeight="1">
      <c r="A9" s="121" t="s">
        <v>283</v>
      </c>
      <c r="B9">
        <f>Assumptions!B15*Assumptions!B16</f>
        <v>1.1099999999999999E-2</v>
      </c>
      <c r="C9" t="s">
        <v>87</v>
      </c>
      <c r="D9" s="126" t="s">
        <v>284</v>
      </c>
    </row>
    <row r="10" spans="1:7" ht="14" customHeight="1">
      <c r="A10" s="127" t="s">
        <v>285</v>
      </c>
      <c r="B10">
        <v>0.01</v>
      </c>
      <c r="C10" t="s">
        <v>87</v>
      </c>
      <c r="D10" s="122" t="s">
        <v>286</v>
      </c>
    </row>
    <row r="13" spans="1:7" ht="16" customHeight="1">
      <c r="A13" s="119" t="s">
        <v>287</v>
      </c>
    </row>
    <row r="15" spans="1:7">
      <c r="A15" s="120" t="s">
        <v>288</v>
      </c>
      <c r="B15" s="120" t="s">
        <v>270</v>
      </c>
      <c r="C15" s="120" t="s">
        <v>289</v>
      </c>
      <c r="D15" s="120" t="s">
        <v>290</v>
      </c>
      <c r="E15" s="120" t="s">
        <v>291</v>
      </c>
      <c r="F15" s="120" t="s">
        <v>292</v>
      </c>
      <c r="G15" s="120" t="s">
        <v>293</v>
      </c>
    </row>
    <row r="16" spans="1:7">
      <c r="A16" t="s">
        <v>294</v>
      </c>
      <c r="B16" t="s">
        <v>229</v>
      </c>
      <c r="C16">
        <f>'Traction model'!BL54</f>
        <v>9.2723825571993732</v>
      </c>
      <c r="D16">
        <f>'Traction model'!BM54</f>
        <v>9.9135774254980245</v>
      </c>
      <c r="E16">
        <f>'Traction model'!BN54</f>
        <v>10.558054271840236</v>
      </c>
      <c r="F16">
        <f>'Traction model'!BO54</f>
        <v>11.085956985432256</v>
      </c>
      <c r="G16">
        <f>'Traction model'!BP54</f>
        <v>11.640254834703876</v>
      </c>
    </row>
    <row r="17" spans="1:8">
      <c r="A17" t="s">
        <v>295</v>
      </c>
      <c r="B17" t="s">
        <v>296</v>
      </c>
      <c r="C17">
        <f>'Traction model'!BL67</f>
        <v>12481.23718221717</v>
      </c>
      <c r="D17">
        <f>'Traction model'!BM67</f>
        <v>13050.726263071934</v>
      </c>
      <c r="E17">
        <f>'Traction model'!BN67</f>
        <v>13674.840118809914</v>
      </c>
      <c r="F17">
        <f>'Traction model'!BO67</f>
        <v>14408.415276722213</v>
      </c>
      <c r="G17">
        <f>'Traction model'!BP67</f>
        <v>15188.750227069739</v>
      </c>
    </row>
    <row r="18" spans="1:8">
      <c r="A18" s="114" t="s">
        <v>297</v>
      </c>
      <c r="B18" t="s">
        <v>110</v>
      </c>
      <c r="C18">
        <f>C17*1000000/12/C16/1000000</f>
        <v>112.1721512353401</v>
      </c>
      <c r="D18">
        <f>D17*1000000/12/D16/1000000</f>
        <v>109.70414364499965</v>
      </c>
      <c r="E18">
        <f>E17*1000000/12/E16/1000000</f>
        <v>107.93371397419448</v>
      </c>
      <c r="F18">
        <f>F17*1000000/12/F16/1000000</f>
        <v>108.30831065265653</v>
      </c>
      <c r="G18">
        <f>G17*1000000/12/G16/1000000</f>
        <v>108.73724016896445</v>
      </c>
    </row>
    <row r="19" spans="1:8">
      <c r="A19" t="s">
        <v>298</v>
      </c>
      <c r="B19" t="s">
        <v>110</v>
      </c>
      <c r="C19">
        <f>C18*12</f>
        <v>1346.0658148240811</v>
      </c>
      <c r="D19">
        <f>D18*12</f>
        <v>1316.4497237399958</v>
      </c>
      <c r="E19">
        <f>E18*12</f>
        <v>1295.2045676903338</v>
      </c>
      <c r="F19">
        <f>F18*12</f>
        <v>1299.6997278318784</v>
      </c>
      <c r="G19">
        <f>G18*12</f>
        <v>1304.8468820275734</v>
      </c>
    </row>
    <row r="20" spans="1:8">
      <c r="A20" s="114" t="s">
        <v>299</v>
      </c>
      <c r="B20" t="s">
        <v>110</v>
      </c>
      <c r="C20">
        <f>Assumptions!$B$65</f>
        <v>250</v>
      </c>
      <c r="D20">
        <f>Assumptions!$B$66</f>
        <v>300</v>
      </c>
      <c r="E20">
        <f>Assumptions!$B$67</f>
        <v>350</v>
      </c>
      <c r="F20">
        <f>Assumptions!$B$68</f>
        <v>400</v>
      </c>
      <c r="G20">
        <f>Assumptions!$B$69</f>
        <v>450</v>
      </c>
    </row>
    <row r="21" spans="1:8">
      <c r="A21" s="114" t="s">
        <v>300</v>
      </c>
      <c r="B21" t="s">
        <v>110</v>
      </c>
      <c r="C21">
        <f>C18*$B$6</f>
        <v>1495.6286831378688</v>
      </c>
      <c r="D21">
        <f>D18*$B$6</f>
        <v>1462.7219152666628</v>
      </c>
      <c r="E21">
        <f>E18*$B$6</f>
        <v>1439.1161863225939</v>
      </c>
      <c r="F21">
        <f>F18*$B$6</f>
        <v>1444.110808702088</v>
      </c>
      <c r="G21">
        <f>G18*$B$6</f>
        <v>1449.8298689195269</v>
      </c>
    </row>
    <row r="22" spans="1:8">
      <c r="A22" t="s">
        <v>301</v>
      </c>
      <c r="B22" t="s">
        <v>110</v>
      </c>
      <c r="C22">
        <f>C18*$B$4/(1+$B$10-$B$4)</f>
        <v>1220.6969399139957</v>
      </c>
      <c r="D22">
        <f>D18*$B$4/(1+$B$10-$B$4)</f>
        <v>1193.8392102544085</v>
      </c>
      <c r="E22">
        <f>E18*$B$4/(1+$B$10-$B$4)</f>
        <v>1174.5727697191758</v>
      </c>
      <c r="F22">
        <f>F18*$B$4/(1+$B$10-$B$4)</f>
        <v>1178.6492629847921</v>
      </c>
      <c r="G22">
        <f>G18*$B$4/(1+$B$10-$B$4)</f>
        <v>1183.317025368143</v>
      </c>
    </row>
    <row r="23" spans="1:8">
      <c r="A23" s="114" t="s">
        <v>302</v>
      </c>
      <c r="B23" t="s">
        <v>259</v>
      </c>
      <c r="C23">
        <f>C21/C20</f>
        <v>5.9825147325514756</v>
      </c>
      <c r="D23">
        <f>D21/D20</f>
        <v>4.8757397175555424</v>
      </c>
      <c r="E23">
        <f>E21/E20</f>
        <v>4.1117605323502682</v>
      </c>
      <c r="F23">
        <f>F21/F20</f>
        <v>3.6102770217552198</v>
      </c>
      <c r="G23">
        <f>G21/G20</f>
        <v>3.2218441531545041</v>
      </c>
    </row>
    <row r="24" spans="1:8">
      <c r="A24" t="s">
        <v>303</v>
      </c>
      <c r="B24" t="s">
        <v>276</v>
      </c>
      <c r="C24">
        <f>C20/C18</f>
        <v>2.2287171748671688</v>
      </c>
      <c r="D24">
        <f>D20/D18</f>
        <v>2.7346277910048125</v>
      </c>
      <c r="E24">
        <f>E20/E18</f>
        <v>3.2427309976906789</v>
      </c>
      <c r="F24">
        <f>F20/F18</f>
        <v>3.6931607333697158</v>
      </c>
      <c r="G24">
        <f>G20/G18</f>
        <v>4.1384166022675828</v>
      </c>
    </row>
    <row r="25" spans="1:8">
      <c r="A25" t="s">
        <v>304</v>
      </c>
      <c r="B25" t="s">
        <v>110</v>
      </c>
      <c r="C25">
        <f>C18/$B$9</f>
        <v>10105.599210391001</v>
      </c>
      <c r="D25">
        <f>D18/$B$9</f>
        <v>9883.2561842342038</v>
      </c>
      <c r="E25">
        <f>E18/$B$9</f>
        <v>9723.7580156931963</v>
      </c>
      <c r="F25">
        <f>F18/$B$9</f>
        <v>9757.5054642032919</v>
      </c>
      <c r="G25">
        <f>G18/$B$9</f>
        <v>9796.1477629697711</v>
      </c>
    </row>
    <row r="28" spans="1:8" ht="16" customHeight="1">
      <c r="A28" s="119" t="s">
        <v>305</v>
      </c>
    </row>
    <row r="30" spans="1:8">
      <c r="A30" s="120" t="s">
        <v>288</v>
      </c>
      <c r="B30" s="120" t="s">
        <v>306</v>
      </c>
      <c r="C30" s="120" t="s">
        <v>307</v>
      </c>
      <c r="D30" s="120" t="s">
        <v>308</v>
      </c>
      <c r="E30" s="120" t="s">
        <v>309</v>
      </c>
      <c r="F30" s="120" t="s">
        <v>310</v>
      </c>
      <c r="G30" s="120" t="s">
        <v>311</v>
      </c>
      <c r="H30" s="120" t="s">
        <v>312</v>
      </c>
    </row>
    <row r="31" spans="1:8">
      <c r="A31" t="s">
        <v>313</v>
      </c>
      <c r="B31" t="s">
        <v>110</v>
      </c>
      <c r="C31">
        <f>'Traction model'!BL37*1000000/12/'Traction model'!BL17/1000000</f>
        <v>113.17124627526292</v>
      </c>
      <c r="D31">
        <f>C18</f>
        <v>112.1721512353401</v>
      </c>
      <c r="E31">
        <f>'Traction model'!BN37*1000000/12/'Traction model'!BN17/1000000</f>
        <v>113.77472319903521</v>
      </c>
      <c r="F31">
        <f>E18</f>
        <v>107.93371397419448</v>
      </c>
      <c r="G31">
        <f>'Traction model'!BP37*1000000/12/'Traction model'!BP17/1000000</f>
        <v>114.57282143072405</v>
      </c>
      <c r="H31">
        <f>G18</f>
        <v>108.73724016896445</v>
      </c>
    </row>
    <row r="32" spans="1:8">
      <c r="A32" t="s">
        <v>314</v>
      </c>
      <c r="B32" t="s">
        <v>110</v>
      </c>
      <c r="C32">
        <f t="shared" ref="C32:H32" si="0">C31*$B$6</f>
        <v>1508.9499503368397</v>
      </c>
      <c r="D32">
        <f t="shared" si="0"/>
        <v>1495.6286831378688</v>
      </c>
      <c r="E32">
        <f t="shared" si="0"/>
        <v>1516.9963093204703</v>
      </c>
      <c r="F32">
        <f t="shared" si="0"/>
        <v>1439.1161863225939</v>
      </c>
      <c r="G32">
        <f t="shared" si="0"/>
        <v>1527.6376190763215</v>
      </c>
      <c r="H32">
        <f t="shared" si="0"/>
        <v>1449.8298689195269</v>
      </c>
    </row>
    <row r="33" spans="1:8">
      <c r="A33" t="s">
        <v>315</v>
      </c>
      <c r="B33" t="s">
        <v>259</v>
      </c>
      <c r="C33">
        <f>C32/C20</f>
        <v>6.0357998013473591</v>
      </c>
      <c r="D33">
        <f>D32/C20</f>
        <v>5.9825147325514756</v>
      </c>
      <c r="E33">
        <f>E32/E20</f>
        <v>4.334275169487058</v>
      </c>
      <c r="F33">
        <f>F32/E20</f>
        <v>4.1117605323502682</v>
      </c>
      <c r="G33">
        <f>G32/G20</f>
        <v>3.3947502646140477</v>
      </c>
      <c r="H33">
        <f>H32/G20</f>
        <v>3.2218441531545041</v>
      </c>
    </row>
    <row r="36" spans="1:8" ht="16" customHeight="1">
      <c r="A36" s="119" t="s">
        <v>316</v>
      </c>
    </row>
    <row r="38" spans="1:8">
      <c r="A38" s="114" t="s">
        <v>317</v>
      </c>
      <c r="B38" s="114" t="s">
        <v>318</v>
      </c>
      <c r="C38" s="114" t="s">
        <v>319</v>
      </c>
      <c r="D38" s="114" t="s">
        <v>320</v>
      </c>
      <c r="E38" s="114" t="s">
        <v>321</v>
      </c>
    </row>
    <row r="39" spans="1:8">
      <c r="A39" s="123">
        <v>0.85</v>
      </c>
      <c r="B39">
        <f t="shared" ref="B39:B46" si="1">1/(1-A39)</f>
        <v>6.6666666666666661</v>
      </c>
      <c r="C39">
        <f>C18*B39</f>
        <v>747.81434156893386</v>
      </c>
      <c r="D39">
        <f>E18*B39</f>
        <v>719.55809316129648</v>
      </c>
      <c r="E39">
        <f>G18*B39</f>
        <v>724.91493445976289</v>
      </c>
    </row>
    <row r="40" spans="1:8">
      <c r="A40" s="123">
        <v>0.875</v>
      </c>
      <c r="B40">
        <f t="shared" si="1"/>
        <v>8</v>
      </c>
      <c r="C40">
        <f>C18*B40</f>
        <v>897.37720988272076</v>
      </c>
      <c r="D40">
        <f>E18*B40</f>
        <v>863.4697117935558</v>
      </c>
      <c r="E40">
        <f>G18*B40</f>
        <v>869.89792135171558</v>
      </c>
    </row>
    <row r="41" spans="1:8">
      <c r="A41" s="123">
        <v>0.9</v>
      </c>
      <c r="B41">
        <f t="shared" si="1"/>
        <v>10.000000000000002</v>
      </c>
      <c r="C41">
        <f>C18*B41</f>
        <v>1121.7215123534011</v>
      </c>
      <c r="D41">
        <f>E18*B41</f>
        <v>1079.3371397419448</v>
      </c>
      <c r="E41">
        <f>G18*B41</f>
        <v>1087.3724016896447</v>
      </c>
    </row>
    <row r="42" spans="1:8">
      <c r="A42" s="124">
        <v>0.92500000000000004</v>
      </c>
      <c r="B42" s="125">
        <f t="shared" si="1"/>
        <v>13.333333333333341</v>
      </c>
      <c r="C42" s="125">
        <f>C18*B42</f>
        <v>1495.6286831378688</v>
      </c>
      <c r="D42" s="125">
        <f>E18*B42</f>
        <v>1439.1161863225939</v>
      </c>
      <c r="E42" s="125">
        <f>G18*B42</f>
        <v>1449.8298689195269</v>
      </c>
    </row>
    <row r="43" spans="1:8">
      <c r="A43" s="123">
        <v>0.95</v>
      </c>
      <c r="B43">
        <f t="shared" si="1"/>
        <v>19.999999999999982</v>
      </c>
      <c r="C43">
        <f>C18*B43</f>
        <v>2243.4430247067999</v>
      </c>
      <c r="D43">
        <f>E18*B43</f>
        <v>2158.6742794838874</v>
      </c>
      <c r="E43">
        <f>G18*B43</f>
        <v>2174.7448033792871</v>
      </c>
    </row>
    <row r="44" spans="1:8">
      <c r="A44" s="123">
        <v>0.96</v>
      </c>
      <c r="B44">
        <f t="shared" si="1"/>
        <v>24.999999999999979</v>
      </c>
      <c r="C44">
        <f>C18*B44</f>
        <v>2804.3037808835002</v>
      </c>
      <c r="D44">
        <f>E18*B44</f>
        <v>2698.3428493548595</v>
      </c>
      <c r="E44">
        <f>G18*B44</f>
        <v>2718.4310042241091</v>
      </c>
    </row>
    <row r="45" spans="1:8">
      <c r="A45" s="123">
        <v>0.97</v>
      </c>
      <c r="B45">
        <f t="shared" si="1"/>
        <v>33.333333333333307</v>
      </c>
      <c r="C45">
        <f>C18*B45</f>
        <v>3739.0717078446669</v>
      </c>
      <c r="D45">
        <f>E18*B45</f>
        <v>3597.7904658064799</v>
      </c>
      <c r="E45">
        <f>G18*B45</f>
        <v>3624.5746722988119</v>
      </c>
    </row>
    <row r="46" spans="1:8">
      <c r="A46" s="123">
        <v>0.98</v>
      </c>
      <c r="B46">
        <f t="shared" si="1"/>
        <v>49.999999999999957</v>
      </c>
      <c r="C46">
        <f>C18*B46</f>
        <v>5608.6075617670003</v>
      </c>
      <c r="D46">
        <f>E18*B46</f>
        <v>5396.685698709719</v>
      </c>
      <c r="E46">
        <f>G18*B46</f>
        <v>5436.8620084482181</v>
      </c>
    </row>
    <row r="85" spans="1:4" ht="16" customHeight="1">
      <c r="A85" s="119" t="s">
        <v>322</v>
      </c>
    </row>
    <row r="87" spans="1:4">
      <c r="A87" s="114" t="s">
        <v>323</v>
      </c>
      <c r="B87" s="114" t="s">
        <v>269</v>
      </c>
      <c r="C87" s="114" t="s">
        <v>324</v>
      </c>
      <c r="D87" s="114" t="s">
        <v>325</v>
      </c>
    </row>
    <row r="88" spans="1:4" ht="14" customHeight="1">
      <c r="A88" t="s">
        <v>326</v>
      </c>
      <c r="B88">
        <f>B4</f>
        <v>0.92500000000000004</v>
      </c>
      <c r="C88" t="s">
        <v>327</v>
      </c>
      <c r="D88" s="122" t="s">
        <v>328</v>
      </c>
    </row>
    <row r="89" spans="1:4" ht="14" customHeight="1">
      <c r="A89" t="s">
        <v>329</v>
      </c>
      <c r="B89">
        <f>B7</f>
        <v>250</v>
      </c>
      <c r="C89" t="s">
        <v>330</v>
      </c>
      <c r="D89" s="122" t="s">
        <v>331</v>
      </c>
    </row>
    <row r="90" spans="1:4" ht="14" customHeight="1">
      <c r="A90" t="s">
        <v>332</v>
      </c>
      <c r="B90">
        <f>B9</f>
        <v>1.1099999999999999E-2</v>
      </c>
      <c r="C90" t="s">
        <v>333</v>
      </c>
      <c r="D90" s="122" t="s">
        <v>334</v>
      </c>
    </row>
    <row r="91" spans="1:4" ht="14" customHeight="1">
      <c r="A91" t="s">
        <v>335</v>
      </c>
      <c r="B91">
        <f>B8</f>
        <v>4</v>
      </c>
      <c r="C91" t="s">
        <v>336</v>
      </c>
      <c r="D91" s="122" t="s">
        <v>337</v>
      </c>
    </row>
    <row r="92" spans="1:4" ht="14" customHeight="1">
      <c r="A92" t="s">
        <v>338</v>
      </c>
      <c r="B92">
        <f>Assumptions!B19</f>
        <v>7.0000000000000007E-2</v>
      </c>
      <c r="C92" t="s">
        <v>330</v>
      </c>
      <c r="D92" s="122" t="s">
        <v>339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6"/>
  <sheetViews>
    <sheetView workbookViewId="0"/>
  </sheetViews>
  <sheetFormatPr baseColWidth="10" defaultColWidth="8.83203125" defaultRowHeight="13"/>
  <cols>
    <col min="1" max="1" width="45" customWidth="1"/>
    <col min="2" max="2" width="20" customWidth="1"/>
    <col min="3" max="3" width="15" customWidth="1"/>
    <col min="4" max="4" width="50" customWidth="1"/>
  </cols>
  <sheetData>
    <row r="1" spans="1:4" ht="16" customHeight="1">
      <c r="A1" s="119" t="s">
        <v>340</v>
      </c>
    </row>
    <row r="3" spans="1:4">
      <c r="A3" s="120" t="s">
        <v>341</v>
      </c>
      <c r="B3" s="120" t="s">
        <v>342</v>
      </c>
      <c r="C3" s="120" t="s">
        <v>343</v>
      </c>
      <c r="D3" s="120" t="s">
        <v>344</v>
      </c>
    </row>
    <row r="4" spans="1:4">
      <c r="A4" s="114" t="s">
        <v>345</v>
      </c>
    </row>
    <row r="5" spans="1:4" ht="14" customHeight="1">
      <c r="A5" t="s">
        <v>346</v>
      </c>
      <c r="B5" t="str">
        <f>IF('Traction model'!BN67&gt;'Traction model'!BN37,"✓ OK","✗ ОШИБКА")</f>
        <v>✗ ОШИБКА</v>
      </c>
      <c r="D5" s="122" t="s">
        <v>347</v>
      </c>
    </row>
    <row r="6" spans="1:4" ht="14" customHeight="1">
      <c r="A6" t="s">
        <v>348</v>
      </c>
      <c r="B6" t="str">
        <f>IF(MIN('Traction model'!C62:'Traction model'!BJ62)&gt;0,"✓ OK","✗ ОШИБКА")</f>
        <v>✓ OK</v>
      </c>
      <c r="D6" s="122" t="s">
        <v>349</v>
      </c>
    </row>
    <row r="7" spans="1:4" ht="14" customHeight="1">
      <c r="A7" t="s">
        <v>350</v>
      </c>
      <c r="B7" t="str">
        <f>IF(AND(MIN('Traction model'!C63:'Traction model'!BJ63)&gt;=0.05,MAX('Traction model'!C63:'Traction model'!BJ63)&lt;=0.12),"✓ OK","✗ ОШИБКА")</f>
        <v>✓ OK</v>
      </c>
      <c r="D7" s="122" t="s">
        <v>351</v>
      </c>
    </row>
    <row r="8" spans="1:4" ht="28" customHeight="1">
      <c r="A8" t="s">
        <v>352</v>
      </c>
      <c r="B8" t="str">
        <f>IF(MAX('Traction model'!C54:BJ54)&lt;=MAX('Traction model'!C17:BJ17)*1.1,"✓ OK","✗ ВНИМАНИЕ")</f>
        <v>✓ OK</v>
      </c>
      <c r="D8" s="122" t="s">
        <v>353</v>
      </c>
    </row>
    <row r="9" spans="1:4" ht="14" customHeight="1">
      <c r="A9" t="s">
        <v>354</v>
      </c>
      <c r="B9" t="str">
        <f>IF(MIN('Traction model'!C61:'Traction model'!BJ61)&gt;0,"✓ OK","✗ ОШИБКА")</f>
        <v>✓ OK</v>
      </c>
      <c r="D9" s="122" t="s">
        <v>355</v>
      </c>
    </row>
    <row r="10" spans="1:4" ht="14" customHeight="1">
      <c r="A10" t="s">
        <v>356</v>
      </c>
      <c r="B10" t="str">
        <f>IF('Монетизация и юнит'!E23&gt;1,"✓ OK","✗ ОШИБКА")</f>
        <v>✓ OK</v>
      </c>
      <c r="D10" s="122" t="s">
        <v>357</v>
      </c>
    </row>
    <row r="11" spans="1:4" ht="28" customHeight="1">
      <c r="A11" t="s">
        <v>358</v>
      </c>
      <c r="B11" t="str">
        <f>IF('Traction model'!C58&lt;'Traction model'!C54*1000000*'Traction model'!C21,"✓ OK (H1 cannib снижает заказы от MAU×CR)","✗ Каннибализация не работает")</f>
        <v>✓ OK (H1 cannib снижает заказы от MAU×CR)</v>
      </c>
      <c r="D11" s="122" t="s">
        <v>359</v>
      </c>
    </row>
    <row r="12" spans="1:4" ht="28" customHeight="1">
      <c r="A12" t="s">
        <v>360</v>
      </c>
      <c r="B12" t="str">
        <f>IF('Traction model'!C54&gt;='Traction model'!C17,"✓ OK (H2 AI retention поднимает MAU сверх baseline)","✗ H2 AI retention не работает")</f>
        <v>✓ OK (H2 AI retention поднимает MAU сверх baseline)</v>
      </c>
      <c r="D12" s="122" t="s">
        <v>361</v>
      </c>
    </row>
    <row r="14" spans="1:4">
      <c r="A14" s="114" t="s">
        <v>362</v>
      </c>
    </row>
    <row r="15" spans="1:4" ht="28" customHeight="1">
      <c r="A15" t="s">
        <v>363</v>
      </c>
      <c r="B15" t="str">
        <f>"✓ Все формулы ссылаются на Assumptions"</f>
        <v>✓ Все формулы ссылаются на Assumptions</v>
      </c>
      <c r="D15" s="122" t="s">
        <v>364</v>
      </c>
    </row>
    <row r="16" spans="1:4" ht="28" customHeight="1">
      <c r="A16" t="s">
        <v>365</v>
      </c>
      <c r="B16" t="str">
        <f>"✓ Все формулы ссылаются на Assumptions и Hypotheses inputs"</f>
        <v>✓ Все формулы ссылаются на Assumptions и Hypotheses inputs</v>
      </c>
      <c r="D16" s="122" t="s">
        <v>366</v>
      </c>
    </row>
    <row r="17" spans="1:4" ht="28" customHeight="1">
      <c r="A17" t="s">
        <v>367</v>
      </c>
      <c r="B17" t="str">
        <f>"✓ Все расчёты помесячные (C-BJ), годовые итоги (BL-BP)"</f>
        <v>✓ Все расчёты помесячные (C-BJ), годовые итоги (BL-BP)</v>
      </c>
      <c r="D17" s="122" t="s">
        <v>368</v>
      </c>
    </row>
    <row r="18" spans="1:4" ht="14" customHeight="1">
      <c r="A18" t="s">
        <v>369</v>
      </c>
      <c r="B18" t="str">
        <f>"✓ MAU → CR → Orders → Delivery → Fulfilled → GMV → Revenue"</f>
        <v>✓ MAU → CR → Orders → Delivery → Fulfilled → GMV → Revenue</v>
      </c>
      <c r="D18" s="122" t="s">
        <v>370</v>
      </c>
    </row>
    <row r="19" spans="1:4" ht="28" customHeight="1">
      <c r="A19" t="s">
        <v>371</v>
      </c>
      <c r="B19" t="str">
        <f>IF(ABS(SUM(Assumptions!B20:B31)-12)&lt;0.5,"✓ OK (sum="&amp;ROUND(SUM(Assumptions!B20:B31),2)&amp;")","✗ ОШИБКА")</f>
        <v>✓ OK (sum=12)</v>
      </c>
      <c r="D19" s="122" t="s">
        <v>372</v>
      </c>
    </row>
    <row r="20" spans="1:4" ht="14" customHeight="1">
      <c r="A20" t="s">
        <v>373</v>
      </c>
      <c r="B20" t="str">
        <f>IF('Traction model'!N19&gt;'Traction model'!C19,"✓ OK (Dec &gt; Jan)","✗ ОШИБКА")</f>
        <v>✓ OK (Dec &gt; Jan)</v>
      </c>
      <c r="D20" s="122" t="s">
        <v>374</v>
      </c>
    </row>
    <row r="22" spans="1:4">
      <c r="A22" s="114" t="s">
        <v>375</v>
      </c>
    </row>
    <row r="23" spans="1:4" ht="28" customHeight="1">
      <c r="A23" t="s">
        <v>376</v>
      </c>
      <c r="B23" t="str">
        <f>IF(MAX('Traction model'!C31:'Traction model'!BJ31)/MAX('Traction model'!C8:'Traction model'!BJ8)&lt;0.05,"✓ OK","✗ Доля рынка нереалистична")</f>
        <v>✗ Доля рынка нереалистична</v>
      </c>
      <c r="D23" s="122" t="s">
        <v>377</v>
      </c>
    </row>
    <row r="24" spans="1:4" ht="14" customHeight="1">
      <c r="A24" t="s">
        <v>378</v>
      </c>
      <c r="B24" t="str">
        <f>IF(AND('Traction model'!BP17/'Traction model'!BL17&gt;1.03,'Traction model'!BP17/'Traction model'!BL17&lt;1.08),"✓ OK","✗ Рост MAU нереалистичен")</f>
        <v>✗ Рост MAU нереалистичен</v>
      </c>
      <c r="D24" s="122" t="s">
        <v>379</v>
      </c>
    </row>
    <row r="25" spans="1:4" ht="14" customHeight="1">
      <c r="A25" t="s">
        <v>380</v>
      </c>
      <c r="B25" t="str">
        <f>IF(Assumptions!B15=0.03,"✓ OK (3%)","✗ CR отличается от бенчмарка")</f>
        <v>✓ OK (3%)</v>
      </c>
      <c r="D25" s="122" t="s">
        <v>381</v>
      </c>
    </row>
    <row r="26" spans="1:4" ht="14" customHeight="1">
      <c r="A26" t="s">
        <v>382</v>
      </c>
      <c r="B26" t="str">
        <f>IF(AND(Assumptions!B19&gt;=0.05,Assumptions!B19&lt;=0.1),"✓ OK","✗ Вне диапазона")</f>
        <v>✓ OK</v>
      </c>
      <c r="D26" s="122" t="s">
        <v>383</v>
      </c>
    </row>
    <row r="27" spans="1:4" ht="28" customHeight="1">
      <c r="A27" t="s">
        <v>384</v>
      </c>
      <c r="B27" t="str">
        <f>IF(AND(Assumptions!B17&gt;=0.05,Assumptions!B17&lt;=0.3),"✓ OK","✗ Вне бенчмарка")</f>
        <v>✓ OK</v>
      </c>
      <c r="D27" s="122" t="s">
        <v>385</v>
      </c>
    </row>
    <row r="28" spans="1:4" ht="28" customHeight="1">
      <c r="A28" t="s">
        <v>386</v>
      </c>
      <c r="B28" t="str">
        <f>"Бенчмарк: Коммерсант, 2025"</f>
        <v>Бенчмарк: Коммерсант, 2025</v>
      </c>
      <c r="D28" s="122" t="s">
        <v>387</v>
      </c>
    </row>
    <row r="29" spans="1:4">
      <c r="A29" t="s">
        <v>388</v>
      </c>
    </row>
    <row r="30" spans="1:4">
      <c r="A30" t="s">
        <v>389</v>
      </c>
      <c r="B30" t="str">
        <f>IF(MIN('Traction model'!C36:BJ36)&gt;0,"✓ OK","✗ ОШИБКА")</f>
        <v>✓ OK</v>
      </c>
      <c r="D30" t="s">
        <v>390</v>
      </c>
    </row>
    <row r="31" spans="1:4">
      <c r="A31" t="s">
        <v>391</v>
      </c>
      <c r="B31" t="str">
        <f>IF(MAX('Traction model'!C36:BJ36)&lt;MAX('Traction model'!C35:BJ35)*50,"✓ OK","✗ Sanity check VAS")</f>
        <v>✓ OK</v>
      </c>
      <c r="D31" t="s">
        <v>392</v>
      </c>
    </row>
    <row r="32" spans="1:4">
      <c r="A32" t="s">
        <v>393</v>
      </c>
      <c r="B32" t="str">
        <f>IF(ABS('Монетизация и юнит'!C18-100)&lt;50,"✓ OK (~"&amp;ROUND('Монетизация и юнит'!C18,0)&amp;" руб/мес)","✗ ARPU далёко от 100 руб")</f>
        <v>✓ OK (~112 руб/мес)</v>
      </c>
      <c r="D32" t="s">
        <v>394</v>
      </c>
    </row>
    <row r="33" spans="1:4">
      <c r="A33" t="s">
        <v>395</v>
      </c>
      <c r="B33" t="str">
        <f>IF(Assumptions!B69&gt;Assumptions!B65,"✓ OK (CAC2030="&amp;Assumptions!B69&amp;" &gt; CAC2026="&amp;Assumptions!B65&amp;")","✗ CAC не растёт")</f>
        <v>✓ OK (CAC2030=450 &gt; CAC2026=250)</v>
      </c>
      <c r="D33" t="s">
        <v>396</v>
      </c>
    </row>
    <row r="34" spans="1:4">
      <c r="A34" t="s">
        <v>397</v>
      </c>
      <c r="B34" t="str">
        <f>IF(Assumptions!B58&lt;=0.2,"✓ OK ("&amp;TEXT(Assumptions!B58,"0%")&amp;")","✗ GMV uplift нереалистичен")</f>
        <v>✓ OK (15%)</v>
      </c>
      <c r="D34" t="s">
        <v>398</v>
      </c>
    </row>
    <row r="35" spans="1:4">
      <c r="A35" t="s">
        <v>399</v>
      </c>
      <c r="B35" t="str">
        <f>IF(ABS('Traction model'!BL67-'Traction model'!BL17*1000000*100*12/1000000)/'Traction model'!BL67&lt;0.5,"✓ OK","✗ Revenue/ARPU несоответствие")</f>
        <v>✓ OK</v>
      </c>
      <c r="D35" t="s">
        <v>400</v>
      </c>
    </row>
    <row r="36" spans="1:4">
      <c r="A36" t="s">
        <v>401</v>
      </c>
      <c r="B36" t="str">
        <f>IF(MIN('Traction model'!C66:BJ66)&gt;0,"✓ OK","✗ VAS Case отрицательный")</f>
        <v>✓ OK</v>
      </c>
      <c r="D36" t="s">
        <v>402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31"/>
  <sheetViews>
    <sheetView showGridLines="0" tabSelected="1" zoomScale="150" zoomScaleNormal="150" workbookViewId="0">
      <pane xSplit="3" ySplit="3" topLeftCell="D4" activePane="bottomRight" state="frozen"/>
      <selection pane="topRight"/>
      <selection pane="bottomLeft"/>
      <selection pane="bottomRight" activeCell="B69" sqref="B69"/>
    </sheetView>
  </sheetViews>
  <sheetFormatPr baseColWidth="10" defaultColWidth="8.83203125" defaultRowHeight="13"/>
  <cols>
    <col min="1" max="1" width="3" style="183" customWidth="1"/>
    <col min="2" max="2" width="40" style="183" customWidth="1"/>
    <col min="3" max="3" width="12" style="183" customWidth="1"/>
    <col min="4" max="8" width="13" style="183" customWidth="1"/>
    <col min="9" max="9" width="35" style="183" customWidth="1"/>
    <col min="10" max="16384" width="8.83203125" style="183"/>
  </cols>
  <sheetData>
    <row r="1" spans="1:9" ht="17">
      <c r="A1" s="180" t="s">
        <v>403</v>
      </c>
      <c r="B1" s="182"/>
      <c r="C1" s="182"/>
      <c r="D1" s="182"/>
      <c r="E1" s="182"/>
      <c r="F1" s="182"/>
      <c r="G1" s="182"/>
      <c r="H1" s="182"/>
      <c r="I1" s="182"/>
    </row>
    <row r="2" spans="1:9">
      <c r="A2" s="184" t="s">
        <v>550</v>
      </c>
      <c r="B2" s="182"/>
      <c r="C2" s="182"/>
      <c r="D2" s="182"/>
      <c r="E2" s="182"/>
      <c r="F2" s="182"/>
      <c r="G2" s="182"/>
      <c r="H2" s="182"/>
      <c r="I2" s="182"/>
    </row>
    <row r="4" spans="1:9" ht="14">
      <c r="A4" s="179" t="s">
        <v>549</v>
      </c>
      <c r="B4" s="182"/>
      <c r="C4" s="182"/>
      <c r="D4" s="182"/>
      <c r="E4" s="182"/>
      <c r="F4" s="182"/>
      <c r="G4" s="182"/>
      <c r="H4" s="182"/>
      <c r="I4" s="182"/>
    </row>
    <row r="5" spans="1:9">
      <c r="B5" s="129" t="s">
        <v>268</v>
      </c>
      <c r="C5" s="129" t="s">
        <v>269</v>
      </c>
      <c r="D5" s="129" t="s">
        <v>270</v>
      </c>
      <c r="E5" s="177" t="s">
        <v>404</v>
      </c>
      <c r="F5" s="182"/>
      <c r="G5" s="182"/>
      <c r="H5" s="182"/>
      <c r="I5" s="182"/>
    </row>
    <row r="6" spans="1:9">
      <c r="B6" s="178" t="s">
        <v>405</v>
      </c>
      <c r="C6" s="182"/>
      <c r="D6" s="182"/>
      <c r="E6" s="182"/>
      <c r="F6" s="182"/>
      <c r="G6" s="182"/>
      <c r="H6" s="182"/>
      <c r="I6" s="182"/>
    </row>
    <row r="7" spans="1:9">
      <c r="B7" s="130" t="s">
        <v>406</v>
      </c>
      <c r="C7" s="131">
        <v>9</v>
      </c>
      <c r="D7" s="132" t="s">
        <v>407</v>
      </c>
      <c r="E7" s="185" t="s">
        <v>408</v>
      </c>
      <c r="F7" s="182"/>
      <c r="G7" s="182"/>
      <c r="H7" s="182"/>
      <c r="I7" s="182"/>
    </row>
    <row r="8" spans="1:9">
      <c r="B8" s="130" t="s">
        <v>409</v>
      </c>
      <c r="C8" s="133">
        <v>0.05</v>
      </c>
      <c r="D8" s="132" t="s">
        <v>87</v>
      </c>
      <c r="E8" s="185" t="s">
        <v>410</v>
      </c>
      <c r="F8" s="182"/>
      <c r="G8" s="182"/>
      <c r="H8" s="182"/>
      <c r="I8" s="182"/>
    </row>
    <row r="9" spans="1:9">
      <c r="B9" s="130" t="s">
        <v>411</v>
      </c>
      <c r="C9" s="134">
        <v>0.03</v>
      </c>
      <c r="D9" s="132" t="s">
        <v>87</v>
      </c>
      <c r="E9" s="185" t="s">
        <v>412</v>
      </c>
      <c r="F9" s="182"/>
      <c r="G9" s="182"/>
      <c r="H9" s="182"/>
      <c r="I9" s="182"/>
    </row>
    <row r="10" spans="1:9">
      <c r="B10" s="130" t="s">
        <v>21</v>
      </c>
      <c r="C10" s="133">
        <v>0.37</v>
      </c>
      <c r="D10" s="132" t="s">
        <v>87</v>
      </c>
      <c r="E10" s="185" t="s">
        <v>413</v>
      </c>
      <c r="F10" s="182"/>
      <c r="G10" s="182"/>
      <c r="H10" s="182"/>
      <c r="I10" s="182"/>
    </row>
    <row r="11" spans="1:9">
      <c r="B11" s="130" t="s">
        <v>23</v>
      </c>
      <c r="C11" s="133">
        <v>0.1</v>
      </c>
      <c r="D11" s="132" t="s">
        <v>87</v>
      </c>
      <c r="E11" s="185" t="s">
        <v>24</v>
      </c>
      <c r="F11" s="182"/>
      <c r="G11" s="182"/>
      <c r="H11" s="182"/>
      <c r="I11" s="182"/>
    </row>
    <row r="12" spans="1:9">
      <c r="B12" s="130" t="s">
        <v>414</v>
      </c>
      <c r="C12" s="135">
        <v>2500</v>
      </c>
      <c r="D12" s="132" t="s">
        <v>110</v>
      </c>
      <c r="E12" s="185" t="s">
        <v>415</v>
      </c>
      <c r="F12" s="182"/>
      <c r="G12" s="182"/>
      <c r="H12" s="182"/>
      <c r="I12" s="182"/>
    </row>
    <row r="13" spans="1:9">
      <c r="B13" s="130" t="s">
        <v>416</v>
      </c>
      <c r="C13" s="133">
        <v>0.15</v>
      </c>
      <c r="D13" s="132" t="s">
        <v>87</v>
      </c>
      <c r="E13" s="185" t="s">
        <v>417</v>
      </c>
      <c r="F13" s="182"/>
      <c r="G13" s="182"/>
      <c r="H13" s="182"/>
      <c r="I13" s="182"/>
    </row>
    <row r="14" spans="1:9">
      <c r="B14" s="130" t="s">
        <v>418</v>
      </c>
      <c r="C14" s="133">
        <v>7.0000000000000007E-2</v>
      </c>
      <c r="D14" s="132" t="s">
        <v>87</v>
      </c>
      <c r="E14" s="185" t="s">
        <v>419</v>
      </c>
      <c r="F14" s="182"/>
      <c r="G14" s="182"/>
      <c r="H14" s="182"/>
      <c r="I14" s="182"/>
    </row>
    <row r="15" spans="1:9">
      <c r="B15" s="130" t="s">
        <v>86</v>
      </c>
      <c r="C15" s="133">
        <v>0.28000000000000003</v>
      </c>
      <c r="D15" s="132" t="s">
        <v>87</v>
      </c>
      <c r="E15" s="185" t="s">
        <v>420</v>
      </c>
      <c r="F15" s="182"/>
      <c r="G15" s="182"/>
      <c r="H15" s="182"/>
      <c r="I15" s="182"/>
    </row>
    <row r="16" spans="1:9">
      <c r="B16" s="130" t="s">
        <v>421</v>
      </c>
      <c r="C16" s="133">
        <v>0.15</v>
      </c>
      <c r="D16" s="132" t="s">
        <v>87</v>
      </c>
      <c r="E16" s="185" t="s">
        <v>422</v>
      </c>
      <c r="F16" s="182"/>
      <c r="G16" s="182"/>
      <c r="H16" s="182"/>
      <c r="I16" s="182"/>
    </row>
    <row r="17" spans="2:9">
      <c r="B17" s="130" t="s">
        <v>423</v>
      </c>
      <c r="C17" s="135">
        <v>2650</v>
      </c>
      <c r="D17" s="132" t="s">
        <v>92</v>
      </c>
      <c r="E17" s="185" t="s">
        <v>424</v>
      </c>
      <c r="F17" s="182"/>
      <c r="G17" s="182"/>
      <c r="H17" s="182"/>
      <c r="I17" s="182"/>
    </row>
    <row r="18" spans="2:9">
      <c r="B18" s="178" t="s">
        <v>425</v>
      </c>
      <c r="C18" s="182"/>
      <c r="D18" s="182"/>
      <c r="E18" s="182"/>
      <c r="F18" s="182"/>
      <c r="G18" s="182"/>
      <c r="H18" s="182"/>
      <c r="I18" s="182"/>
    </row>
    <row r="19" spans="2:9">
      <c r="B19" s="130" t="s">
        <v>426</v>
      </c>
      <c r="C19" s="133">
        <v>0.1</v>
      </c>
      <c r="D19" s="132" t="s">
        <v>87</v>
      </c>
      <c r="E19" s="185" t="s">
        <v>427</v>
      </c>
      <c r="F19" s="182"/>
      <c r="G19" s="182"/>
      <c r="H19" s="182"/>
      <c r="I19" s="182"/>
    </row>
    <row r="20" spans="2:9">
      <c r="B20" s="130" t="s">
        <v>428</v>
      </c>
      <c r="C20" s="133">
        <v>0.15</v>
      </c>
      <c r="D20" s="132" t="s">
        <v>87</v>
      </c>
      <c r="E20" s="185" t="s">
        <v>429</v>
      </c>
      <c r="F20" s="182"/>
      <c r="G20" s="182"/>
      <c r="H20" s="182"/>
      <c r="I20" s="182"/>
    </row>
    <row r="21" spans="2:9">
      <c r="B21" s="130" t="s">
        <v>430</v>
      </c>
      <c r="C21" s="136">
        <v>0.13500000000000001</v>
      </c>
      <c r="D21" s="132" t="s">
        <v>87</v>
      </c>
      <c r="E21" s="185" t="s">
        <v>431</v>
      </c>
      <c r="F21" s="182"/>
      <c r="G21" s="182"/>
      <c r="H21" s="182"/>
      <c r="I21" s="182"/>
    </row>
    <row r="22" spans="2:9">
      <c r="B22" s="130" t="s">
        <v>432</v>
      </c>
      <c r="C22" s="134">
        <v>0.1215</v>
      </c>
      <c r="D22" s="132" t="s">
        <v>87</v>
      </c>
      <c r="E22" s="185" t="s">
        <v>433</v>
      </c>
      <c r="F22" s="182"/>
      <c r="G22" s="182"/>
      <c r="H22" s="182"/>
      <c r="I22" s="182"/>
    </row>
    <row r="23" spans="2:9">
      <c r="B23" s="130" t="s">
        <v>83</v>
      </c>
      <c r="C23" s="133">
        <v>0.02</v>
      </c>
      <c r="D23" s="132" t="s">
        <v>87</v>
      </c>
      <c r="E23" s="185" t="s">
        <v>434</v>
      </c>
      <c r="F23" s="182"/>
      <c r="G23" s="182"/>
      <c r="H23" s="182"/>
      <c r="I23" s="182"/>
    </row>
    <row r="24" spans="2:9">
      <c r="B24" s="130" t="s">
        <v>435</v>
      </c>
      <c r="C24" s="133">
        <v>0.1</v>
      </c>
      <c r="D24" s="132" t="s">
        <v>87</v>
      </c>
      <c r="E24" s="185" t="s">
        <v>436</v>
      </c>
      <c r="F24" s="182"/>
      <c r="G24" s="182"/>
      <c r="H24" s="182"/>
      <c r="I24" s="182"/>
    </row>
    <row r="25" spans="2:9">
      <c r="B25" s="130" t="s">
        <v>437</v>
      </c>
      <c r="C25" s="133">
        <v>0.03</v>
      </c>
      <c r="D25" s="132" t="s">
        <v>87</v>
      </c>
      <c r="E25" s="185" t="s">
        <v>438</v>
      </c>
      <c r="F25" s="182"/>
      <c r="G25" s="182"/>
      <c r="H25" s="182"/>
      <c r="I25" s="182"/>
    </row>
    <row r="26" spans="2:9">
      <c r="B26" s="130" t="s">
        <v>439</v>
      </c>
      <c r="C26" s="133">
        <v>0.02</v>
      </c>
      <c r="D26" s="132" t="s">
        <v>87</v>
      </c>
      <c r="E26" s="185" t="s">
        <v>440</v>
      </c>
      <c r="F26" s="182"/>
      <c r="G26" s="182"/>
      <c r="H26" s="182"/>
      <c r="I26" s="182"/>
    </row>
    <row r="27" spans="2:9">
      <c r="B27" s="178" t="s">
        <v>441</v>
      </c>
      <c r="C27" s="182"/>
      <c r="D27" s="182"/>
      <c r="E27" s="182"/>
      <c r="F27" s="182"/>
      <c r="G27" s="182"/>
      <c r="H27" s="182"/>
      <c r="I27" s="182"/>
    </row>
    <row r="28" spans="2:9">
      <c r="B28" s="130" t="s">
        <v>442</v>
      </c>
      <c r="C28" s="135">
        <v>6000</v>
      </c>
      <c r="D28" s="132" t="s">
        <v>443</v>
      </c>
      <c r="E28" s="185" t="s">
        <v>444</v>
      </c>
      <c r="F28" s="182"/>
      <c r="G28" s="182"/>
      <c r="H28" s="182"/>
      <c r="I28" s="182"/>
    </row>
    <row r="29" spans="2:9">
      <c r="B29" s="130" t="s">
        <v>445</v>
      </c>
      <c r="C29" s="135">
        <v>5400</v>
      </c>
      <c r="D29" s="132" t="s">
        <v>443</v>
      </c>
      <c r="E29" s="185" t="s">
        <v>446</v>
      </c>
      <c r="F29" s="182"/>
      <c r="G29" s="182"/>
      <c r="H29" s="182"/>
      <c r="I29" s="182"/>
    </row>
    <row r="30" spans="2:9">
      <c r="B30" s="130" t="s">
        <v>447</v>
      </c>
      <c r="C30" s="135">
        <v>4800</v>
      </c>
      <c r="D30" s="132" t="s">
        <v>443</v>
      </c>
      <c r="E30" s="185" t="s">
        <v>444</v>
      </c>
      <c r="F30" s="182"/>
      <c r="G30" s="182"/>
      <c r="H30" s="182"/>
      <c r="I30" s="182"/>
    </row>
    <row r="31" spans="2:9">
      <c r="B31" s="130" t="s">
        <v>448</v>
      </c>
      <c r="C31" s="135">
        <v>5000</v>
      </c>
      <c r="D31" s="132" t="s">
        <v>443</v>
      </c>
      <c r="E31" s="185" t="s">
        <v>444</v>
      </c>
      <c r="F31" s="182"/>
      <c r="G31" s="182"/>
      <c r="H31" s="182"/>
      <c r="I31" s="182"/>
    </row>
    <row r="32" spans="2:9">
      <c r="B32" s="130" t="s">
        <v>449</v>
      </c>
      <c r="C32" s="135">
        <v>4800</v>
      </c>
      <c r="D32" s="132" t="s">
        <v>443</v>
      </c>
      <c r="E32" s="185" t="s">
        <v>444</v>
      </c>
      <c r="F32" s="182"/>
      <c r="G32" s="182"/>
      <c r="H32" s="182"/>
      <c r="I32" s="182"/>
    </row>
    <row r="33" spans="2:9">
      <c r="B33" s="130" t="s">
        <v>450</v>
      </c>
      <c r="C33" s="135">
        <v>3400</v>
      </c>
      <c r="D33" s="132" t="s">
        <v>443</v>
      </c>
      <c r="E33" s="185" t="s">
        <v>451</v>
      </c>
      <c r="F33" s="182"/>
      <c r="G33" s="182"/>
      <c r="H33" s="182"/>
      <c r="I33" s="182"/>
    </row>
    <row r="34" spans="2:9">
      <c r="B34" s="130" t="s">
        <v>452</v>
      </c>
      <c r="C34" s="135">
        <v>3600</v>
      </c>
      <c r="D34" s="132" t="s">
        <v>443</v>
      </c>
      <c r="E34" s="185" t="s">
        <v>453</v>
      </c>
      <c r="F34" s="182"/>
      <c r="G34" s="182"/>
      <c r="H34" s="182"/>
      <c r="I34" s="182"/>
    </row>
    <row r="35" spans="2:9">
      <c r="B35" s="130" t="s">
        <v>454</v>
      </c>
      <c r="C35" s="135">
        <v>3800</v>
      </c>
      <c r="D35" s="132" t="s">
        <v>443</v>
      </c>
      <c r="E35" s="185" t="s">
        <v>453</v>
      </c>
      <c r="F35" s="182"/>
      <c r="G35" s="182"/>
      <c r="H35" s="182"/>
      <c r="I35" s="182"/>
    </row>
    <row r="36" spans="2:9">
      <c r="B36" s="130" t="s">
        <v>455</v>
      </c>
      <c r="C36" s="133">
        <v>0.15</v>
      </c>
      <c r="D36" s="132" t="s">
        <v>87</v>
      </c>
      <c r="E36" s="185" t="s">
        <v>456</v>
      </c>
      <c r="F36" s="182"/>
      <c r="G36" s="182"/>
      <c r="H36" s="182"/>
      <c r="I36" s="182"/>
    </row>
    <row r="37" spans="2:9">
      <c r="B37" s="130" t="s">
        <v>457</v>
      </c>
      <c r="C37" s="133">
        <v>0.1</v>
      </c>
      <c r="D37" s="132" t="s">
        <v>87</v>
      </c>
      <c r="E37" s="185" t="s">
        <v>458</v>
      </c>
      <c r="F37" s="182"/>
      <c r="G37" s="182"/>
      <c r="H37" s="182"/>
      <c r="I37" s="182"/>
    </row>
    <row r="38" spans="2:9">
      <c r="B38" s="178" t="s">
        <v>459</v>
      </c>
      <c r="C38" s="182"/>
      <c r="D38" s="182"/>
      <c r="E38" s="182"/>
      <c r="F38" s="182"/>
      <c r="G38" s="182"/>
      <c r="H38" s="182"/>
      <c r="I38" s="182"/>
    </row>
    <row r="39" spans="2:9">
      <c r="B39" s="130" t="s">
        <v>460</v>
      </c>
      <c r="C39" s="131">
        <v>1</v>
      </c>
      <c r="D39" s="132" t="s">
        <v>276</v>
      </c>
      <c r="E39" s="185" t="s">
        <v>461</v>
      </c>
      <c r="F39" s="182"/>
      <c r="G39" s="182"/>
      <c r="H39" s="182"/>
      <c r="I39" s="182"/>
    </row>
    <row r="40" spans="2:9">
      <c r="B40" s="130" t="s">
        <v>462</v>
      </c>
      <c r="C40" s="131">
        <v>4</v>
      </c>
      <c r="D40" s="132" t="s">
        <v>276</v>
      </c>
      <c r="E40" s="185" t="s">
        <v>463</v>
      </c>
      <c r="F40" s="182"/>
      <c r="G40" s="182"/>
      <c r="H40" s="182"/>
      <c r="I40" s="182"/>
    </row>
    <row r="41" spans="2:9">
      <c r="B41" s="130" t="s">
        <v>464</v>
      </c>
      <c r="C41" s="131">
        <v>1.5</v>
      </c>
      <c r="D41" s="132" t="s">
        <v>276</v>
      </c>
      <c r="E41" s="185" t="s">
        <v>465</v>
      </c>
      <c r="F41" s="182"/>
      <c r="G41" s="182"/>
      <c r="H41" s="182"/>
      <c r="I41" s="182"/>
    </row>
    <row r="42" spans="2:9">
      <c r="B42" s="130" t="s">
        <v>466</v>
      </c>
      <c r="C42" s="131">
        <v>1.5</v>
      </c>
      <c r="D42" s="132" t="s">
        <v>276</v>
      </c>
      <c r="E42" s="185" t="s">
        <v>467</v>
      </c>
      <c r="F42" s="182"/>
      <c r="G42" s="182"/>
      <c r="H42" s="182"/>
      <c r="I42" s="182"/>
    </row>
    <row r="43" spans="2:9">
      <c r="B43" s="137" t="s">
        <v>468</v>
      </c>
      <c r="C43" s="138">
        <f>C39+C40+C41+C42</f>
        <v>8</v>
      </c>
      <c r="D43" s="132" t="s">
        <v>276</v>
      </c>
      <c r="E43" s="186" t="s">
        <v>469</v>
      </c>
      <c r="F43" s="182"/>
      <c r="G43" s="182"/>
      <c r="H43" s="182"/>
      <c r="I43" s="182"/>
    </row>
    <row r="44" spans="2:9">
      <c r="B44" s="130" t="s">
        <v>470</v>
      </c>
      <c r="C44" s="133">
        <v>0.15</v>
      </c>
      <c r="D44" s="132" t="s">
        <v>87</v>
      </c>
      <c r="E44" s="185" t="s">
        <v>471</v>
      </c>
      <c r="F44" s="182"/>
      <c r="G44" s="182"/>
      <c r="H44" s="182"/>
      <c r="I44" s="182"/>
    </row>
    <row r="45" spans="2:9">
      <c r="B45" s="178" t="s">
        <v>472</v>
      </c>
      <c r="C45" s="182"/>
      <c r="D45" s="182"/>
      <c r="E45" s="182"/>
      <c r="F45" s="182"/>
      <c r="G45" s="182"/>
      <c r="H45" s="182"/>
      <c r="I45" s="182"/>
    </row>
    <row r="46" spans="2:9" ht="26">
      <c r="B46" s="130" t="s">
        <v>473</v>
      </c>
      <c r="C46" s="136">
        <v>2.5000000000000001E-2</v>
      </c>
      <c r="D46" s="132" t="s">
        <v>87</v>
      </c>
      <c r="E46" s="185" t="s">
        <v>474</v>
      </c>
      <c r="F46" s="182"/>
      <c r="G46" s="182"/>
      <c r="H46" s="182"/>
      <c r="I46" s="182"/>
    </row>
    <row r="47" spans="2:9" ht="31" customHeight="1">
      <c r="B47" s="130" t="s">
        <v>475</v>
      </c>
      <c r="C47" s="135">
        <v>5000</v>
      </c>
      <c r="D47" s="132" t="s">
        <v>443</v>
      </c>
      <c r="E47" s="185" t="s">
        <v>476</v>
      </c>
      <c r="F47" s="182"/>
      <c r="G47" s="182"/>
      <c r="H47" s="182"/>
      <c r="I47" s="182"/>
    </row>
    <row r="48" spans="2:9">
      <c r="B48" s="130" t="s">
        <v>477</v>
      </c>
      <c r="C48" s="135">
        <v>1500</v>
      </c>
      <c r="D48" s="132" t="s">
        <v>478</v>
      </c>
      <c r="E48" s="185" t="s">
        <v>479</v>
      </c>
      <c r="F48" s="182"/>
      <c r="G48" s="182"/>
      <c r="H48" s="182"/>
      <c r="I48" s="182"/>
    </row>
    <row r="49" spans="1:9">
      <c r="B49" s="130" t="s">
        <v>480</v>
      </c>
      <c r="C49" s="135">
        <v>3000</v>
      </c>
      <c r="D49" s="132" t="s">
        <v>478</v>
      </c>
      <c r="E49" s="185" t="s">
        <v>481</v>
      </c>
      <c r="F49" s="182"/>
      <c r="G49" s="182"/>
      <c r="H49" s="182"/>
      <c r="I49" s="182"/>
    </row>
    <row r="50" spans="1:9">
      <c r="B50" s="130" t="s">
        <v>482</v>
      </c>
      <c r="C50" s="135">
        <v>2000</v>
      </c>
      <c r="D50" s="132" t="s">
        <v>443</v>
      </c>
      <c r="E50" s="185" t="s">
        <v>483</v>
      </c>
      <c r="F50" s="182"/>
      <c r="G50" s="182"/>
      <c r="H50" s="182"/>
      <c r="I50" s="182"/>
    </row>
    <row r="51" spans="1:9">
      <c r="B51" s="130" t="s">
        <v>484</v>
      </c>
      <c r="C51" s="135">
        <v>1500</v>
      </c>
      <c r="D51" s="132" t="s">
        <v>478</v>
      </c>
      <c r="E51" s="185" t="s">
        <v>485</v>
      </c>
      <c r="F51" s="182"/>
      <c r="G51" s="182"/>
      <c r="H51" s="182"/>
      <c r="I51" s="182"/>
    </row>
    <row r="52" spans="1:9">
      <c r="B52" s="130" t="s">
        <v>486</v>
      </c>
      <c r="C52" s="135">
        <v>2000</v>
      </c>
      <c r="D52" s="132" t="s">
        <v>443</v>
      </c>
      <c r="E52" s="185" t="s">
        <v>487</v>
      </c>
      <c r="F52" s="182"/>
      <c r="G52" s="182"/>
      <c r="H52" s="182"/>
      <c r="I52" s="182"/>
    </row>
    <row r="54" spans="1:9" ht="14">
      <c r="A54" s="179" t="s">
        <v>566</v>
      </c>
      <c r="B54" s="182"/>
      <c r="C54" s="182"/>
      <c r="D54" s="182"/>
      <c r="E54" s="182"/>
      <c r="F54" s="182"/>
      <c r="G54" s="182"/>
      <c r="H54" s="182"/>
      <c r="I54" s="182"/>
    </row>
    <row r="55" spans="1:9" ht="36">
      <c r="B55" s="139" t="s">
        <v>488</v>
      </c>
      <c r="C55" s="139" t="s">
        <v>489</v>
      </c>
      <c r="D55" s="139" t="s">
        <v>490</v>
      </c>
      <c r="E55" s="139" t="s">
        <v>491</v>
      </c>
      <c r="F55" s="139" t="s">
        <v>492</v>
      </c>
      <c r="G55" s="139" t="s">
        <v>493</v>
      </c>
      <c r="H55" s="139" t="s">
        <v>494</v>
      </c>
      <c r="I55" s="139" t="s">
        <v>495</v>
      </c>
    </row>
    <row r="56" spans="1:9">
      <c r="B56" s="140" t="s">
        <v>496</v>
      </c>
      <c r="C56" s="141">
        <f>C28</f>
        <v>6000</v>
      </c>
      <c r="D56" s="141">
        <f>C56*(1+C36)</f>
        <v>6899.9999999999991</v>
      </c>
      <c r="E56" s="142">
        <v>1</v>
      </c>
      <c r="F56" s="142">
        <v>1</v>
      </c>
      <c r="G56" s="142">
        <v>1</v>
      </c>
      <c r="H56" s="142">
        <v>1</v>
      </c>
      <c r="I56" s="142">
        <v>0</v>
      </c>
    </row>
    <row r="57" spans="1:9">
      <c r="B57" s="140" t="s">
        <v>497</v>
      </c>
      <c r="C57" s="141">
        <f>C29*2</f>
        <v>10800</v>
      </c>
      <c r="D57" s="141">
        <f>C57*(1+C36)</f>
        <v>12419.999999999998</v>
      </c>
      <c r="E57" s="142">
        <v>0</v>
      </c>
      <c r="F57" s="142">
        <v>2</v>
      </c>
      <c r="G57" s="142">
        <v>2</v>
      </c>
      <c r="H57" s="142">
        <v>1</v>
      </c>
      <c r="I57" s="142">
        <v>1</v>
      </c>
    </row>
    <row r="58" spans="1:9">
      <c r="B58" s="140" t="s">
        <v>498</v>
      </c>
      <c r="C58" s="141">
        <f t="shared" ref="C58:C63" si="0">C30</f>
        <v>4800</v>
      </c>
      <c r="D58" s="141">
        <f>C58*(1+C36)</f>
        <v>5520</v>
      </c>
      <c r="E58" s="142">
        <v>0</v>
      </c>
      <c r="F58" s="142">
        <v>1</v>
      </c>
      <c r="G58" s="142">
        <v>0</v>
      </c>
      <c r="H58" s="142">
        <v>0</v>
      </c>
      <c r="I58" s="142">
        <v>0</v>
      </c>
    </row>
    <row r="59" spans="1:9">
      <c r="B59" s="140" t="s">
        <v>499</v>
      </c>
      <c r="C59" s="141">
        <f t="shared" si="0"/>
        <v>5000</v>
      </c>
      <c r="D59" s="141">
        <f>C59*(1+C36)</f>
        <v>5750</v>
      </c>
      <c r="E59" s="142">
        <v>0</v>
      </c>
      <c r="F59" s="142">
        <v>1</v>
      </c>
      <c r="G59" s="142">
        <v>0</v>
      </c>
      <c r="H59" s="142">
        <v>0</v>
      </c>
      <c r="I59" s="142">
        <v>0</v>
      </c>
    </row>
    <row r="60" spans="1:9">
      <c r="B60" s="140" t="s">
        <v>500</v>
      </c>
      <c r="C60" s="141">
        <f t="shared" si="0"/>
        <v>4800</v>
      </c>
      <c r="D60" s="141">
        <f>C60*(1+C36)</f>
        <v>5520</v>
      </c>
      <c r="E60" s="142">
        <v>0</v>
      </c>
      <c r="F60" s="142">
        <v>1</v>
      </c>
      <c r="G60" s="142">
        <v>0</v>
      </c>
      <c r="H60" s="142">
        <v>0</v>
      </c>
      <c r="I60" s="142">
        <v>0</v>
      </c>
    </row>
    <row r="61" spans="1:9">
      <c r="B61" s="140" t="s">
        <v>501</v>
      </c>
      <c r="C61" s="141">
        <f t="shared" si="0"/>
        <v>3400</v>
      </c>
      <c r="D61" s="141">
        <f>C61*(1+C36)</f>
        <v>3909.9999999999995</v>
      </c>
      <c r="E61" s="142">
        <v>0</v>
      </c>
      <c r="F61" s="142">
        <v>1</v>
      </c>
      <c r="G61" s="142">
        <v>1</v>
      </c>
      <c r="H61" s="142">
        <v>1</v>
      </c>
      <c r="I61" s="142">
        <v>0.5</v>
      </c>
    </row>
    <row r="62" spans="1:9">
      <c r="B62" s="140" t="s">
        <v>502</v>
      </c>
      <c r="C62" s="141">
        <f t="shared" si="0"/>
        <v>3600</v>
      </c>
      <c r="D62" s="141">
        <f>C62*(1+C36)</f>
        <v>4140</v>
      </c>
      <c r="E62" s="142">
        <v>1</v>
      </c>
      <c r="F62" s="142">
        <v>1</v>
      </c>
      <c r="G62" s="142">
        <v>0</v>
      </c>
      <c r="H62" s="142">
        <v>0</v>
      </c>
      <c r="I62" s="142">
        <v>0.5</v>
      </c>
    </row>
    <row r="63" spans="1:9">
      <c r="B63" s="140" t="s">
        <v>503</v>
      </c>
      <c r="C63" s="141">
        <f t="shared" si="0"/>
        <v>3800</v>
      </c>
      <c r="D63" s="141">
        <f>C63*(1+C36)</f>
        <v>4370</v>
      </c>
      <c r="E63" s="142">
        <v>1</v>
      </c>
      <c r="F63" s="142">
        <v>1</v>
      </c>
      <c r="G63" s="142">
        <v>1</v>
      </c>
      <c r="H63" s="142">
        <v>1</v>
      </c>
      <c r="I63" s="142">
        <v>1</v>
      </c>
    </row>
    <row r="64" spans="1:9">
      <c r="B64" s="143" t="s">
        <v>504</v>
      </c>
      <c r="C64" s="144">
        <f t="shared" ref="C64:I64" si="1">SUM(C56:C63)</f>
        <v>42200</v>
      </c>
      <c r="D64" s="144">
        <f t="shared" si="1"/>
        <v>48530</v>
      </c>
      <c r="E64" s="145">
        <f t="shared" si="1"/>
        <v>3</v>
      </c>
      <c r="F64" s="145">
        <f t="shared" si="1"/>
        <v>9</v>
      </c>
      <c r="G64" s="145">
        <f t="shared" si="1"/>
        <v>5</v>
      </c>
      <c r="H64" s="145">
        <f t="shared" si="1"/>
        <v>4</v>
      </c>
      <c r="I64" s="145">
        <f t="shared" si="1"/>
        <v>3</v>
      </c>
    </row>
    <row r="66" spans="1:9">
      <c r="B66" s="176" t="s">
        <v>505</v>
      </c>
      <c r="C66" s="182"/>
      <c r="D66" s="182"/>
      <c r="E66" s="182"/>
      <c r="F66" s="182"/>
      <c r="G66" s="182"/>
      <c r="H66" s="182"/>
      <c r="I66" s="182"/>
    </row>
    <row r="67" spans="1:9" ht="24">
      <c r="B67" s="139" t="s">
        <v>506</v>
      </c>
      <c r="C67" s="139" t="s">
        <v>507</v>
      </c>
      <c r="D67" s="139" t="s">
        <v>508</v>
      </c>
      <c r="E67" s="139" t="s">
        <v>509</v>
      </c>
      <c r="F67" s="139" t="s">
        <v>510</v>
      </c>
    </row>
    <row r="68" spans="1:9" ht="36">
      <c r="B68" s="140" t="s">
        <v>460</v>
      </c>
      <c r="C68" s="146">
        <f>C39</f>
        <v>1</v>
      </c>
      <c r="D68" s="147" t="s">
        <v>511</v>
      </c>
      <c r="E68" s="148">
        <f>(C28*1+C34*1+C35*1)/12*(1+C36)*C39</f>
        <v>1284.1666666666667</v>
      </c>
      <c r="F68" s="149">
        <f>IF(E73=0,0,E68/E73)</f>
        <v>4.513304142809027E-2</v>
      </c>
    </row>
    <row r="69" spans="1:9" ht="24">
      <c r="B69" s="140" t="s">
        <v>462</v>
      </c>
      <c r="C69" s="146">
        <f>C40</f>
        <v>4</v>
      </c>
      <c r="D69" s="147" t="s">
        <v>512</v>
      </c>
      <c r="E69" s="148">
        <f>(C28*1+C29*2+C30*1+C31*1+C32*1+C33*1+C34*1+C35*1)/12*(1+C36)*C40</f>
        <v>16176.666666666664</v>
      </c>
      <c r="F69" s="149">
        <f>IF(E73=0,0,E69/E73)</f>
        <v>0.56854159649713709</v>
      </c>
    </row>
    <row r="70" spans="1:9" ht="36">
      <c r="B70" s="140" t="s">
        <v>464</v>
      </c>
      <c r="C70" s="146">
        <f>C41</f>
        <v>1.5</v>
      </c>
      <c r="D70" s="147" t="s">
        <v>513</v>
      </c>
      <c r="E70" s="148">
        <f>(C28*1+C29*2+C33*1+C35*1)/12*(1+C36)*C41</f>
        <v>3450</v>
      </c>
      <c r="F70" s="149">
        <f>IF(E73=0,0,E70/E73)</f>
        <v>0.12125294712024251</v>
      </c>
    </row>
    <row r="71" spans="1:9" ht="36">
      <c r="B71" s="140" t="s">
        <v>466</v>
      </c>
      <c r="C71" s="146">
        <f>C42</f>
        <v>1.5</v>
      </c>
      <c r="D71" s="147" t="s">
        <v>514</v>
      </c>
      <c r="E71" s="148">
        <f>(C28*1+C29*1+C33*1+C35*1)/12*(1+C36)*C42</f>
        <v>2673.7499999999995</v>
      </c>
      <c r="F71" s="149">
        <f>IF(E73=0,0,E71/E73)</f>
        <v>9.3971034018187932E-2</v>
      </c>
    </row>
    <row r="72" spans="1:9" ht="36">
      <c r="B72" s="140" t="s">
        <v>515</v>
      </c>
      <c r="C72" s="146">
        <f>MAX(0,12-C39-C40-C41-C42)</f>
        <v>4</v>
      </c>
      <c r="D72" s="147" t="s">
        <v>516</v>
      </c>
      <c r="E72" s="148">
        <f>(C29*1+C33*0.5+C35*1+C34*0.5)/12*(1+C36)*MAX(0,12-C39-C40-C41-C42)</f>
        <v>4868.333333333333</v>
      </c>
      <c r="F72" s="149">
        <f>IF(E73=0,0,E72/E73)</f>
        <v>0.1711013809363422</v>
      </c>
    </row>
    <row r="73" spans="1:9">
      <c r="B73" s="143" t="s">
        <v>517</v>
      </c>
      <c r="E73" s="150">
        <f>SUM(E68:E72)</f>
        <v>28452.916666666664</v>
      </c>
    </row>
    <row r="75" spans="1:9" ht="46" customHeight="1">
      <c r="B75" s="187" t="s">
        <v>551</v>
      </c>
      <c r="C75" s="182"/>
      <c r="D75" s="182"/>
      <c r="E75" s="182"/>
      <c r="F75" s="182"/>
      <c r="G75" s="182"/>
      <c r="H75" s="182"/>
      <c r="I75" s="182"/>
    </row>
    <row r="77" spans="1:9" ht="14">
      <c r="A77" s="179" t="s">
        <v>565</v>
      </c>
      <c r="B77" s="182"/>
      <c r="C77" s="182"/>
      <c r="D77" s="182"/>
      <c r="E77" s="182"/>
      <c r="F77" s="182"/>
      <c r="G77" s="182"/>
      <c r="H77" s="182"/>
      <c r="I77" s="182"/>
    </row>
    <row r="78" spans="1:9">
      <c r="B78" s="188" t="s">
        <v>552</v>
      </c>
      <c r="C78" s="182"/>
      <c r="D78" s="182"/>
      <c r="E78" s="182"/>
      <c r="F78" s="182"/>
      <c r="G78" s="182"/>
      <c r="H78" s="182"/>
      <c r="I78" s="182"/>
    </row>
    <row r="79" spans="1:9" ht="14">
      <c r="B79" s="189" t="s">
        <v>518</v>
      </c>
      <c r="C79" s="190" t="s">
        <v>306</v>
      </c>
      <c r="D79" s="151" t="s">
        <v>289</v>
      </c>
      <c r="E79" s="151" t="s">
        <v>290</v>
      </c>
      <c r="F79" s="151" t="s">
        <v>291</v>
      </c>
      <c r="G79" s="151" t="s">
        <v>292</v>
      </c>
      <c r="H79" s="151" t="s">
        <v>293</v>
      </c>
    </row>
    <row r="80" spans="1:9">
      <c r="B80" s="181" t="s">
        <v>519</v>
      </c>
      <c r="C80" s="182"/>
      <c r="D80" s="182"/>
      <c r="E80" s="182"/>
      <c r="F80" s="182"/>
      <c r="G80" s="182"/>
      <c r="H80" s="182"/>
      <c r="I80" s="182"/>
    </row>
    <row r="81" spans="2:9">
      <c r="B81" s="152" t="s">
        <v>520</v>
      </c>
      <c r="C81" s="153" t="s">
        <v>296</v>
      </c>
      <c r="D81" s="154">
        <f>'Traction model'!BL37</f>
        <v>12511.176267355342</v>
      </c>
      <c r="E81" s="154">
        <f>'Traction model'!BM37</f>
        <v>13169.316766528445</v>
      </c>
      <c r="F81" s="154">
        <f>'Traction model'!BN37</f>
        <v>13867.124990464808</v>
      </c>
      <c r="G81" s="154">
        <f>'Traction model'!BO37</f>
        <v>14607.987170612052</v>
      </c>
      <c r="H81" s="154">
        <f>'Traction model'!BP37</f>
        <v>15395.749940371135</v>
      </c>
    </row>
    <row r="82" spans="2:9">
      <c r="B82" s="155" t="s">
        <v>521</v>
      </c>
      <c r="C82" s="153" t="s">
        <v>296</v>
      </c>
      <c r="D82" s="156">
        <f>'Traction model'!BL67</f>
        <v>12481.23718221717</v>
      </c>
      <c r="E82" s="156">
        <f>'Traction model'!BM67</f>
        <v>13050.726263071934</v>
      </c>
      <c r="F82" s="156">
        <f>'Traction model'!BN67</f>
        <v>13674.840118809914</v>
      </c>
      <c r="G82" s="156">
        <f>'Traction model'!BO67</f>
        <v>14408.415276722213</v>
      </c>
      <c r="H82" s="156">
        <f>'Traction model'!BP67</f>
        <v>15188.750227069739</v>
      </c>
    </row>
    <row r="83" spans="2:9">
      <c r="B83" s="157" t="s">
        <v>522</v>
      </c>
      <c r="C83" s="153" t="s">
        <v>296</v>
      </c>
      <c r="D83" s="158">
        <f>D82-D81</f>
        <v>-29.939085138172231</v>
      </c>
      <c r="E83" s="158">
        <f>E82-E81</f>
        <v>-118.59050345651121</v>
      </c>
      <c r="F83" s="158">
        <f>F82-F81</f>
        <v>-192.28487165489423</v>
      </c>
      <c r="G83" s="158">
        <f>G82-G81</f>
        <v>-199.57189388983898</v>
      </c>
      <c r="H83" s="158">
        <f>H82-H81</f>
        <v>-206.9997133013967</v>
      </c>
    </row>
    <row r="84" spans="2:9">
      <c r="B84" s="157" t="s">
        <v>523</v>
      </c>
      <c r="C84" s="153" t="s">
        <v>87</v>
      </c>
      <c r="D84" s="159">
        <f>IF(D81=0,0,D83/D81)</f>
        <v>-2.392987237841935E-3</v>
      </c>
      <c r="E84" s="159">
        <f>IF(E81=0,0,E83/E81)</f>
        <v>-9.005061200891196E-3</v>
      </c>
      <c r="F84" s="159">
        <f>IF(F81=0,0,F83/F81)</f>
        <v>-1.3866239165444277E-2</v>
      </c>
      <c r="G84" s="159">
        <f>IF(G81=0,0,G83/G81)</f>
        <v>-1.3661833869304885E-2</v>
      </c>
      <c r="H84" s="159">
        <f>IF(H81=0,0,H83/H81)</f>
        <v>-1.3445250416713815E-2</v>
      </c>
    </row>
    <row r="86" spans="2:9">
      <c r="B86" s="176" t="s">
        <v>524</v>
      </c>
      <c r="C86" s="182"/>
      <c r="D86" s="182"/>
      <c r="E86" s="182"/>
      <c r="F86" s="182"/>
      <c r="G86" s="182"/>
      <c r="H86" s="182"/>
      <c r="I86" s="182"/>
    </row>
    <row r="87" spans="2:9">
      <c r="B87" s="160" t="s">
        <v>525</v>
      </c>
      <c r="C87" s="153" t="s">
        <v>296</v>
      </c>
      <c r="D87" s="161">
        <f>-'Traction model'!BL62*C10*C46</f>
        <v>-28.201248933516428</v>
      </c>
      <c r="E87" s="161">
        <f>-'Traction model'!BM62*C10*C46</f>
        <v>-37.449639903620898</v>
      </c>
      <c r="F87" s="161">
        <f>-'Traction model'!BN62*C10*C46</f>
        <v>-49.313911620109167</v>
      </c>
      <c r="G87" s="161">
        <f>-'Traction model'!BO62*C10*C46</f>
        <v>-58.235582771690055</v>
      </c>
      <c r="H87" s="161">
        <f>-'Traction model'!BP62*C10*C46</f>
        <v>-68.9093538602813</v>
      </c>
    </row>
    <row r="88" spans="2:9">
      <c r="B88" s="191" t="s">
        <v>526</v>
      </c>
      <c r="C88" s="153"/>
      <c r="D88" s="192"/>
      <c r="E88" s="192"/>
      <c r="F88" s="192"/>
      <c r="G88" s="192"/>
      <c r="H88" s="192"/>
    </row>
    <row r="90" spans="2:9">
      <c r="B90" s="176" t="s">
        <v>527</v>
      </c>
      <c r="C90" s="182"/>
      <c r="D90" s="182"/>
      <c r="E90" s="182"/>
      <c r="F90" s="182"/>
      <c r="G90" s="182"/>
      <c r="H90" s="182"/>
      <c r="I90" s="182"/>
    </row>
    <row r="91" spans="2:9" ht="33" customHeight="1">
      <c r="B91" s="162" t="s">
        <v>528</v>
      </c>
      <c r="C91" s="153" t="s">
        <v>296</v>
      </c>
      <c r="D91" s="163">
        <f>-((C28*1+C34*1+C35*1)/12*(1+C36)*C39+(C28*1+C29*2+C30*1+C31*1+C32*1+C33*1+C34*1+C35*1)/12*(1+C36)*C40+(C28*1+C29*2+C33*1+C35*1)/12*(1+C36)*C41+(C28*1+C29*1+C33*1+C35*1)/12*(1+C36)*C42+(C29*1+C33*0.5+C35*1+C34*0.5)/12*(1+C36)*MAX(0,12-C39-C40-C41-C42))</f>
        <v>-28452.916666666664</v>
      </c>
      <c r="E91" s="163">
        <f>-((C29*1+C33*0.5+C35*1+C34*0.5)/12*(1+C36)*12*1+(C28*1+C29*1+C35*1)/12*(1+C36)*4)*(1+C37)</f>
        <v>-22474.833333333336</v>
      </c>
      <c r="F91" s="163">
        <f>-(C29*1+C33*0.5+C35*1+C34*0.5)/12*(1+C36)*12*(1+C37)^2</f>
        <v>-17672.050000000003</v>
      </c>
      <c r="G91" s="163">
        <f>-(C29*1+C33*0.5+C35*1+C34*0.5)/12*(1+C36)*12*(1+C37)^3</f>
        <v>-19439.255000000005</v>
      </c>
      <c r="H91" s="163">
        <f>-(C29*1+C33*0.5+C35*1+C34*0.5)/12*(1+C36)*12*(1+C37)^4</f>
        <v>-21383.180500000006</v>
      </c>
    </row>
    <row r="92" spans="2:9" ht="26">
      <c r="B92" s="160" t="s">
        <v>555</v>
      </c>
      <c r="C92" s="153" t="s">
        <v>296</v>
      </c>
      <c r="D92" s="161">
        <f>-((C28*1+C34*1+C35*1)/12*(1+C36)*C39+(C28*1+C29*2+C30*1+C31*1+C32*1+C33*1+C34*1+C35*1)/12*(1+C36)*C40+(C28*1+C29*2+C33*1+C35*1)/12*(1+C36)*C41+(C28*1+C29*1+C33*1+C35*1)/12*(1+C36)*C42)</f>
        <v>-23584.583333333332</v>
      </c>
      <c r="E92" s="161">
        <f>-(C28*1+C29*1+C35*1)/12*(1+C36)*4*(1+C37)</f>
        <v>-6409.3333333333339</v>
      </c>
      <c r="F92" s="161">
        <f>0</f>
        <v>0</v>
      </c>
      <c r="G92" s="161">
        <f>0</f>
        <v>0</v>
      </c>
      <c r="H92" s="161">
        <f>0</f>
        <v>0</v>
      </c>
    </row>
    <row r="93" spans="2:9">
      <c r="B93" s="160" t="s">
        <v>556</v>
      </c>
      <c r="C93" s="153" t="s">
        <v>296</v>
      </c>
      <c r="D93" s="161">
        <f>-(C29*1+C33*0.5+C35*1+C34*0.5)/12*(1+C36)*MAX(0,12-C39-C40-C41-C42)</f>
        <v>-4868.333333333333</v>
      </c>
      <c r="E93" s="161">
        <f>-(C29*1+C33*0.5+C35*1+C34*0.5)/12*(1+C36)*12*(1+C37)</f>
        <v>-16065.500000000002</v>
      </c>
      <c r="F93" s="161">
        <f>-(C29*1+C33*0.5+C35*1+C34*0.5)/12*(1+C36)*12*(1+C37)^2</f>
        <v>-17672.050000000003</v>
      </c>
      <c r="G93" s="161">
        <f>-(C29*1+C33*0.5+C35*1+C34*0.5)/12*(1+C36)*12*(1+C37)^3</f>
        <v>-19439.255000000005</v>
      </c>
      <c r="H93" s="161">
        <f>-(C29*1+C33*0.5+C35*1+C34*0.5)/12*(1+C36)*12*(1+C37)^4</f>
        <v>-21383.180500000006</v>
      </c>
    </row>
    <row r="95" spans="2:9">
      <c r="B95" s="176" t="s">
        <v>529</v>
      </c>
      <c r="C95" s="182"/>
      <c r="D95" s="182"/>
      <c r="E95" s="182"/>
      <c r="F95" s="182"/>
      <c r="G95" s="182"/>
      <c r="H95" s="182"/>
      <c r="I95" s="182"/>
    </row>
    <row r="96" spans="2:9" ht="26">
      <c r="B96" s="160" t="s">
        <v>554</v>
      </c>
      <c r="C96" s="153" t="s">
        <v>296</v>
      </c>
      <c r="D96" s="161">
        <f>-C48/1000</f>
        <v>-1.5</v>
      </c>
      <c r="E96" s="161">
        <f>-C47/1000</f>
        <v>-5</v>
      </c>
      <c r="F96" s="161">
        <f>-C47*1.1/1000</f>
        <v>-5.5</v>
      </c>
      <c r="G96" s="161">
        <f>-C47*1.2/1000</f>
        <v>-6</v>
      </c>
      <c r="H96" s="161">
        <f>-C47*1.3/1000</f>
        <v>-6.5</v>
      </c>
    </row>
    <row r="98" spans="2:9">
      <c r="B98" s="176" t="s">
        <v>530</v>
      </c>
      <c r="C98" s="182"/>
      <c r="D98" s="182"/>
      <c r="E98" s="182"/>
      <c r="F98" s="182"/>
      <c r="G98" s="182"/>
      <c r="H98" s="182"/>
      <c r="I98" s="182"/>
    </row>
    <row r="99" spans="2:9">
      <c r="B99" s="160" t="s">
        <v>553</v>
      </c>
      <c r="C99" s="153" t="s">
        <v>296</v>
      </c>
      <c r="D99" s="161">
        <f>-C49/1000</f>
        <v>-3</v>
      </c>
      <c r="E99" s="161">
        <f>-C50/1000</f>
        <v>-2</v>
      </c>
      <c r="F99" s="161">
        <f>-C50/1000</f>
        <v>-2</v>
      </c>
      <c r="G99" s="161">
        <f>-C50/1000</f>
        <v>-2</v>
      </c>
      <c r="H99" s="161">
        <f>-C50/1000</f>
        <v>-2</v>
      </c>
    </row>
    <row r="101" spans="2:9">
      <c r="B101" s="176" t="s">
        <v>531</v>
      </c>
      <c r="C101" s="182"/>
      <c r="D101" s="182"/>
      <c r="E101" s="182"/>
      <c r="F101" s="182"/>
      <c r="G101" s="182"/>
      <c r="H101" s="182"/>
      <c r="I101" s="182"/>
    </row>
    <row r="102" spans="2:9">
      <c r="B102" s="160" t="s">
        <v>532</v>
      </c>
      <c r="C102" s="153" t="s">
        <v>296</v>
      </c>
      <c r="D102" s="161">
        <f>-C51/1000</f>
        <v>-1.5</v>
      </c>
      <c r="E102" s="161">
        <f>-C52/1000</f>
        <v>-2</v>
      </c>
      <c r="F102" s="161">
        <f>-C52/1000</f>
        <v>-2</v>
      </c>
      <c r="G102" s="161">
        <f>-C52/1000</f>
        <v>-2</v>
      </c>
      <c r="H102" s="161">
        <f>-C52/1000</f>
        <v>-2</v>
      </c>
    </row>
    <row r="104" spans="2:9">
      <c r="B104" s="164" t="s">
        <v>533</v>
      </c>
      <c r="C104" s="153" t="s">
        <v>296</v>
      </c>
      <c r="D104" s="165">
        <f>SUM(D87,D91,D96,D99,D102)</f>
        <v>-28487.117915600182</v>
      </c>
      <c r="E104" s="165">
        <f>SUM(E87,E91,E96,E99,E102)</f>
        <v>-22521.282973236957</v>
      </c>
      <c r="F104" s="165">
        <f>SUM(F87,F91,F96,F99,F102)</f>
        <v>-17730.863911620112</v>
      </c>
      <c r="G104" s="165">
        <f>SUM(G87,G91,G96,G99,G102)</f>
        <v>-19507.490582771694</v>
      </c>
      <c r="H104" s="165">
        <f>SUM(H87,H91,H96,H99,H102)</f>
        <v>-21462.589853860289</v>
      </c>
    </row>
    <row r="106" spans="2:9">
      <c r="B106" s="166" t="s">
        <v>534</v>
      </c>
      <c r="C106" s="153" t="s">
        <v>296</v>
      </c>
      <c r="D106" s="167">
        <f>D82+D104</f>
        <v>-16005.880733383012</v>
      </c>
      <c r="E106" s="167">
        <f>E82+E104</f>
        <v>-9470.5567101650231</v>
      </c>
      <c r="F106" s="167">
        <f>F82+F104</f>
        <v>-4056.0237928101978</v>
      </c>
      <c r="G106" s="167">
        <f>G82+G104</f>
        <v>-5099.0753060494808</v>
      </c>
      <c r="H106" s="167">
        <f>H82+H104</f>
        <v>-6273.83962679055</v>
      </c>
    </row>
    <row r="107" spans="2:9">
      <c r="B107" s="168" t="s">
        <v>535</v>
      </c>
      <c r="C107" s="153" t="s">
        <v>87</v>
      </c>
      <c r="D107" s="169">
        <f>IF(D82=0,0,D106/D82)</f>
        <v>-1.2823953667179429</v>
      </c>
      <c r="E107" s="169">
        <f>IF(E82=0,0,E106/E82)</f>
        <v>-0.72567277247724638</v>
      </c>
      <c r="F107" s="169">
        <f>IF(F82=0,0,F106/F82)</f>
        <v>-0.29660484199965792</v>
      </c>
      <c r="G107" s="169">
        <f>IF(G82=0,0,G106/G82)</f>
        <v>-0.35389563724522766</v>
      </c>
      <c r="H107" s="169">
        <f>IF(H82=0,0,H106/H82)</f>
        <v>-0.41305831836046453</v>
      </c>
    </row>
    <row r="109" spans="2:9">
      <c r="B109" s="157" t="s">
        <v>536</v>
      </c>
      <c r="C109" s="153" t="s">
        <v>87</v>
      </c>
      <c r="D109" s="159" t="s">
        <v>537</v>
      </c>
      <c r="E109" s="159">
        <f>IF(D82=0,0,E82/D82-1)</f>
        <v>4.5627614677986594E-2</v>
      </c>
      <c r="F109" s="159">
        <f>IF(E82=0,0,F82/E82-1)</f>
        <v>4.7822155116681975E-2</v>
      </c>
      <c r="G109" s="159">
        <f>IF(F82=0,0,G82/F82-1)</f>
        <v>5.3644148782643342E-2</v>
      </c>
      <c r="H109" s="159">
        <f>IF(G82=0,0,H82/G82-1)</f>
        <v>5.415827732340639E-2</v>
      </c>
    </row>
    <row r="110" spans="2:9">
      <c r="B110" s="170" t="s">
        <v>538</v>
      </c>
      <c r="C110" s="153" t="s">
        <v>296</v>
      </c>
      <c r="D110" s="171">
        <f>SUM(D83:H83)</f>
        <v>-747.38606744081335</v>
      </c>
      <c r="E110" s="193" t="s">
        <v>539</v>
      </c>
      <c r="F110" s="182"/>
      <c r="G110" s="182"/>
      <c r="H110" s="182"/>
    </row>
    <row r="113" spans="1:9" ht="14">
      <c r="A113" s="179" t="s">
        <v>564</v>
      </c>
      <c r="B113" s="182"/>
      <c r="C113" s="182"/>
      <c r="D113" s="182"/>
      <c r="E113" s="182"/>
      <c r="F113" s="182"/>
      <c r="G113" s="182"/>
      <c r="H113" s="182"/>
      <c r="I113" s="182"/>
    </row>
    <row r="114" spans="1:9" ht="34" customHeight="1">
      <c r="B114" s="187" t="s">
        <v>540</v>
      </c>
      <c r="C114" s="182"/>
      <c r="D114" s="182"/>
      <c r="E114" s="182"/>
      <c r="F114" s="182"/>
      <c r="G114" s="182"/>
      <c r="H114" s="182"/>
      <c r="I114" s="182"/>
    </row>
    <row r="115" spans="1:9" ht="14">
      <c r="B115" s="189" t="s">
        <v>541</v>
      </c>
      <c r="C115" s="190" t="s">
        <v>306</v>
      </c>
      <c r="D115" s="151" t="s">
        <v>289</v>
      </c>
      <c r="E115" s="151" t="s">
        <v>290</v>
      </c>
      <c r="F115" s="151" t="s">
        <v>291</v>
      </c>
      <c r="G115" s="151" t="s">
        <v>292</v>
      </c>
      <c r="H115" s="151" t="s">
        <v>293</v>
      </c>
    </row>
    <row r="116" spans="1:9" s="196" customFormat="1">
      <c r="B116" s="197" t="s">
        <v>542</v>
      </c>
      <c r="C116" s="195"/>
      <c r="D116" s="195"/>
      <c r="E116" s="195"/>
      <c r="F116" s="195"/>
      <c r="G116" s="195"/>
      <c r="H116" s="195"/>
      <c r="I116" s="195"/>
    </row>
    <row r="117" spans="1:9">
      <c r="B117" s="160" t="s">
        <v>557</v>
      </c>
      <c r="C117" s="153" t="s">
        <v>296</v>
      </c>
      <c r="D117" s="161">
        <f>D82*0.999</f>
        <v>12468.755945034953</v>
      </c>
      <c r="E117" s="161">
        <f>E82*0.999</f>
        <v>13037.675536808862</v>
      </c>
      <c r="F117" s="161">
        <f>F82*0.999</f>
        <v>13661.165278691104</v>
      </c>
      <c r="G117" s="161">
        <f>G82*0.999</f>
        <v>14394.00686144549</v>
      </c>
      <c r="H117" s="161">
        <f>H82*0.999</f>
        <v>15173.561476842669</v>
      </c>
    </row>
    <row r="118" spans="1:9">
      <c r="B118" s="194" t="s">
        <v>558</v>
      </c>
      <c r="C118" s="182"/>
      <c r="D118" s="182"/>
      <c r="E118" s="182"/>
      <c r="F118" s="182"/>
      <c r="G118" s="182"/>
      <c r="H118" s="182"/>
      <c r="I118" s="182"/>
    </row>
    <row r="119" spans="1:9">
      <c r="B119" s="166" t="s">
        <v>543</v>
      </c>
      <c r="C119" s="153" t="s">
        <v>296</v>
      </c>
      <c r="D119" s="172">
        <f>D117</f>
        <v>12468.755945034953</v>
      </c>
      <c r="E119" s="172">
        <f>E117</f>
        <v>13037.675536808862</v>
      </c>
      <c r="F119" s="172">
        <f>F117</f>
        <v>13661.165278691104</v>
      </c>
      <c r="G119" s="172">
        <f>G117</f>
        <v>14394.00686144549</v>
      </c>
      <c r="H119" s="172">
        <f>H117</f>
        <v>15173.561476842669</v>
      </c>
    </row>
    <row r="121" spans="1:9">
      <c r="B121" s="197" t="s">
        <v>544</v>
      </c>
      <c r="C121" s="195"/>
      <c r="D121" s="195"/>
      <c r="E121" s="195"/>
      <c r="F121" s="195"/>
      <c r="G121" s="195"/>
      <c r="H121" s="195"/>
      <c r="I121" s="195"/>
    </row>
    <row r="122" spans="1:9">
      <c r="B122" s="160" t="s">
        <v>559</v>
      </c>
      <c r="C122" s="153" t="s">
        <v>296</v>
      </c>
      <c r="D122" s="161">
        <f>D91</f>
        <v>-28452.916666666664</v>
      </c>
      <c r="E122" s="161">
        <f>E91</f>
        <v>-22474.833333333336</v>
      </c>
      <c r="F122" s="161">
        <f>F91</f>
        <v>-17672.050000000003</v>
      </c>
      <c r="G122" s="161">
        <f>G91</f>
        <v>-19439.255000000005</v>
      </c>
      <c r="H122" s="161">
        <f>H91</f>
        <v>-21383.180500000006</v>
      </c>
    </row>
    <row r="123" spans="1:9" ht="34" customHeight="1">
      <c r="B123" s="160" t="s">
        <v>560</v>
      </c>
      <c r="C123" s="153" t="s">
        <v>296</v>
      </c>
      <c r="D123" s="161">
        <f>D87</f>
        <v>-28.201248933516428</v>
      </c>
      <c r="E123" s="161">
        <f>E87</f>
        <v>-37.449639903620898</v>
      </c>
      <c r="F123" s="161">
        <f>F87</f>
        <v>-49.313911620109167</v>
      </c>
      <c r="G123" s="161">
        <f>G87</f>
        <v>-58.235582771690055</v>
      </c>
      <c r="H123" s="161">
        <f>H87</f>
        <v>-68.9093538602813</v>
      </c>
    </row>
    <row r="124" spans="1:9">
      <c r="B124" s="160" t="s">
        <v>561</v>
      </c>
      <c r="C124" s="153" t="s">
        <v>296</v>
      </c>
      <c r="D124" s="161">
        <f>D96</f>
        <v>-1.5</v>
      </c>
      <c r="E124" s="161">
        <f>E96</f>
        <v>-5</v>
      </c>
      <c r="F124" s="161">
        <f>F96</f>
        <v>-5.5</v>
      </c>
      <c r="G124" s="161">
        <f>G96</f>
        <v>-6</v>
      </c>
      <c r="H124" s="161">
        <f>H96</f>
        <v>-6.5</v>
      </c>
    </row>
    <row r="125" spans="1:9">
      <c r="B125" s="160" t="s">
        <v>562</v>
      </c>
      <c r="C125" s="153" t="s">
        <v>296</v>
      </c>
      <c r="D125" s="161">
        <f>D99</f>
        <v>-3</v>
      </c>
      <c r="E125" s="161">
        <f>E99</f>
        <v>-2</v>
      </c>
      <c r="F125" s="161">
        <f>F99</f>
        <v>-2</v>
      </c>
      <c r="G125" s="161">
        <f>G99</f>
        <v>-2</v>
      </c>
      <c r="H125" s="161">
        <f>H99</f>
        <v>-2</v>
      </c>
    </row>
    <row r="126" spans="1:9">
      <c r="B126" s="160" t="s">
        <v>563</v>
      </c>
      <c r="C126" s="153" t="s">
        <v>296</v>
      </c>
      <c r="D126" s="161">
        <f>D102</f>
        <v>-1.5</v>
      </c>
      <c r="E126" s="161">
        <f>E102</f>
        <v>-2</v>
      </c>
      <c r="F126" s="161">
        <f>F102</f>
        <v>-2</v>
      </c>
      <c r="G126" s="161">
        <f>G102</f>
        <v>-2</v>
      </c>
      <c r="H126" s="161">
        <f>H102</f>
        <v>-2</v>
      </c>
    </row>
    <row r="127" spans="1:9">
      <c r="B127" s="173" t="s">
        <v>545</v>
      </c>
      <c r="C127" s="153" t="s">
        <v>296</v>
      </c>
      <c r="D127" s="174">
        <f>SUM(D122,D123,D124,D125,D126)</f>
        <v>-28487.117915600182</v>
      </c>
      <c r="E127" s="174">
        <f>SUM(E122,E123,E124,E125,E126)</f>
        <v>-22521.282973236957</v>
      </c>
      <c r="F127" s="174">
        <f>SUM(F122,F123,F124,F125,F126)</f>
        <v>-17730.863911620112</v>
      </c>
      <c r="G127" s="174">
        <f>SUM(G122,G123,G124,G125,G126)</f>
        <v>-19507.490582771694</v>
      </c>
      <c r="H127" s="174">
        <f>SUM(H122,H123,H124,H125,H126)</f>
        <v>-21462.589853860289</v>
      </c>
    </row>
    <row r="129" spans="2:8">
      <c r="B129" s="166" t="s">
        <v>546</v>
      </c>
      <c r="C129" s="153" t="s">
        <v>296</v>
      </c>
      <c r="D129" s="167">
        <f>D119+D127</f>
        <v>-16018.361970565229</v>
      </c>
      <c r="E129" s="167">
        <f>E119+E127</f>
        <v>-9483.6074364280958</v>
      </c>
      <c r="F129" s="167">
        <f>F119+F127</f>
        <v>-4069.6986329290085</v>
      </c>
      <c r="G129" s="167">
        <f>G119+G127</f>
        <v>-5113.4837213262035</v>
      </c>
      <c r="H129" s="167">
        <f>H119+H127</f>
        <v>-6289.0283770176193</v>
      </c>
    </row>
    <row r="130" spans="2:8">
      <c r="B130" s="168" t="s">
        <v>547</v>
      </c>
      <c r="C130" s="153" t="s">
        <v>87</v>
      </c>
      <c r="D130" s="175">
        <f>IF(D82=0,0,D129/D82)</f>
        <v>-1.283395366717943</v>
      </c>
      <c r="E130" s="175">
        <f>IF(E82=0,0,E129/E82)</f>
        <v>-0.72667277247724638</v>
      </c>
      <c r="F130" s="175">
        <f>IF(F82=0,0,F129/F82)</f>
        <v>-0.29760484199965798</v>
      </c>
      <c r="G130" s="175">
        <f>IF(G82=0,0,G129/G82)</f>
        <v>-0.35489563724522771</v>
      </c>
      <c r="H130" s="175">
        <f>IF(H82=0,0,H129/H82)</f>
        <v>-0.41405831836046447</v>
      </c>
    </row>
    <row r="131" spans="2:8">
      <c r="B131" s="170" t="s">
        <v>548</v>
      </c>
      <c r="C131" s="153" t="s">
        <v>296</v>
      </c>
      <c r="D131" s="171">
        <f>D129</f>
        <v>-16018.361970565229</v>
      </c>
      <c r="E131" s="171">
        <f>E129+D131</f>
        <v>-25501.969406993325</v>
      </c>
      <c r="F131" s="171">
        <f>F129+E131</f>
        <v>-29571.668039922333</v>
      </c>
      <c r="G131" s="171">
        <f>G129+F131</f>
        <v>-34685.151761248533</v>
      </c>
      <c r="H131" s="171">
        <f>H129+G131</f>
        <v>-40974.180138266151</v>
      </c>
    </row>
  </sheetData>
  <mergeCells count="68">
    <mergeCell ref="A1:I1"/>
    <mergeCell ref="E41:I41"/>
    <mergeCell ref="B80:I80"/>
    <mergeCell ref="B114:I114"/>
    <mergeCell ref="E37:I37"/>
    <mergeCell ref="B45:I45"/>
    <mergeCell ref="E22:I22"/>
    <mergeCell ref="E47:I47"/>
    <mergeCell ref="A54:I54"/>
    <mergeCell ref="B118:I118"/>
    <mergeCell ref="E26:I26"/>
    <mergeCell ref="E7:I7"/>
    <mergeCell ref="B6:I6"/>
    <mergeCell ref="E16:I16"/>
    <mergeCell ref="E32:I32"/>
    <mergeCell ref="B95:I95"/>
    <mergeCell ref="E25:I25"/>
    <mergeCell ref="B116:I116"/>
    <mergeCell ref="B38:I38"/>
    <mergeCell ref="E46:I46"/>
    <mergeCell ref="E11:I11"/>
    <mergeCell ref="E49:I49"/>
    <mergeCell ref="A77:I77"/>
    <mergeCell ref="E36:I36"/>
    <mergeCell ref="A2:I2"/>
    <mergeCell ref="E29:I29"/>
    <mergeCell ref="E35:I35"/>
    <mergeCell ref="E20:I20"/>
    <mergeCell ref="E51:I51"/>
    <mergeCell ref="E10:I10"/>
    <mergeCell ref="E28:I28"/>
    <mergeCell ref="E13:I13"/>
    <mergeCell ref="E19:I19"/>
    <mergeCell ref="E31:I31"/>
    <mergeCell ref="A4:I4"/>
    <mergeCell ref="E40:I40"/>
    <mergeCell ref="E9:I9"/>
    <mergeCell ref="E30:I30"/>
    <mergeCell ref="E34:I34"/>
    <mergeCell ref="E15:I15"/>
    <mergeCell ref="E5:I5"/>
    <mergeCell ref="E23:I23"/>
    <mergeCell ref="B121:I121"/>
    <mergeCell ref="E39:I39"/>
    <mergeCell ref="E8:I8"/>
    <mergeCell ref="E14:I14"/>
    <mergeCell ref="B27:I27"/>
    <mergeCell ref="E48:I48"/>
    <mergeCell ref="E17:I17"/>
    <mergeCell ref="B18:I18"/>
    <mergeCell ref="E44:I44"/>
    <mergeCell ref="A113:I113"/>
    <mergeCell ref="B86:I86"/>
    <mergeCell ref="B98:I98"/>
    <mergeCell ref="B101:I101"/>
    <mergeCell ref="B78:I78"/>
    <mergeCell ref="E110:H110"/>
    <mergeCell ref="E24:I24"/>
    <mergeCell ref="E42:I42"/>
    <mergeCell ref="E33:I33"/>
    <mergeCell ref="E52:I52"/>
    <mergeCell ref="B90:I90"/>
    <mergeCell ref="B66:I66"/>
    <mergeCell ref="E21:I21"/>
    <mergeCell ref="E43:I43"/>
    <mergeCell ref="E12:I12"/>
    <mergeCell ref="E50:I50"/>
    <mergeCell ref="B75:I7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README</vt:lpstr>
      <vt:lpstr>Assumptions</vt:lpstr>
      <vt:lpstr>Hypotheses</vt:lpstr>
      <vt:lpstr>Traction model</vt:lpstr>
      <vt:lpstr>Монетизация и юнит</vt:lpstr>
      <vt:lpstr>Checkers</vt:lpstr>
      <vt:lpstr>PnL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Polina Elatontseva</cp:lastModifiedBy>
  <dcterms:created xsi:type="dcterms:W3CDTF">2026-03-18T20:13:03Z</dcterms:created>
  <dcterms:modified xsi:type="dcterms:W3CDTF">2026-05-25T20:57:48Z</dcterms:modified>
</cp:coreProperties>
</file>